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C:\Users\uday kiran rathod\Downloads\"/>
    </mc:Choice>
  </mc:AlternateContent>
  <xr:revisionPtr revIDLastSave="0" documentId="13_ncr:1_{3599FC74-7531-4C73-9C8D-CB57ECB13EDD}" xr6:coauthVersionLast="47" xr6:coauthVersionMax="47" xr10:uidLastSave="{00000000-0000-0000-0000-000000000000}"/>
  <bookViews>
    <workbookView xWindow="-110" yWindow="-110" windowWidth="19420" windowHeight="11020" tabRatio="748" firstSheet="1" activeTab="5" xr2:uid="{00000000-000D-0000-FFFF-FFFF00000000}"/>
  </bookViews>
  <sheets>
    <sheet name="Basis &amp; Assumptions (2)" sheetId="55" state="hidden" r:id="rId1"/>
    <sheet name="Basis &amp; Assumptions" sheetId="10" r:id="rId2"/>
    <sheet name="Tray Sizing" sheetId="50" state="hidden" r:id="rId3"/>
    <sheet name="Catalogue Aluminium" sheetId="7" r:id="rId4"/>
    <sheet name="Sheet2" sheetId="52" state="hidden" r:id="rId5"/>
    <sheet name="LV Cable sizing_SS-1" sheetId="44" r:id="rId6"/>
    <sheet name="MV Cable sizing-6.6kV" sheetId="21" state="hidden" r:id="rId7"/>
    <sheet name="Catalogue A_old" sheetId="33" state="hidden" r:id="rId8"/>
    <sheet name="Catalogue_CU" sheetId="29" state="hidden" r:id="rId9"/>
    <sheet name="Catalogue Copper" sheetId="32" state="hidden" r:id="rId10"/>
    <sheet name="Tray-Void" sheetId="26" state="hidden" r:id="rId11"/>
    <sheet name="requred Dia" sheetId="27" state="hidden" r:id="rId12"/>
    <sheet name="Sheet1" sheetId="51" state="hidden" r:id="rId13"/>
    <sheet name="Tray-S_old" sheetId="48" state="hidden" r:id="rId14"/>
  </sheets>
  <definedNames>
    <definedName name="_xlnm._FilterDatabase" localSheetId="5" hidden="1">'LV Cable sizing_SS-1'!$A$5:$AY$446</definedName>
    <definedName name="_xlnm._FilterDatabase" localSheetId="6" hidden="1">'MV Cable sizing-6.6kV'!$A$5:$AU$33</definedName>
    <definedName name="_xlnm._FilterDatabase" localSheetId="10" hidden="1">'Tray-Void'!$B$5:$AP$59</definedName>
    <definedName name="a">'LV Cable sizing_SS-1'!$C$4</definedName>
    <definedName name="_xlnm.Print_Area" localSheetId="1">'Basis &amp; Assumptions'!$A$2:$C$17</definedName>
    <definedName name="_xlnm.Print_Area" localSheetId="0">'Basis &amp; Assumptions (2)'!$A$2:$C$23</definedName>
    <definedName name="_xlnm.Print_Area" localSheetId="7">'Catalogue A_old'!$A$1:$T$210</definedName>
    <definedName name="_xlnm.Print_Area" localSheetId="3">'Catalogue Aluminium'!$A$3:$S$91</definedName>
    <definedName name="_xlnm.Print_Area" localSheetId="9">'Catalogue Copper'!$A$1:$T$210</definedName>
    <definedName name="_xlnm.Print_Area" localSheetId="8">Catalogue_CU!$A$1:$T$170</definedName>
    <definedName name="_xlnm.Print_Area" localSheetId="5">'LV Cable sizing_SS-1'!$A$2:$AY$448</definedName>
    <definedName name="_xlnm.Print_Area" localSheetId="6">'MV Cable sizing-6.6kV'!$A$2:$AX$32</definedName>
    <definedName name="_xlnm.Print_Area" localSheetId="2">'Tray Sizing'!$B$1:$BA$92</definedName>
    <definedName name="_xlnm.Print_Area" localSheetId="10">'Tray-Void'!$B$2:$AP$72</definedName>
    <definedName name="_xlnm.Print_Titles" localSheetId="5">'LV Cable sizing_SS-1'!$1:$5</definedName>
    <definedName name="_xlnm.Print_Titles" localSheetId="6">'MV Cable sizing-6.6kV'!$1:$5</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U345" i="44" l="1"/>
  <c r="AT345" i="44"/>
  <c r="AM345" i="44"/>
  <c r="AL345" i="44"/>
  <c r="AK345" i="44"/>
  <c r="AJ345" i="44"/>
  <c r="AI345" i="44"/>
  <c r="AU344" i="44"/>
  <c r="AT344" i="44"/>
  <c r="AM344" i="44"/>
  <c r="AL344" i="44"/>
  <c r="AK344" i="44"/>
  <c r="AJ344" i="44"/>
  <c r="AI344" i="44"/>
  <c r="AU343" i="44"/>
  <c r="AT343" i="44"/>
  <c r="AM343" i="44"/>
  <c r="AL343" i="44"/>
  <c r="AK343" i="44"/>
  <c r="AJ343" i="44"/>
  <c r="AI343" i="44"/>
  <c r="AU342" i="44"/>
  <c r="AT342" i="44"/>
  <c r="AM342" i="44"/>
  <c r="AL342" i="44"/>
  <c r="AK342" i="44"/>
  <c r="AJ342" i="44"/>
  <c r="AI342" i="44"/>
  <c r="W345" i="44"/>
  <c r="X345" i="44" s="1"/>
  <c r="S345" i="44"/>
  <c r="P345" i="44"/>
  <c r="W344" i="44"/>
  <c r="S344" i="44"/>
  <c r="P344" i="44"/>
  <c r="W343" i="44"/>
  <c r="Z343" i="44" s="1"/>
  <c r="S343" i="44"/>
  <c r="P343" i="44"/>
  <c r="W342" i="44"/>
  <c r="AB342" i="44" s="1"/>
  <c r="S342" i="44"/>
  <c r="P342" i="44"/>
  <c r="AD345" i="44"/>
  <c r="AC345" i="44"/>
  <c r="AD344" i="44"/>
  <c r="AC344" i="44"/>
  <c r="AD343" i="44"/>
  <c r="AC343" i="44"/>
  <c r="AG343" i="44" s="1"/>
  <c r="AH343" i="44" s="1"/>
  <c r="AD342" i="44"/>
  <c r="AC342" i="44"/>
  <c r="AE158" i="44"/>
  <c r="AD158" i="44"/>
  <c r="AC158" i="44"/>
  <c r="W53" i="44"/>
  <c r="X53" i="44" s="1"/>
  <c r="AC61" i="44"/>
  <c r="AC60" i="44"/>
  <c r="AE101" i="44"/>
  <c r="AC101" i="44"/>
  <c r="AC85" i="44"/>
  <c r="AC70" i="44"/>
  <c r="AC32" i="44"/>
  <c r="AC22" i="44"/>
  <c r="AN343" i="44" l="1"/>
  <c r="AO343" i="44" s="1"/>
  <c r="AP343" i="44" s="1"/>
  <c r="AN342" i="44"/>
  <c r="AN345" i="44"/>
  <c r="AN344" i="44"/>
  <c r="AA344" i="44"/>
  <c r="AB345" i="44"/>
  <c r="Z345" i="44"/>
  <c r="AA345" i="44"/>
  <c r="AA343" i="44"/>
  <c r="AB343" i="44"/>
  <c r="X342" i="44"/>
  <c r="AG344" i="44"/>
  <c r="AH344" i="44" s="1"/>
  <c r="Z342" i="44"/>
  <c r="AA342" i="44"/>
  <c r="AG342" i="44"/>
  <c r="AH342" i="44" s="1"/>
  <c r="X344" i="44"/>
  <c r="Z344" i="44"/>
  <c r="X343" i="44"/>
  <c r="AB344" i="44"/>
  <c r="AG345" i="44"/>
  <c r="AH345" i="44" s="1"/>
  <c r="AO344" i="44" l="1"/>
  <c r="AP344" i="44" s="1"/>
  <c r="AQ344" i="44" s="1"/>
  <c r="AO345" i="44"/>
  <c r="AP345" i="44" s="1"/>
  <c r="AX345" i="44" s="1"/>
  <c r="AO342" i="44"/>
  <c r="AP342" i="44" s="1"/>
  <c r="AQ342" i="44" s="1"/>
  <c r="AV343" i="44"/>
  <c r="AX343" i="44"/>
  <c r="AW343" i="44"/>
  <c r="AR343" i="44"/>
  <c r="AS343" i="44" s="1"/>
  <c r="AQ343" i="44"/>
  <c r="AX342" i="44" l="1"/>
  <c r="AR345" i="44"/>
  <c r="AS345" i="44" s="1"/>
  <c r="AQ345" i="44"/>
  <c r="AV345" i="44"/>
  <c r="AW345" i="44"/>
  <c r="AR342" i="44"/>
  <c r="AS342" i="44" s="1"/>
  <c r="AW342" i="44"/>
  <c r="AV342" i="44"/>
  <c r="AR344" i="44"/>
  <c r="AS344" i="44" s="1"/>
  <c r="AW344" i="44"/>
  <c r="AX344" i="44"/>
  <c r="AV344" i="44"/>
  <c r="AM22" i="44" l="1"/>
  <c r="AL22" i="44"/>
  <c r="AK22" i="44"/>
  <c r="AJ22" i="44"/>
  <c r="AI22" i="44"/>
  <c r="AE22" i="44"/>
  <c r="AD22" i="44"/>
  <c r="W22" i="44"/>
  <c r="Z22" i="44" s="1"/>
  <c r="S22" i="44"/>
  <c r="P22" i="44"/>
  <c r="N22" i="44"/>
  <c r="O22" i="44" s="1"/>
  <c r="C22" i="44"/>
  <c r="AM21" i="44"/>
  <c r="AL21" i="44"/>
  <c r="AK21" i="44"/>
  <c r="AJ21" i="44"/>
  <c r="AI21" i="44"/>
  <c r="AE21" i="44"/>
  <c r="AD21" i="44"/>
  <c r="AC21" i="44"/>
  <c r="W21" i="44"/>
  <c r="S21" i="44"/>
  <c r="P21" i="44"/>
  <c r="N21" i="44"/>
  <c r="O21" i="44" s="1"/>
  <c r="C21" i="44"/>
  <c r="AN21" i="44" l="1"/>
  <c r="AN22" i="44"/>
  <c r="AO22" i="44" s="1"/>
  <c r="AP22" i="44" s="1"/>
  <c r="AA22" i="44"/>
  <c r="AB22" i="44"/>
  <c r="X21" i="44"/>
  <c r="AB21" i="44"/>
  <c r="AG22" i="44"/>
  <c r="AH22" i="44" s="1"/>
  <c r="AG21" i="44"/>
  <c r="AH21" i="44" s="1"/>
  <c r="Z21" i="44"/>
  <c r="AA21" i="44"/>
  <c r="X22" i="44"/>
  <c r="AO21" i="44" l="1"/>
  <c r="AP21" i="44" s="1"/>
  <c r="AT21" i="44" s="1"/>
  <c r="AU21" i="44" s="1"/>
  <c r="AT22" i="44"/>
  <c r="AU22" i="44" s="1"/>
  <c r="AV22" i="44"/>
  <c r="AW22" i="44"/>
  <c r="AX22" i="44"/>
  <c r="AR22" i="44"/>
  <c r="AS22" i="44" s="1"/>
  <c r="AQ22" i="44"/>
  <c r="AX21" i="44" l="1"/>
  <c r="AR21" i="44"/>
  <c r="AS21" i="44" s="1"/>
  <c r="AV21" i="44"/>
  <c r="AW21" i="44"/>
  <c r="AQ21" i="44"/>
  <c r="AE32" i="44" l="1"/>
  <c r="AD32" i="44"/>
  <c r="AE33" i="44"/>
  <c r="AD33" i="44"/>
  <c r="AC33" i="44"/>
  <c r="AE31" i="44"/>
  <c r="AD31" i="44"/>
  <c r="AC31" i="44"/>
  <c r="AG32" i="44" l="1"/>
  <c r="AG31" i="44"/>
  <c r="AG33" i="44"/>
  <c r="AU326" i="44" l="1"/>
  <c r="AT326" i="44"/>
  <c r="AM326" i="44"/>
  <c r="AL326" i="44"/>
  <c r="AK326" i="44"/>
  <c r="AJ326" i="44"/>
  <c r="AI326" i="44"/>
  <c r="AD326" i="44"/>
  <c r="AC326" i="44"/>
  <c r="W326" i="44"/>
  <c r="Z326" i="44" s="1"/>
  <c r="S326" i="44"/>
  <c r="P326" i="44"/>
  <c r="O326" i="44"/>
  <c r="N326" i="44"/>
  <c r="C326" i="44"/>
  <c r="AU325" i="44"/>
  <c r="AT325" i="44"/>
  <c r="AM325" i="44"/>
  <c r="AL325" i="44"/>
  <c r="AK325" i="44"/>
  <c r="AJ325" i="44"/>
  <c r="AI325" i="44"/>
  <c r="AD325" i="44"/>
  <c r="AC325" i="44"/>
  <c r="W325" i="44"/>
  <c r="S325" i="44"/>
  <c r="P325" i="44"/>
  <c r="O325" i="44"/>
  <c r="N325" i="44"/>
  <c r="C325" i="44"/>
  <c r="AU324" i="44"/>
  <c r="AT324" i="44"/>
  <c r="AM324" i="44"/>
  <c r="AL324" i="44"/>
  <c r="AK324" i="44"/>
  <c r="AJ324" i="44"/>
  <c r="AI324" i="44"/>
  <c r="AD324" i="44"/>
  <c r="AC324" i="44"/>
  <c r="W324" i="44"/>
  <c r="S324" i="44"/>
  <c r="P324" i="44"/>
  <c r="O324" i="44"/>
  <c r="N324" i="44"/>
  <c r="C324" i="44"/>
  <c r="AU323" i="44"/>
  <c r="AT323" i="44"/>
  <c r="AM323" i="44"/>
  <c r="AL323" i="44"/>
  <c r="AK323" i="44"/>
  <c r="AJ323" i="44"/>
  <c r="AI323" i="44"/>
  <c r="AD323" i="44"/>
  <c r="AC323" i="44"/>
  <c r="W323" i="44"/>
  <c r="Z323" i="44" s="1"/>
  <c r="S323" i="44"/>
  <c r="P323" i="44"/>
  <c r="O323" i="44"/>
  <c r="N323" i="44"/>
  <c r="C323" i="44"/>
  <c r="AU322" i="44"/>
  <c r="AT322" i="44"/>
  <c r="AM322" i="44"/>
  <c r="AL322" i="44"/>
  <c r="AK322" i="44"/>
  <c r="AJ322" i="44"/>
  <c r="AI322" i="44"/>
  <c r="AD322" i="44"/>
  <c r="AC322" i="44"/>
  <c r="W322" i="44"/>
  <c r="S322" i="44"/>
  <c r="P322" i="44"/>
  <c r="O322" i="44"/>
  <c r="N322" i="44"/>
  <c r="C322" i="44"/>
  <c r="AU321" i="44"/>
  <c r="AT321" i="44"/>
  <c r="AM321" i="44"/>
  <c r="AL321" i="44"/>
  <c r="AK321" i="44"/>
  <c r="AJ321" i="44"/>
  <c r="AI321" i="44"/>
  <c r="AD321" i="44"/>
  <c r="AC321" i="44"/>
  <c r="W321" i="44"/>
  <c r="S321" i="44"/>
  <c r="P321" i="44"/>
  <c r="O321" i="44"/>
  <c r="N321" i="44"/>
  <c r="C321" i="44"/>
  <c r="AU320" i="44"/>
  <c r="AT320" i="44"/>
  <c r="AM320" i="44"/>
  <c r="AL320" i="44"/>
  <c r="AK320" i="44"/>
  <c r="AJ320" i="44"/>
  <c r="AI320" i="44"/>
  <c r="AD320" i="44"/>
  <c r="AC320" i="44"/>
  <c r="W320" i="44"/>
  <c r="S320" i="44"/>
  <c r="P320" i="44"/>
  <c r="O320" i="44"/>
  <c r="N320" i="44"/>
  <c r="C320" i="44"/>
  <c r="AU319" i="44"/>
  <c r="AT319" i="44"/>
  <c r="AM319" i="44"/>
  <c r="AL319" i="44"/>
  <c r="AK319" i="44"/>
  <c r="AJ319" i="44"/>
  <c r="AI319" i="44"/>
  <c r="AD319" i="44"/>
  <c r="AC319" i="44"/>
  <c r="W319" i="44"/>
  <c r="S319" i="44"/>
  <c r="P319" i="44"/>
  <c r="O319" i="44"/>
  <c r="N319" i="44"/>
  <c r="C319" i="44"/>
  <c r="AU318" i="44"/>
  <c r="AT318" i="44"/>
  <c r="AM318" i="44"/>
  <c r="AL318" i="44"/>
  <c r="AK318" i="44"/>
  <c r="AJ318" i="44"/>
  <c r="AI318" i="44"/>
  <c r="AD318" i="44"/>
  <c r="AC318" i="44"/>
  <c r="W318" i="44"/>
  <c r="S318" i="44"/>
  <c r="P318" i="44"/>
  <c r="O318" i="44"/>
  <c r="N318" i="44"/>
  <c r="C318" i="44"/>
  <c r="AU317" i="44"/>
  <c r="AT317" i="44"/>
  <c r="AM317" i="44"/>
  <c r="AL317" i="44"/>
  <c r="AK317" i="44"/>
  <c r="AJ317" i="44"/>
  <c r="AI317" i="44"/>
  <c r="AD317" i="44"/>
  <c r="AC317" i="44"/>
  <c r="W317" i="44"/>
  <c r="S317" i="44"/>
  <c r="P317" i="44"/>
  <c r="O317" i="44"/>
  <c r="N317" i="44"/>
  <c r="C317" i="44"/>
  <c r="AU316" i="44"/>
  <c r="AT316" i="44"/>
  <c r="AM316" i="44"/>
  <c r="AL316" i="44"/>
  <c r="AK316" i="44"/>
  <c r="AJ316" i="44"/>
  <c r="AI316" i="44"/>
  <c r="AD316" i="44"/>
  <c r="AC316" i="44"/>
  <c r="W316" i="44"/>
  <c r="S316" i="44"/>
  <c r="P316" i="44"/>
  <c r="O316" i="44"/>
  <c r="N316" i="44"/>
  <c r="C316" i="44"/>
  <c r="AU306" i="44"/>
  <c r="AT306" i="44"/>
  <c r="AM306" i="44"/>
  <c r="AL306" i="44"/>
  <c r="AK306" i="44"/>
  <c r="AJ306" i="44"/>
  <c r="AI306" i="44"/>
  <c r="AD306" i="44"/>
  <c r="AC306" i="44"/>
  <c r="W306" i="44"/>
  <c r="S306" i="44"/>
  <c r="P306" i="44"/>
  <c r="O306" i="44"/>
  <c r="N306" i="44"/>
  <c r="C306" i="44"/>
  <c r="AU305" i="44"/>
  <c r="AT305" i="44"/>
  <c r="AM305" i="44"/>
  <c r="AL305" i="44"/>
  <c r="AK305" i="44"/>
  <c r="AJ305" i="44"/>
  <c r="AI305" i="44"/>
  <c r="AD305" i="44"/>
  <c r="AC305" i="44"/>
  <c r="W305" i="44"/>
  <c r="X305" i="44" s="1"/>
  <c r="S305" i="44"/>
  <c r="P305" i="44"/>
  <c r="O305" i="44"/>
  <c r="N305" i="44"/>
  <c r="C305" i="44"/>
  <c r="AU304" i="44"/>
  <c r="AT304" i="44"/>
  <c r="AM304" i="44"/>
  <c r="AL304" i="44"/>
  <c r="AK304" i="44"/>
  <c r="AJ304" i="44"/>
  <c r="AI304" i="44"/>
  <c r="AD304" i="44"/>
  <c r="AC304" i="44"/>
  <c r="W304" i="44"/>
  <c r="AB304" i="44" s="1"/>
  <c r="S304" i="44"/>
  <c r="P304" i="44"/>
  <c r="O304" i="44"/>
  <c r="N304" i="44"/>
  <c r="C304" i="44"/>
  <c r="AM303" i="44"/>
  <c r="AL303" i="44"/>
  <c r="AK303" i="44"/>
  <c r="AJ303" i="44"/>
  <c r="AI303" i="44"/>
  <c r="AD303" i="44"/>
  <c r="AC303" i="44"/>
  <c r="W303" i="44"/>
  <c r="AB303" i="44" s="1"/>
  <c r="S303" i="44"/>
  <c r="P303" i="44"/>
  <c r="N303" i="44"/>
  <c r="O303" i="44" s="1"/>
  <c r="C303" i="44"/>
  <c r="Z321" i="44" l="1"/>
  <c r="X322" i="44"/>
  <c r="Z322" i="44"/>
  <c r="AB320" i="44"/>
  <c r="Z320" i="44"/>
  <c r="X317" i="44"/>
  <c r="Z317" i="44"/>
  <c r="X316" i="44"/>
  <c r="Z316" i="44"/>
  <c r="X319" i="44"/>
  <c r="Z319" i="44"/>
  <c r="X325" i="44"/>
  <c r="Z325" i="44"/>
  <c r="AB318" i="44"/>
  <c r="Z318" i="44"/>
  <c r="AB324" i="44"/>
  <c r="Z324" i="44"/>
  <c r="AN303" i="44"/>
  <c r="AN326" i="44"/>
  <c r="AO326" i="44" s="1"/>
  <c r="AP326" i="44" s="1"/>
  <c r="AN325" i="44"/>
  <c r="AN306" i="44"/>
  <c r="AN321" i="44"/>
  <c r="X318" i="44"/>
  <c r="AG303" i="44"/>
  <c r="AH303" i="44" s="1"/>
  <c r="AA318" i="44"/>
  <c r="AN322" i="44"/>
  <c r="X324" i="44"/>
  <c r="AA322" i="44"/>
  <c r="AB322" i="44"/>
  <c r="AA324" i="44"/>
  <c r="AN319" i="44"/>
  <c r="AG322" i="44"/>
  <c r="AH322" i="44" s="1"/>
  <c r="AA319" i="44"/>
  <c r="AA325" i="44"/>
  <c r="AN317" i="44"/>
  <c r="AN323" i="44"/>
  <c r="AO323" i="44" s="1"/>
  <c r="AP323" i="44" s="1"/>
  <c r="AN316" i="44"/>
  <c r="AN318" i="44"/>
  <c r="AN324" i="44"/>
  <c r="AB319" i="44"/>
  <c r="X321" i="44"/>
  <c r="AA321" i="44"/>
  <c r="AB325" i="44"/>
  <c r="AA316" i="44"/>
  <c r="AB321" i="44"/>
  <c r="AB316" i="44"/>
  <c r="AN320" i="44"/>
  <c r="AG316" i="44"/>
  <c r="AH316" i="44" s="1"/>
  <c r="AG304" i="44"/>
  <c r="AH304" i="44" s="1"/>
  <c r="AN305" i="44"/>
  <c r="AG317" i="44"/>
  <c r="AH317" i="44" s="1"/>
  <c r="AG320" i="44"/>
  <c r="AH320" i="44" s="1"/>
  <c r="AG323" i="44"/>
  <c r="AH323" i="44" s="1"/>
  <c r="AG326" i="44"/>
  <c r="AH326" i="44" s="1"/>
  <c r="X326" i="44"/>
  <c r="AA317" i="44"/>
  <c r="AG318" i="44"/>
  <c r="AH318" i="44" s="1"/>
  <c r="AA320" i="44"/>
  <c r="AG321" i="44"/>
  <c r="AH321" i="44" s="1"/>
  <c r="AA323" i="44"/>
  <c r="AG324" i="44"/>
  <c r="AH324" i="44" s="1"/>
  <c r="AA326" i="44"/>
  <c r="AG325" i="44"/>
  <c r="AH325" i="44" s="1"/>
  <c r="X320" i="44"/>
  <c r="X323" i="44"/>
  <c r="AB317" i="44"/>
  <c r="AB323" i="44"/>
  <c r="AB326" i="44"/>
  <c r="AG319" i="44"/>
  <c r="AH319" i="44" s="1"/>
  <c r="Z306" i="44"/>
  <c r="Z303" i="44"/>
  <c r="X303" i="44"/>
  <c r="X306" i="44"/>
  <c r="AB306" i="44"/>
  <c r="AA303" i="44"/>
  <c r="AA306" i="44"/>
  <c r="Z304" i="44"/>
  <c r="AN304" i="44"/>
  <c r="AA305" i="44"/>
  <c r="AG306" i="44"/>
  <c r="AH306" i="44" s="1"/>
  <c r="AB305" i="44"/>
  <c r="Z305" i="44"/>
  <c r="X304" i="44"/>
  <c r="AA304" i="44"/>
  <c r="AG305" i="44"/>
  <c r="AH305" i="44" s="1"/>
  <c r="AO325" i="44" l="1"/>
  <c r="AP325" i="44" s="1"/>
  <c r="AO321" i="44"/>
  <c r="AP321" i="44" s="1"/>
  <c r="AR321" i="44" s="1"/>
  <c r="AS321" i="44" s="1"/>
  <c r="AO303" i="44"/>
  <c r="AP303" i="44" s="1"/>
  <c r="AQ303" i="44" s="1"/>
  <c r="AO322" i="44"/>
  <c r="AP322" i="44" s="1"/>
  <c r="AW322" i="44" s="1"/>
  <c r="AO318" i="44"/>
  <c r="AP318" i="44" s="1"/>
  <c r="AX318" i="44" s="1"/>
  <c r="AO324" i="44"/>
  <c r="AP324" i="44" s="1"/>
  <c r="AQ324" i="44" s="1"/>
  <c r="AO306" i="44"/>
  <c r="AP306" i="44" s="1"/>
  <c r="AO317" i="44"/>
  <c r="AP317" i="44" s="1"/>
  <c r="AV317" i="44" s="1"/>
  <c r="AO319" i="44"/>
  <c r="AP319" i="44" s="1"/>
  <c r="AX319" i="44" s="1"/>
  <c r="AO316" i="44"/>
  <c r="AP316" i="44" s="1"/>
  <c r="AV316" i="44" s="1"/>
  <c r="AO305" i="44"/>
  <c r="AP305" i="44" s="1"/>
  <c r="AX305" i="44" s="1"/>
  <c r="AO320" i="44"/>
  <c r="AP320" i="44" s="1"/>
  <c r="AW320" i="44" s="1"/>
  <c r="AX323" i="44"/>
  <c r="AR323" i="44"/>
  <c r="AS323" i="44" s="1"/>
  <c r="AW323" i="44"/>
  <c r="AV323" i="44"/>
  <c r="AQ323" i="44"/>
  <c r="AW325" i="44"/>
  <c r="AW326" i="44"/>
  <c r="AV326" i="44"/>
  <c r="AX326" i="44"/>
  <c r="AR326" i="44"/>
  <c r="AS326" i="44" s="1"/>
  <c r="AQ326" i="44"/>
  <c r="AO304" i="44"/>
  <c r="AR322" i="44" l="1"/>
  <c r="AS322" i="44" s="1"/>
  <c r="AV325" i="44"/>
  <c r="AR325" i="44"/>
  <c r="AS325" i="44" s="1"/>
  <c r="AQ325" i="44"/>
  <c r="AX325" i="44"/>
  <c r="AX303" i="44"/>
  <c r="AV303" i="44"/>
  <c r="AT303" i="44"/>
  <c r="AU303" i="44" s="1"/>
  <c r="AQ321" i="44"/>
  <c r="AV321" i="44"/>
  <c r="AR303" i="44"/>
  <c r="AS303" i="44" s="1"/>
  <c r="AW303" i="44"/>
  <c r="AW321" i="44"/>
  <c r="AX321" i="44"/>
  <c r="AX322" i="44"/>
  <c r="AV324" i="44"/>
  <c r="AW324" i="44"/>
  <c r="AQ319" i="44"/>
  <c r="AW317" i="44"/>
  <c r="AW319" i="44"/>
  <c r="AV318" i="44"/>
  <c r="AW318" i="44"/>
  <c r="AR318" i="44"/>
  <c r="AS318" i="44" s="1"/>
  <c r="AV319" i="44"/>
  <c r="AV322" i="44"/>
  <c r="AQ322" i="44"/>
  <c r="AQ318" i="44"/>
  <c r="AR306" i="44"/>
  <c r="AS306" i="44" s="1"/>
  <c r="AX306" i="44"/>
  <c r="AW306" i="44"/>
  <c r="AR316" i="44"/>
  <c r="AS316" i="44" s="1"/>
  <c r="AR317" i="44"/>
  <c r="AS317" i="44" s="1"/>
  <c r="AR319" i="44"/>
  <c r="AS319" i="44" s="1"/>
  <c r="AX324" i="44"/>
  <c r="AR324" i="44"/>
  <c r="AS324" i="44" s="1"/>
  <c r="AX317" i="44"/>
  <c r="AV306" i="44"/>
  <c r="AQ317" i="44"/>
  <c r="AX316" i="44"/>
  <c r="AQ316" i="44"/>
  <c r="AQ306" i="44"/>
  <c r="AW316" i="44"/>
  <c r="AR320" i="44"/>
  <c r="AS320" i="44" s="1"/>
  <c r="AX320" i="44"/>
  <c r="AV320" i="44"/>
  <c r="AQ320" i="44"/>
  <c r="AP304" i="44"/>
  <c r="AQ304" i="44" s="1"/>
  <c r="AV305" i="44"/>
  <c r="AW305" i="44"/>
  <c r="AQ305" i="44"/>
  <c r="AR305" i="44"/>
  <c r="AS305" i="44" s="1"/>
  <c r="AV304" i="44" l="1"/>
  <c r="AW304" i="44"/>
  <c r="AX304" i="44"/>
  <c r="AR304" i="44"/>
  <c r="AS304" i="44" s="1"/>
  <c r="AM158" i="44" l="1"/>
  <c r="AL158" i="44"/>
  <c r="AK158" i="44"/>
  <c r="AJ158" i="44"/>
  <c r="AI158" i="44"/>
  <c r="W158" i="44"/>
  <c r="Z158" i="44" s="1"/>
  <c r="S158" i="44"/>
  <c r="P158" i="44"/>
  <c r="N158" i="44"/>
  <c r="O158" i="44" s="1"/>
  <c r="AM93" i="44"/>
  <c r="AL93" i="44"/>
  <c r="AK93" i="44"/>
  <c r="AJ93" i="44"/>
  <c r="AI93" i="44"/>
  <c r="AE93" i="44"/>
  <c r="AD93" i="44"/>
  <c r="AC93" i="44"/>
  <c r="W93" i="44"/>
  <c r="Z93" i="44" s="1"/>
  <c r="S93" i="44"/>
  <c r="P93" i="44"/>
  <c r="N93" i="44"/>
  <c r="O93" i="44" s="1"/>
  <c r="AW85" i="44"/>
  <c r="AV85" i="44"/>
  <c r="AU85" i="44"/>
  <c r="AT85" i="44"/>
  <c r="AM85" i="44"/>
  <c r="AL85" i="44"/>
  <c r="AK85" i="44"/>
  <c r="AJ85" i="44"/>
  <c r="AI85" i="44"/>
  <c r="W85" i="44"/>
  <c r="S85" i="44"/>
  <c r="P85" i="44"/>
  <c r="O85" i="44"/>
  <c r="N85" i="44"/>
  <c r="C85" i="44"/>
  <c r="AW61" i="44"/>
  <c r="AV61" i="44"/>
  <c r="AU61" i="44"/>
  <c r="AT61" i="44"/>
  <c r="AM61" i="44"/>
  <c r="AL61" i="44"/>
  <c r="AK61" i="44"/>
  <c r="AJ61" i="44"/>
  <c r="AI61" i="44"/>
  <c r="W61" i="44"/>
  <c r="X61" i="44" s="1"/>
  <c r="S61" i="44"/>
  <c r="P61" i="44"/>
  <c r="O61" i="44"/>
  <c r="N61" i="44"/>
  <c r="C61" i="44"/>
  <c r="AM57" i="44"/>
  <c r="AL57" i="44"/>
  <c r="AK57" i="44"/>
  <c r="AJ57" i="44"/>
  <c r="AI57" i="44"/>
  <c r="AE57" i="44"/>
  <c r="AD57" i="44"/>
  <c r="AC57" i="44"/>
  <c r="W57" i="44"/>
  <c r="Z57" i="44" s="1"/>
  <c r="S57" i="44"/>
  <c r="P57" i="44"/>
  <c r="N57" i="44"/>
  <c r="O57" i="44" s="1"/>
  <c r="AM56" i="44"/>
  <c r="AL56" i="44"/>
  <c r="AK56" i="44"/>
  <c r="AJ56" i="44"/>
  <c r="AI56" i="44"/>
  <c r="AE56" i="44"/>
  <c r="AD56" i="44"/>
  <c r="AC56" i="44"/>
  <c r="W56" i="44"/>
  <c r="AB56" i="44" s="1"/>
  <c r="S56" i="44"/>
  <c r="P56" i="44"/>
  <c r="N56" i="44"/>
  <c r="O56" i="44" s="1"/>
  <c r="AM33" i="44"/>
  <c r="AL33" i="44"/>
  <c r="AK33" i="44"/>
  <c r="AJ33" i="44"/>
  <c r="AI33" i="44"/>
  <c r="W33" i="44"/>
  <c r="Z33" i="44" s="1"/>
  <c r="S33" i="44"/>
  <c r="P33" i="44"/>
  <c r="N33" i="44"/>
  <c r="O33" i="44" s="1"/>
  <c r="C33" i="44"/>
  <c r="AM32" i="44"/>
  <c r="AL32" i="44"/>
  <c r="AK32" i="44"/>
  <c r="AJ32" i="44"/>
  <c r="AI32" i="44"/>
  <c r="W32" i="44"/>
  <c r="Z32" i="44" s="1"/>
  <c r="S32" i="44"/>
  <c r="P32" i="44"/>
  <c r="O32" i="44"/>
  <c r="N32" i="44"/>
  <c r="C32" i="44"/>
  <c r="AM31" i="44"/>
  <c r="AL31" i="44"/>
  <c r="AK31" i="44"/>
  <c r="AJ31" i="44"/>
  <c r="AI31" i="44"/>
  <c r="W31" i="44"/>
  <c r="S31" i="44"/>
  <c r="P31" i="44"/>
  <c r="O31" i="44"/>
  <c r="N31" i="44"/>
  <c r="C31" i="44"/>
  <c r="AN85" i="44" l="1"/>
  <c r="AN57" i="44"/>
  <c r="AO57" i="44" s="1"/>
  <c r="AP57" i="44" s="1"/>
  <c r="AQ57" i="44" s="1"/>
  <c r="AN93" i="44"/>
  <c r="AO93" i="44" s="1"/>
  <c r="AP93" i="44" s="1"/>
  <c r="AN61" i="44"/>
  <c r="AN158" i="44"/>
  <c r="AO158" i="44" s="1"/>
  <c r="AP158" i="44" s="1"/>
  <c r="AQ158" i="44" s="1"/>
  <c r="AA93" i="44"/>
  <c r="AA158" i="44"/>
  <c r="AN33" i="44"/>
  <c r="AO33" i="44" s="1"/>
  <c r="AP33" i="44" s="1"/>
  <c r="AQ33" i="44" s="1"/>
  <c r="AB158" i="44"/>
  <c r="AG158" i="44"/>
  <c r="AH158" i="44" s="1"/>
  <c r="X158" i="44"/>
  <c r="X85" i="44"/>
  <c r="AB93" i="44"/>
  <c r="AA85" i="44"/>
  <c r="AB85" i="44"/>
  <c r="AG93" i="44"/>
  <c r="AH93" i="44" s="1"/>
  <c r="X93" i="44"/>
  <c r="AN31" i="44"/>
  <c r="Z85" i="44"/>
  <c r="AN32" i="44"/>
  <c r="AO32" i="44" s="1"/>
  <c r="AP32" i="44" s="1"/>
  <c r="AG85" i="44"/>
  <c r="AA61" i="44"/>
  <c r="AB61" i="44"/>
  <c r="Z61" i="44"/>
  <c r="AB57" i="44"/>
  <c r="AG61" i="44"/>
  <c r="AN56" i="44"/>
  <c r="AA33" i="44"/>
  <c r="AA57" i="44"/>
  <c r="AG56" i="44"/>
  <c r="AH56" i="44" s="1"/>
  <c r="AG57" i="44"/>
  <c r="AH57" i="44" s="1"/>
  <c r="X57" i="44"/>
  <c r="X56" i="44"/>
  <c r="Z56" i="44"/>
  <c r="AA56" i="44"/>
  <c r="AA31" i="44"/>
  <c r="AB33" i="44"/>
  <c r="AH31" i="44"/>
  <c r="AA32" i="44"/>
  <c r="X31" i="44"/>
  <c r="AB32" i="44"/>
  <c r="Z31" i="44"/>
  <c r="AH33" i="44"/>
  <c r="X32" i="44"/>
  <c r="AB31" i="44"/>
  <c r="AH32" i="44"/>
  <c r="X33" i="44"/>
  <c r="AO85" i="44" l="1"/>
  <c r="AQ85" i="44" s="1"/>
  <c r="AT93" i="44"/>
  <c r="AU93" i="44" s="1"/>
  <c r="AO61" i="44"/>
  <c r="AQ61" i="44" s="1"/>
  <c r="AR158" i="44"/>
  <c r="AS158" i="44" s="1"/>
  <c r="AX158" i="44"/>
  <c r="AT158" i="44"/>
  <c r="AU158" i="44" s="1"/>
  <c r="AV158" i="44"/>
  <c r="AW158" i="44"/>
  <c r="AO31" i="44"/>
  <c r="AR93" i="44"/>
  <c r="AS93" i="44" s="1"/>
  <c r="AX93" i="44"/>
  <c r="AV93" i="44"/>
  <c r="AW93" i="44"/>
  <c r="AQ93" i="44"/>
  <c r="AX85" i="44"/>
  <c r="AR85" i="44"/>
  <c r="AS85" i="44" s="1"/>
  <c r="AX61" i="44"/>
  <c r="AR61" i="44"/>
  <c r="AS61" i="44" s="1"/>
  <c r="AO56" i="44"/>
  <c r="AX57" i="44"/>
  <c r="AT57" i="44"/>
  <c r="AU57" i="44" s="1"/>
  <c r="AR57" i="44"/>
  <c r="AS57" i="44" s="1"/>
  <c r="AV57" i="44"/>
  <c r="AW57" i="44"/>
  <c r="AR32" i="44"/>
  <c r="AS32" i="44" s="1"/>
  <c r="AT32" i="44"/>
  <c r="AU32" i="44" s="1"/>
  <c r="AX32" i="44"/>
  <c r="AX33" i="44"/>
  <c r="AT33" i="44"/>
  <c r="AU33" i="44" s="1"/>
  <c r="AR33" i="44"/>
  <c r="AS33" i="44" s="1"/>
  <c r="AW33" i="44"/>
  <c r="AV33" i="44"/>
  <c r="AP31" i="44"/>
  <c r="AV32" i="44"/>
  <c r="AW32" i="44"/>
  <c r="AQ32" i="44"/>
  <c r="AP56" i="44" l="1"/>
  <c r="AR56" i="44" s="1"/>
  <c r="AS56" i="44" s="1"/>
  <c r="AV31" i="44"/>
  <c r="AW31" i="44"/>
  <c r="AT31" i="44"/>
  <c r="AU31" i="44" s="1"/>
  <c r="AX31" i="44"/>
  <c r="AR31" i="44"/>
  <c r="AS31" i="44" s="1"/>
  <c r="AQ31" i="44"/>
  <c r="AV56" i="44" l="1"/>
  <c r="AT56" i="44"/>
  <c r="AU56" i="44" s="1"/>
  <c r="AW56" i="44"/>
  <c r="AX56" i="44"/>
  <c r="AQ56" i="44"/>
  <c r="AD165" i="44" l="1"/>
  <c r="AD166" i="44"/>
  <c r="AW194" i="44" l="1"/>
  <c r="AW193" i="44"/>
  <c r="AW192" i="44"/>
  <c r="AW191" i="44"/>
  <c r="AW173" i="44"/>
  <c r="AW171" i="44"/>
  <c r="AW133" i="44"/>
  <c r="AW84" i="44"/>
  <c r="AW64" i="44"/>
  <c r="AW60" i="44"/>
  <c r="AW49" i="44"/>
  <c r="AW48" i="44"/>
  <c r="AW47" i="44"/>
  <c r="AW46" i="44"/>
  <c r="AW45" i="44"/>
  <c r="AW44" i="44"/>
  <c r="AW28" i="44"/>
  <c r="AW27" i="44"/>
  <c r="AW26" i="44"/>
  <c r="AW25" i="44"/>
  <c r="AW24" i="44"/>
  <c r="AW23" i="44"/>
  <c r="AV23" i="44"/>
  <c r="AV24" i="44"/>
  <c r="AV25" i="44"/>
  <c r="AV26" i="44"/>
  <c r="AV27" i="44"/>
  <c r="AV28" i="44"/>
  <c r="AV44" i="44"/>
  <c r="AV45" i="44"/>
  <c r="AV46" i="44"/>
  <c r="AV47" i="44"/>
  <c r="AV48" i="44"/>
  <c r="AV49" i="44"/>
  <c r="AV60" i="44"/>
  <c r="AV64" i="44"/>
  <c r="AV84" i="44"/>
  <c r="AV133" i="44"/>
  <c r="AV171" i="44"/>
  <c r="AV173" i="44"/>
  <c r="AV191" i="44"/>
  <c r="AV192" i="44"/>
  <c r="AV193" i="44"/>
  <c r="AV194" i="44"/>
  <c r="W205" i="44"/>
  <c r="S205" i="44"/>
  <c r="P205" i="44"/>
  <c r="O205" i="44"/>
  <c r="N205" i="44"/>
  <c r="W203" i="44"/>
  <c r="AB203" i="44" s="1"/>
  <c r="S203" i="44"/>
  <c r="P203" i="44"/>
  <c r="O203" i="44"/>
  <c r="N203" i="44"/>
  <c r="AM205" i="44"/>
  <c r="AL205" i="44"/>
  <c r="AK205" i="44"/>
  <c r="AJ205" i="44"/>
  <c r="AI205" i="44"/>
  <c r="AE205" i="44"/>
  <c r="AD205" i="44"/>
  <c r="AC205" i="44"/>
  <c r="AM203" i="44"/>
  <c r="AL203" i="44"/>
  <c r="AK203" i="44"/>
  <c r="AJ203" i="44"/>
  <c r="AI203" i="44"/>
  <c r="AE203" i="44"/>
  <c r="AD203" i="44"/>
  <c r="AC203" i="44"/>
  <c r="W170" i="44"/>
  <c r="S170" i="44"/>
  <c r="P170" i="44"/>
  <c r="O170" i="44"/>
  <c r="N170" i="44"/>
  <c r="W168" i="44"/>
  <c r="S168" i="44"/>
  <c r="P168" i="44"/>
  <c r="O168" i="44"/>
  <c r="N168" i="44"/>
  <c r="AM170" i="44"/>
  <c r="AL170" i="44"/>
  <c r="AK170" i="44"/>
  <c r="AJ170" i="44"/>
  <c r="AI170" i="44"/>
  <c r="AE170" i="44"/>
  <c r="AD170" i="44"/>
  <c r="AC170" i="44"/>
  <c r="C170" i="44"/>
  <c r="AM168" i="44"/>
  <c r="AL168" i="44"/>
  <c r="AK168" i="44"/>
  <c r="AJ168" i="44"/>
  <c r="AI168" i="44"/>
  <c r="AE168" i="44"/>
  <c r="AD168" i="44"/>
  <c r="AC168" i="44"/>
  <c r="C168" i="44"/>
  <c r="W155" i="44"/>
  <c r="AB155" i="44" s="1"/>
  <c r="S155" i="44"/>
  <c r="P155" i="44"/>
  <c r="O155" i="44"/>
  <c r="N155" i="44"/>
  <c r="W153" i="44"/>
  <c r="AB153" i="44" s="1"/>
  <c r="S153" i="44"/>
  <c r="P153" i="44"/>
  <c r="O153" i="44"/>
  <c r="N153" i="44"/>
  <c r="AM155" i="44"/>
  <c r="AL155" i="44"/>
  <c r="AK155" i="44"/>
  <c r="AJ155" i="44"/>
  <c r="AI155" i="44"/>
  <c r="AE155" i="44"/>
  <c r="AD155" i="44"/>
  <c r="AC155" i="44"/>
  <c r="AM153" i="44"/>
  <c r="AL153" i="44"/>
  <c r="AK153" i="44"/>
  <c r="AJ153" i="44"/>
  <c r="AI153" i="44"/>
  <c r="AE153" i="44"/>
  <c r="AD153" i="44"/>
  <c r="AC153" i="44"/>
  <c r="AN170" i="44" l="1"/>
  <c r="AN205" i="44"/>
  <c r="AN203" i="44"/>
  <c r="AB205" i="44"/>
  <c r="X205" i="44"/>
  <c r="Z205" i="44"/>
  <c r="AA205" i="44"/>
  <c r="AG205" i="44"/>
  <c r="AH205" i="44" s="1"/>
  <c r="AA203" i="44"/>
  <c r="AG203" i="44"/>
  <c r="AH203" i="44" s="1"/>
  <c r="X203" i="44"/>
  <c r="Z203" i="44"/>
  <c r="AN168" i="44"/>
  <c r="X170" i="44"/>
  <c r="Z170" i="44"/>
  <c r="AA170" i="44"/>
  <c r="AB170" i="44"/>
  <c r="AG170" i="44"/>
  <c r="AH170" i="44" s="1"/>
  <c r="Z168" i="44"/>
  <c r="X168" i="44"/>
  <c r="AA168" i="44"/>
  <c r="AB168" i="44"/>
  <c r="AG168" i="44"/>
  <c r="AH168" i="44" s="1"/>
  <c r="AG153" i="44"/>
  <c r="AH153" i="44" s="1"/>
  <c r="AN155" i="44"/>
  <c r="AN153" i="44"/>
  <c r="Z155" i="44"/>
  <c r="AG155" i="44"/>
  <c r="AH155" i="44" s="1"/>
  <c r="X155" i="44"/>
  <c r="AA155" i="44"/>
  <c r="X153" i="44"/>
  <c r="Z153" i="44"/>
  <c r="AA153" i="44"/>
  <c r="AO168" i="44" l="1"/>
  <c r="AO205" i="44"/>
  <c r="AP205" i="44" s="1"/>
  <c r="AO170" i="44"/>
  <c r="AO203" i="44"/>
  <c r="AP203" i="44" s="1"/>
  <c r="AT170" i="44"/>
  <c r="AU170" i="44" s="1"/>
  <c r="AT168" i="44"/>
  <c r="AU168" i="44" s="1"/>
  <c r="AO153" i="44"/>
  <c r="AP153" i="44" s="1"/>
  <c r="AW153" i="44" s="1"/>
  <c r="AO155" i="44"/>
  <c r="AP155" i="44" s="1"/>
  <c r="AW155" i="44" s="1"/>
  <c r="AP168" i="44" l="1"/>
  <c r="AW168" i="44" s="1"/>
  <c r="AP170" i="44"/>
  <c r="AW170" i="44" s="1"/>
  <c r="AV205" i="44"/>
  <c r="AW205" i="44"/>
  <c r="AV203" i="44"/>
  <c r="AW203" i="44"/>
  <c r="AQ155" i="44"/>
  <c r="AV155" i="44"/>
  <c r="AT153" i="44"/>
  <c r="AU153" i="44" s="1"/>
  <c r="AV153" i="44"/>
  <c r="AQ205" i="44"/>
  <c r="AX205" i="44"/>
  <c r="AR205" i="44"/>
  <c r="AS205" i="44" s="1"/>
  <c r="AT205" i="44"/>
  <c r="AU205" i="44" s="1"/>
  <c r="AQ203" i="44"/>
  <c r="AT203" i="44"/>
  <c r="AU203" i="44" s="1"/>
  <c r="AR203" i="44"/>
  <c r="AS203" i="44" s="1"/>
  <c r="AX203" i="44"/>
  <c r="AT155" i="44"/>
  <c r="AU155" i="44" s="1"/>
  <c r="AX155" i="44"/>
  <c r="AR155" i="44"/>
  <c r="AS155" i="44" s="1"/>
  <c r="AQ153" i="44"/>
  <c r="AX153" i="44"/>
  <c r="AR153" i="44"/>
  <c r="AS153" i="44" s="1"/>
  <c r="AD289" i="44"/>
  <c r="AC289" i="44"/>
  <c r="AD288" i="44"/>
  <c r="AD286" i="44"/>
  <c r="AD276" i="44"/>
  <c r="AC156" i="44"/>
  <c r="AX170" i="44" l="1"/>
  <c r="AQ168" i="44"/>
  <c r="AR168" i="44"/>
  <c r="AS168" i="44" s="1"/>
  <c r="AX168" i="44"/>
  <c r="AV168" i="44"/>
  <c r="AQ170" i="44"/>
  <c r="AV170" i="44"/>
  <c r="AR170" i="44"/>
  <c r="AS170" i="44" s="1"/>
  <c r="W313" i="44"/>
  <c r="S313" i="44"/>
  <c r="P313" i="44"/>
  <c r="O313" i="44"/>
  <c r="N313" i="44"/>
  <c r="W309" i="44"/>
  <c r="S309" i="44"/>
  <c r="P309" i="44"/>
  <c r="N309" i="44"/>
  <c r="O309" i="44" s="1"/>
  <c r="W300" i="44"/>
  <c r="AA300" i="44" s="1"/>
  <c r="S300" i="44"/>
  <c r="P300" i="44"/>
  <c r="O300" i="44"/>
  <c r="N300" i="44"/>
  <c r="W296" i="44"/>
  <c r="AA296" i="44" s="1"/>
  <c r="S296" i="44"/>
  <c r="P296" i="44"/>
  <c r="O296" i="44"/>
  <c r="N296" i="44"/>
  <c r="AM313" i="44"/>
  <c r="AL313" i="44"/>
  <c r="AK313" i="44"/>
  <c r="AJ313" i="44"/>
  <c r="AI313" i="44"/>
  <c r="AD313" i="44"/>
  <c r="AC313" i="44"/>
  <c r="C313" i="44"/>
  <c r="AM309" i="44"/>
  <c r="AL309" i="44"/>
  <c r="AK309" i="44"/>
  <c r="AJ309" i="44"/>
  <c r="AI309" i="44"/>
  <c r="AD309" i="44"/>
  <c r="AC309" i="44"/>
  <c r="C309" i="44"/>
  <c r="AM300" i="44"/>
  <c r="AL300" i="44"/>
  <c r="AK300" i="44"/>
  <c r="AJ300" i="44"/>
  <c r="AI300" i="44"/>
  <c r="AD300" i="44"/>
  <c r="AC300" i="44"/>
  <c r="C300" i="44"/>
  <c r="AM296" i="44"/>
  <c r="AL296" i="44"/>
  <c r="AK296" i="44"/>
  <c r="AJ296" i="44"/>
  <c r="AI296" i="44"/>
  <c r="AD296" i="44"/>
  <c r="AC296" i="44"/>
  <c r="C296" i="44"/>
  <c r="W252" i="44"/>
  <c r="AA252" i="44" s="1"/>
  <c r="S252" i="44"/>
  <c r="P252" i="44"/>
  <c r="O252" i="44"/>
  <c r="N252" i="44"/>
  <c r="W250" i="44"/>
  <c r="S250" i="44"/>
  <c r="P250" i="44"/>
  <c r="O250" i="44"/>
  <c r="N250" i="44"/>
  <c r="AM252" i="44"/>
  <c r="AL252" i="44"/>
  <c r="AK252" i="44"/>
  <c r="AJ252" i="44"/>
  <c r="AI252" i="44"/>
  <c r="AE252" i="44"/>
  <c r="AD252" i="44"/>
  <c r="AC252" i="44"/>
  <c r="C252" i="44"/>
  <c r="AM250" i="44"/>
  <c r="AL250" i="44"/>
  <c r="AK250" i="44"/>
  <c r="AJ250" i="44"/>
  <c r="AI250" i="44"/>
  <c r="AE250" i="44"/>
  <c r="AD250" i="44"/>
  <c r="AC250" i="44"/>
  <c r="C250" i="44"/>
  <c r="W194" i="44"/>
  <c r="S194" i="44"/>
  <c r="P194" i="44"/>
  <c r="O194" i="44"/>
  <c r="N194" i="44"/>
  <c r="W192" i="44"/>
  <c r="S192" i="44"/>
  <c r="P192" i="44"/>
  <c r="O192" i="44"/>
  <c r="N192" i="44"/>
  <c r="AM194" i="44"/>
  <c r="AL194" i="44"/>
  <c r="AK194" i="44"/>
  <c r="AJ194" i="44"/>
  <c r="AI194" i="44"/>
  <c r="AE194" i="44"/>
  <c r="AD194" i="44"/>
  <c r="AC194" i="44"/>
  <c r="C194" i="44"/>
  <c r="AM192" i="44"/>
  <c r="AL192" i="44"/>
  <c r="AK192" i="44"/>
  <c r="AJ192" i="44"/>
  <c r="AI192" i="44"/>
  <c r="AE192" i="44"/>
  <c r="AD192" i="44"/>
  <c r="AC192" i="44"/>
  <c r="C192" i="44"/>
  <c r="W174" i="44"/>
  <c r="S174" i="44"/>
  <c r="P174" i="44"/>
  <c r="O174" i="44"/>
  <c r="N174" i="44"/>
  <c r="W172" i="44"/>
  <c r="AB172" i="44" s="1"/>
  <c r="S172" i="44"/>
  <c r="P172" i="44"/>
  <c r="O172" i="44"/>
  <c r="N172" i="44"/>
  <c r="AM174" i="44"/>
  <c r="AL174" i="44"/>
  <c r="AK174" i="44"/>
  <c r="AJ174" i="44"/>
  <c r="AI174" i="44"/>
  <c r="AE174" i="44"/>
  <c r="AD174" i="44"/>
  <c r="AC174" i="44"/>
  <c r="AM172" i="44"/>
  <c r="AL172" i="44"/>
  <c r="AK172" i="44"/>
  <c r="AJ172" i="44"/>
  <c r="AI172" i="44"/>
  <c r="AE172" i="44"/>
  <c r="AD172" i="44"/>
  <c r="AC172" i="44"/>
  <c r="W49" i="44"/>
  <c r="Z49" i="44" s="1"/>
  <c r="S49" i="44"/>
  <c r="P49" i="44"/>
  <c r="O49" i="44"/>
  <c r="N49" i="44"/>
  <c r="AM49" i="44"/>
  <c r="AL49" i="44"/>
  <c r="AK49" i="44"/>
  <c r="AJ49" i="44"/>
  <c r="AI49" i="44"/>
  <c r="AE49" i="44"/>
  <c r="AD49" i="44"/>
  <c r="AC49" i="44"/>
  <c r="W47" i="44"/>
  <c r="AA47" i="44" s="1"/>
  <c r="S47" i="44"/>
  <c r="P47" i="44"/>
  <c r="O47" i="44"/>
  <c r="N47" i="44"/>
  <c r="AM47" i="44"/>
  <c r="AL47" i="44"/>
  <c r="AK47" i="44"/>
  <c r="AJ47" i="44"/>
  <c r="AI47" i="44"/>
  <c r="AE47" i="44"/>
  <c r="AD47" i="44"/>
  <c r="AC47" i="44"/>
  <c r="W28" i="44"/>
  <c r="S28" i="44"/>
  <c r="P28" i="44"/>
  <c r="O28" i="44"/>
  <c r="N28" i="44"/>
  <c r="AM28" i="44"/>
  <c r="AL28" i="44"/>
  <c r="AK28" i="44"/>
  <c r="AJ28" i="44"/>
  <c r="AI28" i="44"/>
  <c r="AE28" i="44"/>
  <c r="AD28" i="44"/>
  <c r="AC28" i="44"/>
  <c r="C28" i="44"/>
  <c r="W26" i="44"/>
  <c r="AB26" i="44" s="1"/>
  <c r="S26" i="44"/>
  <c r="P26" i="44"/>
  <c r="N26" i="44"/>
  <c r="O26" i="44" s="1"/>
  <c r="AM26" i="44"/>
  <c r="AL26" i="44"/>
  <c r="AK26" i="44"/>
  <c r="AJ26" i="44"/>
  <c r="AI26" i="44"/>
  <c r="AE26" i="44"/>
  <c r="AD26" i="44"/>
  <c r="AC26" i="44"/>
  <c r="C26" i="44"/>
  <c r="AM24" i="44"/>
  <c r="AL24" i="44"/>
  <c r="AK24" i="44"/>
  <c r="AJ24" i="44"/>
  <c r="AI24" i="44"/>
  <c r="AE24" i="44"/>
  <c r="AD24" i="44"/>
  <c r="AC24" i="44"/>
  <c r="W24" i="44"/>
  <c r="AA24" i="44" s="1"/>
  <c r="S24" i="44"/>
  <c r="P24" i="44"/>
  <c r="O24" i="44"/>
  <c r="N24" i="44"/>
  <c r="C24" i="44"/>
  <c r="AG300" i="44" l="1"/>
  <c r="AH300" i="44" s="1"/>
  <c r="AN250" i="44"/>
  <c r="AN313" i="44"/>
  <c r="AN300" i="44"/>
  <c r="AN309" i="44"/>
  <c r="AN296" i="44"/>
  <c r="Z313" i="44"/>
  <c r="AG313" i="44"/>
  <c r="AH313" i="44" s="1"/>
  <c r="X313" i="44"/>
  <c r="AA313" i="44"/>
  <c r="AB313" i="44"/>
  <c r="X309" i="44"/>
  <c r="Z309" i="44"/>
  <c r="AA309" i="44"/>
  <c r="AB309" i="44"/>
  <c r="AG309" i="44"/>
  <c r="AH309" i="44" s="1"/>
  <c r="X300" i="44"/>
  <c r="Z300" i="44"/>
  <c r="AT300" i="44"/>
  <c r="AU300" i="44" s="1"/>
  <c r="AB300" i="44"/>
  <c r="Z296" i="44"/>
  <c r="AB296" i="44"/>
  <c r="X296" i="44"/>
  <c r="AG296" i="44"/>
  <c r="AH296" i="44" s="1"/>
  <c r="AN174" i="44"/>
  <c r="AG49" i="44"/>
  <c r="AH49" i="44" s="1"/>
  <c r="AG194" i="44"/>
  <c r="AH194" i="44" s="1"/>
  <c r="AG28" i="44"/>
  <c r="AH28" i="44" s="1"/>
  <c r="AG192" i="44"/>
  <c r="AH192" i="44" s="1"/>
  <c r="AN252" i="44"/>
  <c r="X252" i="44"/>
  <c r="AB252" i="44"/>
  <c r="Z252" i="44"/>
  <c r="AG252" i="44"/>
  <c r="AH252" i="44" s="1"/>
  <c r="X250" i="44"/>
  <c r="Z250" i="44"/>
  <c r="AA250" i="44"/>
  <c r="AG250" i="44"/>
  <c r="AH250" i="44" s="1"/>
  <c r="AB250" i="44"/>
  <c r="AG174" i="44"/>
  <c r="AH174" i="44" s="1"/>
  <c r="X192" i="44"/>
  <c r="Z192" i="44"/>
  <c r="AA192" i="44"/>
  <c r="AB192" i="44"/>
  <c r="AN172" i="44"/>
  <c r="AN194" i="44"/>
  <c r="AN192" i="44"/>
  <c r="AT194" i="44"/>
  <c r="AU194" i="44" s="1"/>
  <c r="Z194" i="44"/>
  <c r="AB194" i="44"/>
  <c r="X194" i="44"/>
  <c r="AA194" i="44"/>
  <c r="AT192" i="44"/>
  <c r="AU192" i="44" s="1"/>
  <c r="AG172" i="44"/>
  <c r="AH172" i="44" s="1"/>
  <c r="X174" i="44"/>
  <c r="AB174" i="44"/>
  <c r="Z174" i="44"/>
  <c r="AA174" i="44"/>
  <c r="Z172" i="44"/>
  <c r="X172" i="44"/>
  <c r="AA172" i="44"/>
  <c r="AN49" i="44"/>
  <c r="AO49" i="44" s="1"/>
  <c r="AQ49" i="44" s="1"/>
  <c r="AG47" i="44"/>
  <c r="AH47" i="44" s="1"/>
  <c r="AN47" i="44"/>
  <c r="AA49" i="44"/>
  <c r="AB49" i="44"/>
  <c r="X49" i="44"/>
  <c r="AB47" i="44"/>
  <c r="X47" i="44"/>
  <c r="Z47" i="44"/>
  <c r="AN24" i="44"/>
  <c r="AN26" i="44"/>
  <c r="AG24" i="44"/>
  <c r="AH24" i="44" s="1"/>
  <c r="AG26" i="44"/>
  <c r="AH26" i="44" s="1"/>
  <c r="X26" i="44"/>
  <c r="Z26" i="44"/>
  <c r="AA26" i="44"/>
  <c r="AN28" i="44"/>
  <c r="AT28" i="44"/>
  <c r="AU28" i="44" s="1"/>
  <c r="Z28" i="44"/>
  <c r="X28" i="44"/>
  <c r="AB28" i="44"/>
  <c r="AA28" i="44"/>
  <c r="AT26" i="44"/>
  <c r="AU26" i="44" s="1"/>
  <c r="X24" i="44"/>
  <c r="Z24" i="44"/>
  <c r="AB24" i="44"/>
  <c r="AT24" i="44" s="1"/>
  <c r="AU24" i="44" s="1"/>
  <c r="AX26" i="44" l="1"/>
  <c r="AX192" i="44"/>
  <c r="AX28" i="44"/>
  <c r="AX24" i="44"/>
  <c r="AX194" i="44"/>
  <c r="AX47" i="44"/>
  <c r="AX49" i="44"/>
  <c r="AO250" i="44"/>
  <c r="AP250" i="44" s="1"/>
  <c r="AO313" i="44"/>
  <c r="AP313" i="44" s="1"/>
  <c r="AW313" i="44" s="1"/>
  <c r="AO300" i="44"/>
  <c r="AP300" i="44" s="1"/>
  <c r="AO309" i="44"/>
  <c r="AP309" i="44" s="1"/>
  <c r="AO296" i="44"/>
  <c r="AP296" i="44" s="1"/>
  <c r="AO194" i="44"/>
  <c r="AQ194" i="44" s="1"/>
  <c r="AO174" i="44"/>
  <c r="AT296" i="44"/>
  <c r="AU296" i="44" s="1"/>
  <c r="AO252" i="44"/>
  <c r="AP252" i="44" s="1"/>
  <c r="AO192" i="44"/>
  <c r="AQ192" i="44" s="1"/>
  <c r="AR192" i="44"/>
  <c r="AS192" i="44" s="1"/>
  <c r="AO172" i="44"/>
  <c r="AO26" i="44"/>
  <c r="AQ26" i="44" s="1"/>
  <c r="AR194" i="44"/>
  <c r="AS194" i="44" s="1"/>
  <c r="AO24" i="44"/>
  <c r="AQ24" i="44" s="1"/>
  <c r="AT174" i="44"/>
  <c r="AU174" i="44" s="1"/>
  <c r="AT172" i="44"/>
  <c r="AU172" i="44" s="1"/>
  <c r="AO47" i="44"/>
  <c r="AQ47" i="44" s="1"/>
  <c r="AR26" i="44"/>
  <c r="AS26" i="44" s="1"/>
  <c r="AR49" i="44"/>
  <c r="AS49" i="44" s="1"/>
  <c r="AT49" i="44"/>
  <c r="AU49" i="44" s="1"/>
  <c r="AT47" i="44"/>
  <c r="AU47" i="44" s="1"/>
  <c r="AR47" i="44"/>
  <c r="AS47" i="44" s="1"/>
  <c r="AR28" i="44"/>
  <c r="AS28" i="44" s="1"/>
  <c r="AO28" i="44"/>
  <c r="AQ28" i="44" s="1"/>
  <c r="AR24" i="44"/>
  <c r="AS24" i="44" s="1"/>
  <c r="AP174" i="44" l="1"/>
  <c r="AP172" i="44"/>
  <c r="AV252" i="44"/>
  <c r="AW252" i="44"/>
  <c r="AV250" i="44"/>
  <c r="AW250" i="44"/>
  <c r="AQ296" i="44"/>
  <c r="AW296" i="44"/>
  <c r="AT309" i="44"/>
  <c r="AU309" i="44" s="1"/>
  <c r="AW309" i="44"/>
  <c r="AW300" i="44"/>
  <c r="AV300" i="44"/>
  <c r="AX300" i="44"/>
  <c r="AR300" i="44"/>
  <c r="AS300" i="44" s="1"/>
  <c r="AQ300" i="44"/>
  <c r="AQ309" i="44"/>
  <c r="AR309" i="44"/>
  <c r="AS309" i="44" s="1"/>
  <c r="AV313" i="44"/>
  <c r="AQ313" i="44"/>
  <c r="AR313" i="44"/>
  <c r="AS313" i="44" s="1"/>
  <c r="AT313" i="44"/>
  <c r="AU313" i="44" s="1"/>
  <c r="AV309" i="44"/>
  <c r="AV296" i="44"/>
  <c r="AX296" i="44"/>
  <c r="AR296" i="44"/>
  <c r="AS296" i="44" s="1"/>
  <c r="AQ252" i="44"/>
  <c r="AX252" i="44"/>
  <c r="AT252" i="44"/>
  <c r="AU252" i="44" s="1"/>
  <c r="AR252" i="44"/>
  <c r="AS252" i="44" s="1"/>
  <c r="AQ250" i="44"/>
  <c r="AT250" i="44"/>
  <c r="AU250" i="44" s="1"/>
  <c r="AX250" i="44"/>
  <c r="AR250" i="44"/>
  <c r="AS250" i="44" s="1"/>
  <c r="AE270" i="44"/>
  <c r="AD270" i="44"/>
  <c r="AE242" i="44"/>
  <c r="AD242" i="44"/>
  <c r="AC123" i="44"/>
  <c r="AC124" i="44"/>
  <c r="AC125" i="44"/>
  <c r="AG70" i="44"/>
  <c r="AH70" i="44" s="1"/>
  <c r="AW172" i="44" l="1"/>
  <c r="AV172" i="44"/>
  <c r="AR172" i="44"/>
  <c r="AS172" i="44" s="1"/>
  <c r="AX172" i="44"/>
  <c r="AQ172" i="44"/>
  <c r="AV174" i="44"/>
  <c r="AW174" i="44"/>
  <c r="AX174" i="44"/>
  <c r="AR174" i="44"/>
  <c r="AS174" i="44" s="1"/>
  <c r="AQ174" i="44"/>
  <c r="N404" i="44"/>
  <c r="N403" i="44"/>
  <c r="N402" i="44"/>
  <c r="N401" i="44"/>
  <c r="N400" i="44"/>
  <c r="N399" i="44"/>
  <c r="N398" i="44"/>
  <c r="N397" i="44"/>
  <c r="N396" i="44"/>
  <c r="N395" i="44"/>
  <c r="N392" i="44"/>
  <c r="N391" i="44"/>
  <c r="N390" i="44"/>
  <c r="N389" i="44"/>
  <c r="N388" i="44"/>
  <c r="N387" i="44"/>
  <c r="N386" i="44"/>
  <c r="N382" i="44"/>
  <c r="N381" i="44"/>
  <c r="N380" i="44"/>
  <c r="N379" i="44"/>
  <c r="N378" i="44"/>
  <c r="N377" i="44"/>
  <c r="N375" i="44"/>
  <c r="N374" i="44"/>
  <c r="N373" i="44"/>
  <c r="N372" i="44"/>
  <c r="N371" i="44"/>
  <c r="AE404" i="44"/>
  <c r="AE403" i="44"/>
  <c r="AD404" i="44"/>
  <c r="AE400" i="44"/>
  <c r="AE399" i="44"/>
  <c r="AD399" i="44"/>
  <c r="AE398" i="44"/>
  <c r="AD398" i="44"/>
  <c r="AE397" i="44"/>
  <c r="AE391" i="44"/>
  <c r="AE390" i="44"/>
  <c r="AD390" i="44"/>
  <c r="AE389" i="44"/>
  <c r="AD389" i="44"/>
  <c r="AE388" i="44"/>
  <c r="AE376" i="44"/>
  <c r="AE375" i="44"/>
  <c r="AD375" i="44"/>
  <c r="AE374" i="44"/>
  <c r="AD374" i="44"/>
  <c r="AE373" i="44"/>
  <c r="AD381" i="44" l="1"/>
  <c r="AD380" i="44"/>
  <c r="AD379" i="44"/>
  <c r="AD378" i="44"/>
  <c r="AE106" i="44" l="1"/>
  <c r="AE105" i="44"/>
  <c r="AE104" i="44"/>
  <c r="AE103" i="44"/>
  <c r="AE102" i="44"/>
  <c r="A12" i="44" l="1"/>
  <c r="A13" i="44" s="1"/>
  <c r="A14" i="44" s="1"/>
  <c r="A15" i="44" s="1"/>
  <c r="A16" i="44" s="1"/>
  <c r="A17" i="44" s="1"/>
  <c r="A18" i="44" s="1"/>
  <c r="A19" i="44" s="1"/>
  <c r="A20" i="44" s="1"/>
  <c r="A21" i="44" s="1"/>
  <c r="A22" i="44" s="1"/>
  <c r="A23" i="44" s="1"/>
  <c r="S106" i="44"/>
  <c r="P106" i="44"/>
  <c r="O106" i="44"/>
  <c r="N106" i="44"/>
  <c r="S105" i="44"/>
  <c r="P105" i="44"/>
  <c r="O105" i="44"/>
  <c r="N105" i="44"/>
  <c r="S104" i="44"/>
  <c r="P104" i="44"/>
  <c r="O104" i="44"/>
  <c r="N104" i="44"/>
  <c r="S103" i="44"/>
  <c r="P103" i="44"/>
  <c r="O103" i="44"/>
  <c r="N103" i="44"/>
  <c r="S102" i="44"/>
  <c r="P102" i="44"/>
  <c r="O102" i="44"/>
  <c r="N102" i="44"/>
  <c r="N101" i="44"/>
  <c r="O101" i="44"/>
  <c r="P101" i="44"/>
  <c r="S101" i="44"/>
  <c r="N422" i="44"/>
  <c r="N230" i="44"/>
  <c r="AT442" i="44"/>
  <c r="AT441" i="44"/>
  <c r="AT440" i="44"/>
  <c r="AT439" i="44"/>
  <c r="AT438" i="44"/>
  <c r="AT437" i="44"/>
  <c r="AT436" i="44"/>
  <c r="AT435" i="44"/>
  <c r="AT434" i="44"/>
  <c r="AT433" i="44"/>
  <c r="AT432" i="44"/>
  <c r="AT431" i="44"/>
  <c r="AT430" i="44"/>
  <c r="AT429" i="44"/>
  <c r="AT428" i="44"/>
  <c r="AT427" i="44"/>
  <c r="AT426" i="44"/>
  <c r="AT425" i="44"/>
  <c r="AT424" i="44"/>
  <c r="AT423" i="44"/>
  <c r="AT422" i="44"/>
  <c r="AT421" i="44"/>
  <c r="AT420" i="44"/>
  <c r="AT419" i="44"/>
  <c r="AT418" i="44"/>
  <c r="AT414" i="44"/>
  <c r="AT413" i="44"/>
  <c r="AT412" i="44"/>
  <c r="AT411" i="44"/>
  <c r="AT410" i="44"/>
  <c r="AT409" i="44"/>
  <c r="AT408" i="44"/>
  <c r="AT407" i="44"/>
  <c r="AT404" i="44"/>
  <c r="AT403" i="44"/>
  <c r="AT402" i="44"/>
  <c r="AT401" i="44"/>
  <c r="AT400" i="44"/>
  <c r="AT399" i="44"/>
  <c r="AT398" i="44"/>
  <c r="AT397" i="44"/>
  <c r="AT396" i="44"/>
  <c r="AT395" i="44"/>
  <c r="AT392" i="44"/>
  <c r="AT391" i="44"/>
  <c r="AT390" i="44"/>
  <c r="AT389" i="44"/>
  <c r="AT388" i="44"/>
  <c r="AT387" i="44"/>
  <c r="AT386" i="44"/>
  <c r="AT382" i="44"/>
  <c r="AT381" i="44"/>
  <c r="AT380" i="44"/>
  <c r="AT379" i="44"/>
  <c r="AT378" i="44"/>
  <c r="AT377" i="44"/>
  <c r="AT376" i="44"/>
  <c r="AT375" i="44"/>
  <c r="AT374" i="44"/>
  <c r="AT373" i="44"/>
  <c r="AT372" i="44"/>
  <c r="AT371" i="44"/>
  <c r="AT367" i="44"/>
  <c r="AT366" i="44"/>
  <c r="AT365" i="44"/>
  <c r="AT364" i="44"/>
  <c r="AT363" i="44"/>
  <c r="AT362" i="44"/>
  <c r="AT361" i="44"/>
  <c r="AT360" i="44"/>
  <c r="AT359" i="44"/>
  <c r="AT348" i="44"/>
  <c r="AT352" i="44"/>
  <c r="AT358" i="44"/>
  <c r="AT357" i="44"/>
  <c r="AT356" i="44"/>
  <c r="AT355" i="44"/>
  <c r="AT354" i="44"/>
  <c r="AT353" i="44"/>
  <c r="AT347" i="44"/>
  <c r="AT339" i="44"/>
  <c r="AT338" i="44"/>
  <c r="AT337" i="44"/>
  <c r="AT336" i="44"/>
  <c r="AT335" i="44"/>
  <c r="AT334" i="44"/>
  <c r="AT333" i="44"/>
  <c r="AT332" i="44"/>
  <c r="AT331" i="44"/>
  <c r="AT330" i="44"/>
  <c r="AT329" i="44"/>
  <c r="AT328" i="44"/>
  <c r="AT327" i="44"/>
  <c r="AT315" i="44"/>
  <c r="AT314" i="44"/>
  <c r="AT311" i="44"/>
  <c r="AT310" i="44"/>
  <c r="AT307" i="44"/>
  <c r="AT302" i="44"/>
  <c r="AT301" i="44"/>
  <c r="AT298" i="44"/>
  <c r="AT297" i="44"/>
  <c r="AT289" i="44"/>
  <c r="AT288" i="44"/>
  <c r="AT287" i="44"/>
  <c r="AT286" i="44"/>
  <c r="AT285" i="44"/>
  <c r="AT284" i="44"/>
  <c r="AT283" i="44"/>
  <c r="AT282" i="44"/>
  <c r="AT281" i="44"/>
  <c r="AT280" i="44"/>
  <c r="AT274" i="44"/>
  <c r="AT273" i="44"/>
  <c r="AT272" i="44"/>
  <c r="AT271" i="44"/>
  <c r="AT270" i="44"/>
  <c r="AT269" i="44"/>
  <c r="AT268" i="44"/>
  <c r="AT267" i="44"/>
  <c r="AT266" i="44"/>
  <c r="AT265" i="44"/>
  <c r="AT264" i="44"/>
  <c r="AT263" i="44"/>
  <c r="AT262" i="44"/>
  <c r="AT256" i="44"/>
  <c r="AT255" i="44"/>
  <c r="AT254" i="44"/>
  <c r="AT245" i="44"/>
  <c r="AT244" i="44"/>
  <c r="AT243" i="44"/>
  <c r="AT241" i="44"/>
  <c r="AT240" i="44"/>
  <c r="AT239" i="44"/>
  <c r="AT237" i="44"/>
  <c r="AT236" i="44"/>
  <c r="AT235" i="44"/>
  <c r="AT234" i="44"/>
  <c r="AT233" i="44"/>
  <c r="AT232" i="44"/>
  <c r="AT226" i="44"/>
  <c r="AT225" i="44"/>
  <c r="AT224" i="44"/>
  <c r="AT223" i="44"/>
  <c r="AT222" i="44"/>
  <c r="AT221" i="44"/>
  <c r="AT214" i="44"/>
  <c r="AT213" i="44"/>
  <c r="AT212" i="44"/>
  <c r="AT200" i="44"/>
  <c r="AT199" i="44"/>
  <c r="AT189" i="44"/>
  <c r="AT149" i="44"/>
  <c r="AT176" i="44"/>
  <c r="AT163" i="44"/>
  <c r="AT162" i="44"/>
  <c r="AT185" i="44"/>
  <c r="AT184" i="44"/>
  <c r="AT182" i="44"/>
  <c r="AT180" i="44"/>
  <c r="AT179" i="44"/>
  <c r="AT178" i="44"/>
  <c r="AT177" i="44"/>
  <c r="AT148" i="44"/>
  <c r="AT147" i="44"/>
  <c r="AT146" i="44"/>
  <c r="AT145" i="44"/>
  <c r="AT144" i="44"/>
  <c r="AT143" i="44"/>
  <c r="AT142" i="44"/>
  <c r="AT141" i="44"/>
  <c r="AT139" i="44"/>
  <c r="AT138" i="44"/>
  <c r="AT137" i="44"/>
  <c r="AT136" i="44"/>
  <c r="AT135" i="44"/>
  <c r="AT134" i="44"/>
  <c r="AT133" i="44"/>
  <c r="AT132" i="44"/>
  <c r="AT131" i="44"/>
  <c r="AT130" i="44"/>
  <c r="AT129" i="44"/>
  <c r="AT128" i="44"/>
  <c r="AT127" i="44"/>
  <c r="AT125" i="44"/>
  <c r="AT124" i="44"/>
  <c r="AT123" i="44"/>
  <c r="AT122" i="44"/>
  <c r="AT121" i="44"/>
  <c r="AT120" i="44"/>
  <c r="AT119" i="44"/>
  <c r="AT118" i="44"/>
  <c r="AT117" i="44"/>
  <c r="AT116" i="44"/>
  <c r="AT115" i="44"/>
  <c r="AT114" i="44"/>
  <c r="AT106" i="44"/>
  <c r="AT105" i="44"/>
  <c r="AT104" i="44"/>
  <c r="AT103" i="44"/>
  <c r="AT102" i="44"/>
  <c r="AT101" i="44"/>
  <c r="AT100" i="44"/>
  <c r="AT99" i="44"/>
  <c r="AT95" i="44"/>
  <c r="AT92" i="44"/>
  <c r="AT91" i="44"/>
  <c r="AT90" i="44"/>
  <c r="AT88" i="44"/>
  <c r="AT87" i="44"/>
  <c r="AT86" i="44"/>
  <c r="AT84" i="44"/>
  <c r="AT83" i="44"/>
  <c r="AT81" i="44"/>
  <c r="AT80" i="44"/>
  <c r="AT75" i="44"/>
  <c r="AT74" i="44"/>
  <c r="AT73" i="44"/>
  <c r="AT72" i="44"/>
  <c r="AT70" i="44"/>
  <c r="AT68" i="44"/>
  <c r="AT67" i="44"/>
  <c r="AT44" i="44"/>
  <c r="AT64" i="44"/>
  <c r="AT63" i="44"/>
  <c r="AT62" i="44"/>
  <c r="AT60" i="44"/>
  <c r="AT59" i="44"/>
  <c r="AT53" i="44"/>
  <c r="AT50" i="44"/>
  <c r="AT45" i="44"/>
  <c r="AT36" i="44"/>
  <c r="AT30" i="44"/>
  <c r="AT29" i="44"/>
  <c r="A24" i="44" l="1"/>
  <c r="A25" i="44" s="1"/>
  <c r="A26" i="44" s="1"/>
  <c r="A27" i="44" s="1"/>
  <c r="A28" i="44" s="1"/>
  <c r="A29" i="44" s="1"/>
  <c r="A30" i="44" s="1"/>
  <c r="A31" i="44" l="1"/>
  <c r="A32" i="44" s="1"/>
  <c r="A33" i="44" s="1"/>
  <c r="A34" i="44" s="1"/>
  <c r="A35" i="44" s="1"/>
  <c r="A44" i="44" l="1"/>
  <c r="A45" i="44" s="1"/>
  <c r="A46" i="44" s="1"/>
  <c r="A48" i="44" l="1"/>
  <c r="A50" i="44" s="1"/>
  <c r="A51" i="44" s="1"/>
  <c r="A52" i="44" s="1"/>
  <c r="A53" i="44" s="1"/>
  <c r="A54" i="44" s="1"/>
  <c r="A55" i="44" s="1"/>
  <c r="A56" i="44" s="1"/>
  <c r="A57" i="44" s="1"/>
  <c r="A59" i="44" s="1"/>
  <c r="A60" i="44" s="1"/>
  <c r="A47" i="44"/>
  <c r="A49" i="44" s="1"/>
  <c r="A61" i="44" l="1"/>
  <c r="A62" i="44" s="1"/>
  <c r="A63" i="44" s="1"/>
  <c r="A67" i="44" l="1"/>
  <c r="A68" i="44" s="1"/>
  <c r="A69" i="44" s="1"/>
  <c r="A70" i="44" s="1"/>
  <c r="A71" i="44" s="1"/>
  <c r="A72" i="44" s="1"/>
  <c r="A73" i="44" s="1"/>
  <c r="A74" i="44" s="1"/>
  <c r="A75" i="44" s="1"/>
  <c r="A83" i="44" l="1"/>
  <c r="A84" i="44" s="1"/>
  <c r="A85" i="44" s="1"/>
  <c r="A86" i="44" s="1"/>
  <c r="A87" i="44" s="1"/>
  <c r="A88" i="44" s="1"/>
  <c r="A89" i="44" s="1"/>
  <c r="A90" i="44" s="1"/>
  <c r="A91" i="44" s="1"/>
  <c r="A92" i="44" s="1"/>
  <c r="A93" i="44" l="1"/>
  <c r="A95" i="44"/>
  <c r="A96" i="44" s="1"/>
  <c r="A97" i="44" s="1"/>
  <c r="A98" i="44" s="1"/>
  <c r="A99" i="44" s="1"/>
  <c r="A100" i="44" s="1"/>
  <c r="A101" i="44" s="1"/>
  <c r="A102" i="44" s="1"/>
  <c r="A103" i="44" s="1"/>
  <c r="A104" i="44" s="1"/>
  <c r="A105" i="44" s="1"/>
  <c r="A106" i="44" s="1"/>
  <c r="A114" i="44" s="1"/>
  <c r="A115" i="44" s="1"/>
  <c r="A116" i="44" s="1"/>
  <c r="A117" i="44" s="1"/>
  <c r="A118" i="44" s="1"/>
  <c r="A119" i="44" s="1"/>
  <c r="A120" i="44" s="1"/>
  <c r="A121" i="44" s="1"/>
  <c r="A122" i="44" s="1"/>
  <c r="A123" i="44" s="1"/>
  <c r="A124" i="44" s="1"/>
  <c r="A125" i="44" s="1"/>
  <c r="A127" i="44" s="1"/>
  <c r="A128" i="44" s="1"/>
  <c r="A129" i="44" s="1"/>
  <c r="A130" i="44" s="1"/>
  <c r="A131" i="44" s="1"/>
  <c r="A132" i="44" s="1"/>
  <c r="A133" i="44" s="1"/>
  <c r="A134" i="44" s="1"/>
  <c r="A135" i="44" s="1"/>
  <c r="A136" i="44" s="1"/>
  <c r="A137" i="44" s="1"/>
  <c r="A138" i="44" s="1"/>
  <c r="A139" i="44" s="1"/>
  <c r="A141" i="44" s="1"/>
  <c r="A142" i="44" s="1"/>
  <c r="A143" i="44" s="1"/>
  <c r="A144" i="44" s="1"/>
  <c r="A145" i="44" s="1"/>
  <c r="A146" i="44" s="1"/>
  <c r="A147" i="44" s="1"/>
  <c r="A148" i="44" s="1"/>
  <c r="A149" i="44" s="1"/>
  <c r="A150" i="44" s="1"/>
  <c r="A151" i="44" s="1"/>
  <c r="A152" i="44" s="1"/>
  <c r="A154" i="44" l="1"/>
  <c r="A156" i="44" s="1"/>
  <c r="A157" i="44" s="1"/>
  <c r="A153" i="44"/>
  <c r="A155" i="44" s="1"/>
  <c r="A159" i="44" l="1"/>
  <c r="A160" i="44" s="1"/>
  <c r="A162" i="44" s="1"/>
  <c r="A163" i="44" s="1"/>
  <c r="A165" i="44" s="1"/>
  <c r="A166" i="44" s="1"/>
  <c r="A167" i="44" s="1"/>
  <c r="A168" i="44" s="1"/>
  <c r="A169" i="44" s="1"/>
  <c r="A170" i="44" s="1"/>
  <c r="A171" i="44" s="1"/>
  <c r="A172" i="44" s="1"/>
  <c r="A173" i="44" s="1"/>
  <c r="A174" i="44" s="1"/>
  <c r="A176" i="44" s="1"/>
  <c r="A177" i="44" s="1"/>
  <c r="A178" i="44" s="1"/>
  <c r="A179" i="44" s="1"/>
  <c r="A180" i="44" s="1"/>
  <c r="A182" i="44" s="1"/>
  <c r="A184" i="44" s="1"/>
  <c r="A185" i="44" s="1"/>
  <c r="A191" i="44" s="1"/>
  <c r="A192" i="44" s="1"/>
  <c r="A193" i="44" s="1"/>
  <c r="A194" i="44" s="1"/>
  <c r="A202" i="44" s="1"/>
  <c r="A203" i="44" s="1"/>
  <c r="A204" i="44" s="1"/>
  <c r="A205" i="44" s="1"/>
  <c r="A206" i="44" s="1"/>
  <c r="A208" i="44" s="1"/>
  <c r="A217" i="44" s="1"/>
  <c r="A220" i="44" s="1"/>
  <c r="A224" i="44" s="1"/>
  <c r="A228" i="44" s="1"/>
  <c r="A231" i="44" s="1"/>
  <c r="A235" i="44" s="1"/>
  <c r="A238" i="44" s="1"/>
  <c r="A239" i="44" s="1"/>
  <c r="A240" i="44" s="1"/>
  <c r="A241" i="44" s="1"/>
  <c r="A242" i="44" s="1"/>
  <c r="A243" i="44" s="1"/>
  <c r="A244" i="44" s="1"/>
  <c r="A245" i="44" s="1"/>
  <c r="A247" i="44" s="1"/>
  <c r="A249" i="44" s="1"/>
  <c r="A250" i="44" s="1"/>
  <c r="A251" i="44" s="1"/>
  <c r="A252" i="44" s="1"/>
  <c r="A253" i="44" s="1"/>
  <c r="A257" i="44" s="1"/>
  <c r="A261" i="44" s="1"/>
  <c r="A265" i="44" s="1"/>
  <c r="A266" i="44" s="1"/>
  <c r="A267" i="44" s="1"/>
  <c r="A268" i="44" s="1"/>
  <c r="A269" i="44" s="1"/>
  <c r="A270" i="44" s="1"/>
  <c r="A271" i="44" s="1"/>
  <c r="A272" i="44" s="1"/>
  <c r="A273" i="44" s="1"/>
  <c r="A274" i="44" s="1"/>
  <c r="A158" i="44"/>
  <c r="A278" i="44" l="1"/>
  <c r="A280" i="44" s="1"/>
  <c r="A281" i="44" s="1"/>
  <c r="A282" i="44" s="1"/>
  <c r="A283" i="44" s="1"/>
  <c r="A284" i="44" s="1"/>
  <c r="A285" i="44" s="1"/>
  <c r="A286" i="44" s="1"/>
  <c r="A287" i="44" s="1"/>
  <c r="A288" i="44" s="1"/>
  <c r="A289" i="44" s="1"/>
  <c r="A290" i="44" s="1"/>
  <c r="A291" i="44" s="1"/>
  <c r="A292" i="44" s="1"/>
  <c r="A295" i="44" s="1"/>
  <c r="A296" i="44" s="1"/>
  <c r="A297" i="44" s="1"/>
  <c r="A298" i="44" s="1"/>
  <c r="A299" i="44" s="1"/>
  <c r="A300" i="44" s="1"/>
  <c r="A301" i="44" l="1"/>
  <c r="A302" i="44" s="1"/>
  <c r="A307" i="44" s="1"/>
  <c r="A308" i="44" s="1"/>
  <c r="A309" i="44" s="1"/>
  <c r="A310" i="44" s="1"/>
  <c r="A311" i="44" s="1"/>
  <c r="A316" i="44" s="1"/>
  <c r="A321" i="44" s="1"/>
  <c r="A326" i="44" s="1"/>
  <c r="A303" i="44"/>
  <c r="A304" i="44" s="1"/>
  <c r="A305" i="44" s="1"/>
  <c r="A306" i="44" s="1"/>
  <c r="A312" i="44" l="1"/>
  <c r="A313" i="44" s="1"/>
  <c r="A317" i="44" l="1"/>
  <c r="A322" i="44" s="1"/>
  <c r="A314" i="44"/>
  <c r="A318" i="44"/>
  <c r="A323" i="44" s="1"/>
  <c r="A315" i="44" l="1"/>
  <c r="A319" i="44"/>
  <c r="A324" i="44" s="1"/>
  <c r="A327" i="44" l="1"/>
  <c r="A328" i="44" s="1"/>
  <c r="A329" i="44" s="1"/>
  <c r="A330" i="44" s="1"/>
  <c r="A331" i="44" s="1"/>
  <c r="A332" i="44" s="1"/>
  <c r="A333" i="44" s="1"/>
  <c r="A320" i="44"/>
  <c r="A325" i="44" s="1"/>
  <c r="A334" i="44" l="1"/>
  <c r="A335" i="44" s="1"/>
  <c r="A336" i="44" s="1"/>
  <c r="A337" i="44" s="1"/>
  <c r="A338" i="44" s="1"/>
  <c r="A339" i="44" s="1"/>
  <c r="A347" i="44" l="1"/>
  <c r="A348" i="44" s="1"/>
  <c r="A349" i="44" s="1"/>
  <c r="A350"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1" i="44" s="1"/>
  <c r="A372" i="44" s="1"/>
  <c r="A373" i="44" s="1"/>
  <c r="A374" i="44" s="1"/>
  <c r="A375" i="44" s="1"/>
  <c r="A376" i="44" s="1"/>
  <c r="A377" i="44" s="1"/>
  <c r="A378" i="44" s="1"/>
  <c r="A379" i="44" s="1"/>
  <c r="A380" i="44" s="1"/>
  <c r="A381" i="44" s="1"/>
  <c r="A382" i="44" s="1"/>
  <c r="A383" i="44" s="1"/>
  <c r="A384" i="44" s="1"/>
  <c r="A386" i="44" s="1"/>
  <c r="A387" i="44" s="1"/>
  <c r="A388" i="44" s="1"/>
  <c r="A389" i="44" s="1"/>
  <c r="A390" i="44" s="1"/>
  <c r="A391" i="44" s="1"/>
  <c r="A392" i="44" s="1"/>
  <c r="A393" i="44" s="1"/>
  <c r="A395" i="44" s="1"/>
  <c r="A396" i="44" s="1"/>
  <c r="A397" i="44" s="1"/>
  <c r="A398" i="44" s="1"/>
  <c r="A399" i="44" s="1"/>
  <c r="A400" i="44" s="1"/>
  <c r="A401" i="44" s="1"/>
  <c r="A402" i="44" s="1"/>
  <c r="A403" i="44" s="1"/>
  <c r="A404" i="44" s="1"/>
  <c r="A405" i="44" s="1"/>
  <c r="A407" i="44" s="1"/>
  <c r="A408" i="44" s="1"/>
  <c r="A409" i="44" s="1"/>
  <c r="A410" i="44" s="1"/>
  <c r="A411" i="44" s="1"/>
  <c r="A412" i="44" s="1"/>
  <c r="A413" i="44" s="1"/>
  <c r="A414" i="44" s="1"/>
  <c r="A415" i="44" s="1"/>
  <c r="A416"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8" i="44" s="1"/>
  <c r="A439" i="44" s="1"/>
  <c r="A440" i="44" s="1"/>
  <c r="A441" i="44" s="1"/>
  <c r="A442" i="44" s="1"/>
  <c r="A443" i="44" s="1"/>
  <c r="A342" i="44"/>
  <c r="A343" i="44" s="1"/>
  <c r="A344" i="44" s="1"/>
  <c r="A345" i="44" s="1"/>
  <c r="AD27" i="44" l="1"/>
  <c r="AD25" i="44"/>
  <c r="AD23" i="44"/>
  <c r="W27" i="44"/>
  <c r="W25" i="44"/>
  <c r="AC46" i="44"/>
  <c r="W133" i="44"/>
  <c r="AC30" i="44"/>
  <c r="AC25" i="44"/>
  <c r="AC19" i="44"/>
  <c r="AD20" i="44"/>
  <c r="AD19" i="44"/>
  <c r="AD18" i="44"/>
  <c r="AD17" i="44"/>
  <c r="AD16" i="44"/>
  <c r="AD15" i="44"/>
  <c r="AD14" i="44"/>
  <c r="AD13" i="44"/>
  <c r="AD12" i="44"/>
  <c r="AD11" i="44"/>
  <c r="AB133" i="44" l="1"/>
  <c r="Z133" i="44"/>
  <c r="AA133" i="44"/>
  <c r="AC173" i="44"/>
  <c r="AC169" i="44"/>
  <c r="AC166" i="44"/>
  <c r="AC193" i="44"/>
  <c r="AC204" i="44"/>
  <c r="AC217" i="44"/>
  <c r="AC251" i="44"/>
  <c r="AC202" i="44"/>
  <c r="AC191" i="44"/>
  <c r="AC185" i="44"/>
  <c r="AC184" i="44"/>
  <c r="AC182" i="44"/>
  <c r="AC171" i="44"/>
  <c r="AC167" i="44"/>
  <c r="AC165" i="44"/>
  <c r="AC206" i="44"/>
  <c r="AC208" i="44"/>
  <c r="AC220" i="44"/>
  <c r="AC228" i="44"/>
  <c r="AC247" i="44"/>
  <c r="AC249" i="44"/>
  <c r="AC253" i="44"/>
  <c r="AC257" i="44"/>
  <c r="AC261" i="44"/>
  <c r="AC278" i="44"/>
  <c r="AC276" i="44"/>
  <c r="AC288" i="44"/>
  <c r="AC285" i="44"/>
  <c r="AC283" i="44"/>
  <c r="AC280" i="44"/>
  <c r="AC287" i="44"/>
  <c r="AC286" i="44"/>
  <c r="AC284" i="44"/>
  <c r="AC282" i="44"/>
  <c r="AC281" i="44"/>
  <c r="AC274" i="44"/>
  <c r="AC273" i="44"/>
  <c r="AC272" i="44"/>
  <c r="AC271" i="44"/>
  <c r="AC270" i="44"/>
  <c r="AC269" i="44"/>
  <c r="AC268" i="44"/>
  <c r="AC267" i="44"/>
  <c r="AC266" i="44"/>
  <c r="AC265" i="44"/>
  <c r="AC245" i="44"/>
  <c r="AC244" i="44"/>
  <c r="AC243" i="44"/>
  <c r="AC242" i="44"/>
  <c r="AC241" i="44"/>
  <c r="AC240" i="44"/>
  <c r="AC239" i="44"/>
  <c r="AC238" i="44"/>
  <c r="AC235" i="44"/>
  <c r="AC224" i="44"/>
  <c r="AC149" i="44"/>
  <c r="AG149" i="44" s="1"/>
  <c r="AH149" i="44" s="1"/>
  <c r="AC148" i="44"/>
  <c r="AC147" i="44"/>
  <c r="AG147" i="44" s="1"/>
  <c r="AH147" i="44" s="1"/>
  <c r="AC146" i="44"/>
  <c r="AD278" i="44"/>
  <c r="AM278" i="44"/>
  <c r="AL278" i="44"/>
  <c r="AK278" i="44"/>
  <c r="AJ278" i="44"/>
  <c r="AI278" i="44"/>
  <c r="AE278" i="44"/>
  <c r="W278" i="44"/>
  <c r="S278" i="44"/>
  <c r="P278" i="44"/>
  <c r="N278" i="44"/>
  <c r="AM276" i="44"/>
  <c r="AL276" i="44"/>
  <c r="AK276" i="44"/>
  <c r="AJ276" i="44"/>
  <c r="AI276" i="44"/>
  <c r="AE276" i="44"/>
  <c r="W276" i="44"/>
  <c r="AA276" i="44" s="1"/>
  <c r="S276" i="44"/>
  <c r="P276" i="44"/>
  <c r="N276" i="44"/>
  <c r="AD75" i="44"/>
  <c r="AD74" i="44"/>
  <c r="AD73" i="44"/>
  <c r="AD72" i="44"/>
  <c r="AD76" i="44"/>
  <c r="AD92" i="44"/>
  <c r="AD91" i="44"/>
  <c r="AD90" i="44"/>
  <c r="AC163" i="44"/>
  <c r="AG163" i="44" s="1"/>
  <c r="AH163" i="44" s="1"/>
  <c r="AC162" i="44"/>
  <c r="H163" i="44"/>
  <c r="N163" i="44" s="1"/>
  <c r="AU163" i="44"/>
  <c r="AM163" i="44"/>
  <c r="AL163" i="44"/>
  <c r="AK163" i="44"/>
  <c r="AJ163" i="44"/>
  <c r="AI163" i="44"/>
  <c r="W163" i="44"/>
  <c r="AB163" i="44" s="1"/>
  <c r="S163" i="44"/>
  <c r="P163" i="44"/>
  <c r="O163" i="44"/>
  <c r="H151" i="44"/>
  <c r="N151" i="44" s="1"/>
  <c r="H149" i="44"/>
  <c r="N149" i="44" s="1"/>
  <c r="H147" i="44"/>
  <c r="N147" i="44" s="1"/>
  <c r="AU151" i="44"/>
  <c r="AT151" i="44"/>
  <c r="AM151" i="44"/>
  <c r="AL151" i="44"/>
  <c r="AK151" i="44"/>
  <c r="AJ151" i="44"/>
  <c r="AI151" i="44"/>
  <c r="AC151" i="44"/>
  <c r="W151" i="44"/>
  <c r="AB151" i="44" s="1"/>
  <c r="S151" i="44"/>
  <c r="P151" i="44"/>
  <c r="O151" i="44"/>
  <c r="AU149" i="44"/>
  <c r="AM149" i="44"/>
  <c r="AL149" i="44"/>
  <c r="AK149" i="44"/>
  <c r="AJ149" i="44"/>
  <c r="AI149" i="44"/>
  <c r="W149" i="44"/>
  <c r="S149" i="44"/>
  <c r="P149" i="44"/>
  <c r="O149" i="44"/>
  <c r="C149" i="44"/>
  <c r="AU147" i="44"/>
  <c r="AM147" i="44"/>
  <c r="AL147" i="44"/>
  <c r="AK147" i="44"/>
  <c r="AJ147" i="44"/>
  <c r="AI147" i="44"/>
  <c r="W147" i="44"/>
  <c r="Z147" i="44" s="1"/>
  <c r="S147" i="44"/>
  <c r="P147" i="44"/>
  <c r="O147" i="44"/>
  <c r="C147" i="44"/>
  <c r="H162" i="44"/>
  <c r="AU150" i="44"/>
  <c r="AT150" i="44"/>
  <c r="AM150" i="44"/>
  <c r="AL150" i="44"/>
  <c r="AK150" i="44"/>
  <c r="AJ150" i="44"/>
  <c r="AI150" i="44"/>
  <c r="AC150" i="44"/>
  <c r="AG150" i="44" s="1"/>
  <c r="AH150" i="44" s="1"/>
  <c r="W150" i="44"/>
  <c r="AB150" i="44" s="1"/>
  <c r="S150" i="44"/>
  <c r="P150" i="44"/>
  <c r="O150" i="44"/>
  <c r="N150" i="44"/>
  <c r="AG278" i="44" l="1"/>
  <c r="AH278" i="44" s="1"/>
  <c r="AN278" i="44"/>
  <c r="AB276" i="44"/>
  <c r="AN276" i="44"/>
  <c r="X276" i="44"/>
  <c r="Z276" i="44"/>
  <c r="O278" i="44"/>
  <c r="Z278" i="44"/>
  <c r="AA278" i="44"/>
  <c r="X278" i="44"/>
  <c r="AB278" i="44"/>
  <c r="AG276" i="44"/>
  <c r="AH276" i="44" s="1"/>
  <c r="O276" i="44"/>
  <c r="AN147" i="44"/>
  <c r="AO147" i="44" s="1"/>
  <c r="AP147" i="44" s="1"/>
  <c r="AW147" i="44" s="1"/>
  <c r="AN151" i="44"/>
  <c r="AN163" i="44"/>
  <c r="AN150" i="44"/>
  <c r="AN149" i="44"/>
  <c r="X163" i="44"/>
  <c r="Z163" i="44"/>
  <c r="AA163" i="44"/>
  <c r="AG151" i="44"/>
  <c r="AH151" i="44" s="1"/>
  <c r="X151" i="44"/>
  <c r="Z151" i="44"/>
  <c r="AA151" i="44"/>
  <c r="AB149" i="44"/>
  <c r="X149" i="44"/>
  <c r="Z149" i="44"/>
  <c r="AA149" i="44"/>
  <c r="AA147" i="44"/>
  <c r="AB147" i="44"/>
  <c r="X147" i="44"/>
  <c r="X150" i="44"/>
  <c r="Z150" i="44"/>
  <c r="AA150" i="44"/>
  <c r="AO278" i="44" l="1"/>
  <c r="AP278" i="44" s="1"/>
  <c r="AW278" i="44" s="1"/>
  <c r="AO276" i="44"/>
  <c r="AP276" i="44" s="1"/>
  <c r="AW276" i="44" s="1"/>
  <c r="AO151" i="44"/>
  <c r="AP151" i="44" s="1"/>
  <c r="AV151" i="44" s="1"/>
  <c r="AO150" i="44"/>
  <c r="AP150" i="44" s="1"/>
  <c r="AX147" i="44"/>
  <c r="AR147" i="44"/>
  <c r="AS147" i="44" s="1"/>
  <c r="AO149" i="44"/>
  <c r="AP149" i="44" s="1"/>
  <c r="AW149" i="44" s="1"/>
  <c r="AO163" i="44"/>
  <c r="AP163" i="44" s="1"/>
  <c r="AX163" i="44" s="1"/>
  <c r="AQ147" i="44"/>
  <c r="AW163" i="44" l="1"/>
  <c r="AW151" i="44"/>
  <c r="AV150" i="44"/>
  <c r="AW150" i="44"/>
  <c r="AV276" i="44"/>
  <c r="AT278" i="44"/>
  <c r="AU278" i="44" s="1"/>
  <c r="AV278" i="44"/>
  <c r="AT276" i="44"/>
  <c r="AU276" i="44" s="1"/>
  <c r="AX151" i="44"/>
  <c r="AQ276" i="44"/>
  <c r="AR276" i="44"/>
  <c r="AS276" i="44" s="1"/>
  <c r="AX278" i="44"/>
  <c r="AR278" i="44"/>
  <c r="AS278" i="44" s="1"/>
  <c r="AQ278" i="44"/>
  <c r="AQ150" i="44"/>
  <c r="AR150" i="44"/>
  <c r="AS150" i="44" s="1"/>
  <c r="AX150" i="44"/>
  <c r="AR163" i="44"/>
  <c r="AS163" i="44" s="1"/>
  <c r="AX149" i="44"/>
  <c r="AQ163" i="44"/>
  <c r="AQ151" i="44"/>
  <c r="AR151" i="44"/>
  <c r="AS151" i="44" s="1"/>
  <c r="AR149" i="44"/>
  <c r="AS149" i="44" s="1"/>
  <c r="AQ149" i="44"/>
  <c r="AC442" i="44" l="1"/>
  <c r="AC441" i="44"/>
  <c r="AC440" i="44"/>
  <c r="AC439" i="44"/>
  <c r="AC438" i="44"/>
  <c r="AC437" i="44"/>
  <c r="AC436" i="44"/>
  <c r="AC435" i="44"/>
  <c r="AC434" i="44"/>
  <c r="AC433" i="44"/>
  <c r="AC432" i="44"/>
  <c r="AC431" i="44"/>
  <c r="AC430" i="44"/>
  <c r="AC429" i="44"/>
  <c r="AC428" i="44"/>
  <c r="AC427" i="44"/>
  <c r="AC426" i="44"/>
  <c r="AC425" i="44"/>
  <c r="AC424" i="44"/>
  <c r="AC422" i="44"/>
  <c r="AC421" i="44"/>
  <c r="AC420" i="44"/>
  <c r="AC419" i="44"/>
  <c r="AC418" i="44"/>
  <c r="AC404" i="44"/>
  <c r="AC403" i="44"/>
  <c r="AC400" i="44"/>
  <c r="AC339" i="44"/>
  <c r="AC338" i="44"/>
  <c r="AC337" i="44"/>
  <c r="AC336" i="44"/>
  <c r="AC335" i="44"/>
  <c r="AC334" i="44"/>
  <c r="AC333" i="44"/>
  <c r="AC332" i="44"/>
  <c r="AC331" i="44"/>
  <c r="AC330" i="44"/>
  <c r="AC329" i="44"/>
  <c r="AC328" i="44"/>
  <c r="AC327" i="44"/>
  <c r="AC315" i="44"/>
  <c r="AC314" i="44"/>
  <c r="AC312" i="44"/>
  <c r="AC311" i="44"/>
  <c r="AC310" i="44"/>
  <c r="AC308" i="44"/>
  <c r="AC307" i="44"/>
  <c r="AC302" i="44"/>
  <c r="AC301" i="44"/>
  <c r="AC299" i="44"/>
  <c r="AC298" i="44"/>
  <c r="AC297" i="44"/>
  <c r="AC295" i="44"/>
  <c r="AC423" i="44"/>
  <c r="AU392" i="44" l="1"/>
  <c r="AM392" i="44"/>
  <c r="AL392" i="44"/>
  <c r="AK392" i="44"/>
  <c r="AJ392" i="44"/>
  <c r="AI392" i="44"/>
  <c r="W392" i="44"/>
  <c r="AA392" i="44" s="1"/>
  <c r="S392" i="44"/>
  <c r="P392" i="44"/>
  <c r="O392" i="44"/>
  <c r="AN392" i="44" l="1"/>
  <c r="AG392" i="44"/>
  <c r="AH392" i="44" s="1"/>
  <c r="X392" i="44"/>
  <c r="Z392" i="44"/>
  <c r="AB392" i="44"/>
  <c r="AM206" i="44"/>
  <c r="AL206" i="44"/>
  <c r="AK206" i="44"/>
  <c r="AJ206" i="44"/>
  <c r="AI206" i="44"/>
  <c r="AE206" i="44"/>
  <c r="AD206" i="44"/>
  <c r="W206" i="44"/>
  <c r="Z206" i="44" s="1"/>
  <c r="S206" i="44"/>
  <c r="P206" i="44"/>
  <c r="N206" i="44"/>
  <c r="AM204" i="44"/>
  <c r="AL204" i="44"/>
  <c r="AK204" i="44"/>
  <c r="AJ204" i="44"/>
  <c r="AI204" i="44"/>
  <c r="AE204" i="44"/>
  <c r="AD204" i="44"/>
  <c r="W204" i="44"/>
  <c r="S204" i="44"/>
  <c r="P204" i="44"/>
  <c r="N204" i="44"/>
  <c r="AM202" i="44"/>
  <c r="AL202" i="44"/>
  <c r="AK202" i="44"/>
  <c r="AJ202" i="44"/>
  <c r="AI202" i="44"/>
  <c r="AE202" i="44"/>
  <c r="AD202" i="44"/>
  <c r="W202" i="44"/>
  <c r="AB202" i="44" s="1"/>
  <c r="S202" i="44"/>
  <c r="P202" i="44"/>
  <c r="N202" i="44"/>
  <c r="AG202" i="44" l="1"/>
  <c r="AH202" i="44" s="1"/>
  <c r="AO392" i="44"/>
  <c r="AP392" i="44" s="1"/>
  <c r="AW392" i="44" s="1"/>
  <c r="O202" i="44"/>
  <c r="AN204" i="44"/>
  <c r="AN206" i="44"/>
  <c r="AO206" i="44" s="1"/>
  <c r="AP206" i="44" s="1"/>
  <c r="AN202" i="44"/>
  <c r="AG206" i="44"/>
  <c r="AH206" i="44" s="1"/>
  <c r="AG204" i="44"/>
  <c r="AH204" i="44" s="1"/>
  <c r="O206" i="44"/>
  <c r="O204" i="44"/>
  <c r="X206" i="44"/>
  <c r="X204" i="44"/>
  <c r="Z204" i="44"/>
  <c r="AA206" i="44"/>
  <c r="Z202" i="44"/>
  <c r="AA204" i="44"/>
  <c r="AB206" i="44"/>
  <c r="AA202" i="44"/>
  <c r="AB204" i="44"/>
  <c r="X202" i="44"/>
  <c r="AV206" i="44" l="1"/>
  <c r="AW206" i="44"/>
  <c r="AT206" i="44"/>
  <c r="AU206" i="44" s="1"/>
  <c r="AO204" i="44"/>
  <c r="AP204" i="44" s="1"/>
  <c r="AW204" i="44" s="1"/>
  <c r="AO202" i="44"/>
  <c r="AV392" i="44"/>
  <c r="AR392" i="44"/>
  <c r="AS392" i="44" s="1"/>
  <c r="AQ392" i="44"/>
  <c r="AX392" i="44"/>
  <c r="AX206" i="44"/>
  <c r="AR206" i="44"/>
  <c r="AS206" i="44" s="1"/>
  <c r="AQ206" i="44"/>
  <c r="AV204" i="44" l="1"/>
  <c r="AT204" i="44"/>
  <c r="AU204" i="44" s="1"/>
  <c r="AQ204" i="44"/>
  <c r="AR204" i="44"/>
  <c r="AS204" i="44" s="1"/>
  <c r="AX204" i="44"/>
  <c r="AP202" i="44"/>
  <c r="AV202" i="44" l="1"/>
  <c r="AW202" i="44"/>
  <c r="AQ202" i="44"/>
  <c r="AT202" i="44"/>
  <c r="AU202" i="44" s="1"/>
  <c r="AR202" i="44"/>
  <c r="AS202" i="44" s="1"/>
  <c r="AX202" i="44"/>
  <c r="AD36" i="44"/>
  <c r="AD35" i="44"/>
  <c r="AD34" i="44"/>
  <c r="AD30" i="44"/>
  <c r="AD29" i="44"/>
  <c r="AD414" i="44" l="1"/>
  <c r="AD413" i="44"/>
  <c r="AD412" i="44"/>
  <c r="AD411" i="44"/>
  <c r="AU404" i="44"/>
  <c r="AM404" i="44"/>
  <c r="AL404" i="44"/>
  <c r="AK404" i="44"/>
  <c r="AJ404" i="44"/>
  <c r="AI404" i="44"/>
  <c r="W404" i="44"/>
  <c r="Z404" i="44" s="1"/>
  <c r="S404" i="44"/>
  <c r="P404" i="44"/>
  <c r="O404" i="44"/>
  <c r="AN404" i="44" l="1"/>
  <c r="AO404" i="44" s="1"/>
  <c r="AB404" i="44"/>
  <c r="AA404" i="44"/>
  <c r="AG404" i="44"/>
  <c r="AH404" i="44" s="1"/>
  <c r="X404" i="44"/>
  <c r="AP404" i="44" l="1"/>
  <c r="AX404" i="44" l="1"/>
  <c r="AW404" i="44"/>
  <c r="AV404" i="44"/>
  <c r="AQ404" i="44"/>
  <c r="AR404" i="44"/>
  <c r="AS404" i="44" s="1"/>
  <c r="AU162" i="44" l="1"/>
  <c r="AM162" i="44"/>
  <c r="AL162" i="44"/>
  <c r="AK162" i="44"/>
  <c r="AJ162" i="44"/>
  <c r="AI162" i="44"/>
  <c r="AG162" i="44"/>
  <c r="AH162" i="44" s="1"/>
  <c r="W162" i="44"/>
  <c r="S162" i="44"/>
  <c r="P162" i="44"/>
  <c r="O162" i="44"/>
  <c r="N162" i="44"/>
  <c r="AB162" i="44" l="1"/>
  <c r="AN162" i="44"/>
  <c r="AA162" i="44"/>
  <c r="X162" i="44"/>
  <c r="Z162" i="44"/>
  <c r="AO162" i="44" l="1"/>
  <c r="AP162" i="44" s="1"/>
  <c r="AV162" i="44" l="1"/>
  <c r="AW162" i="44"/>
  <c r="AX162" i="44"/>
  <c r="AQ162" i="44"/>
  <c r="AR162" i="44"/>
  <c r="AS162" i="44" s="1"/>
  <c r="AU382" i="44"/>
  <c r="AM382" i="44"/>
  <c r="AL382" i="44"/>
  <c r="AK382" i="44"/>
  <c r="AJ382" i="44"/>
  <c r="AI382" i="44"/>
  <c r="AU381" i="44"/>
  <c r="AM381" i="44"/>
  <c r="AL381" i="44"/>
  <c r="AK381" i="44"/>
  <c r="AJ381" i="44"/>
  <c r="AI381" i="44"/>
  <c r="AU380" i="44"/>
  <c r="AM380" i="44"/>
  <c r="AL380" i="44"/>
  <c r="AK380" i="44"/>
  <c r="AJ380" i="44"/>
  <c r="AI380" i="44"/>
  <c r="AU379" i="44"/>
  <c r="AM379" i="44"/>
  <c r="AL379" i="44"/>
  <c r="AK379" i="44"/>
  <c r="AJ379" i="44"/>
  <c r="AI379" i="44"/>
  <c r="AU378" i="44"/>
  <c r="AM378" i="44"/>
  <c r="AL378" i="44"/>
  <c r="AK378" i="44"/>
  <c r="AJ378" i="44"/>
  <c r="AI378" i="44"/>
  <c r="W382" i="44"/>
  <c r="AB382" i="44" s="1"/>
  <c r="S382" i="44"/>
  <c r="P382" i="44"/>
  <c r="O382" i="44"/>
  <c r="W381" i="44"/>
  <c r="S381" i="44"/>
  <c r="P381" i="44"/>
  <c r="O381" i="44"/>
  <c r="W380" i="44"/>
  <c r="AA380" i="44" s="1"/>
  <c r="S380" i="44"/>
  <c r="P380" i="44"/>
  <c r="O380" i="44"/>
  <c r="W379" i="44"/>
  <c r="AB379" i="44" s="1"/>
  <c r="S379" i="44"/>
  <c r="P379" i="44"/>
  <c r="O379" i="44"/>
  <c r="W378" i="44"/>
  <c r="AA378" i="44" s="1"/>
  <c r="S378" i="44"/>
  <c r="P378" i="44"/>
  <c r="O378" i="44"/>
  <c r="AU403" i="44"/>
  <c r="AM403" i="44"/>
  <c r="AL403" i="44"/>
  <c r="AK403" i="44"/>
  <c r="AJ403" i="44"/>
  <c r="AI403" i="44"/>
  <c r="AU402" i="44"/>
  <c r="AM402" i="44"/>
  <c r="AL402" i="44"/>
  <c r="AK402" i="44"/>
  <c r="AJ402" i="44"/>
  <c r="AI402" i="44"/>
  <c r="AU401" i="44"/>
  <c r="AM401" i="44"/>
  <c r="AL401" i="44"/>
  <c r="AK401" i="44"/>
  <c r="AJ401" i="44"/>
  <c r="AI401" i="44"/>
  <c r="W403" i="44"/>
  <c r="AB403" i="44" s="1"/>
  <c r="S403" i="44"/>
  <c r="P403" i="44"/>
  <c r="O403" i="44"/>
  <c r="W402" i="44"/>
  <c r="X402" i="44" s="1"/>
  <c r="S402" i="44"/>
  <c r="P402" i="44"/>
  <c r="O402" i="44"/>
  <c r="W401" i="44"/>
  <c r="X401" i="44" s="1"/>
  <c r="S401" i="44"/>
  <c r="P401" i="44"/>
  <c r="O401" i="44"/>
  <c r="AG382" i="44"/>
  <c r="AH382" i="44" s="1"/>
  <c r="AG395" i="44"/>
  <c r="AH395" i="44" s="1"/>
  <c r="AG386" i="44"/>
  <c r="AH386" i="44" s="1"/>
  <c r="AG371" i="44"/>
  <c r="AH371" i="44" s="1"/>
  <c r="AG357" i="44"/>
  <c r="AH357" i="44" s="1"/>
  <c r="AG356" i="44"/>
  <c r="AH356" i="44" s="1"/>
  <c r="AG355" i="44"/>
  <c r="AH355" i="44" s="1"/>
  <c r="AG348" i="44"/>
  <c r="AH348" i="44" s="1"/>
  <c r="AG347" i="44"/>
  <c r="AH347" i="44" s="1"/>
  <c r="AG401" i="44"/>
  <c r="AH401" i="44" s="1"/>
  <c r="AU377" i="44"/>
  <c r="AM377" i="44"/>
  <c r="AL377" i="44"/>
  <c r="AK377" i="44"/>
  <c r="AJ377" i="44"/>
  <c r="AI377" i="44"/>
  <c r="AG377" i="44"/>
  <c r="AH377" i="44" s="1"/>
  <c r="W377" i="44"/>
  <c r="AB377" i="44" s="1"/>
  <c r="S377" i="44"/>
  <c r="P377" i="44"/>
  <c r="O377" i="44"/>
  <c r="AU376" i="44"/>
  <c r="AM376" i="44"/>
  <c r="AL376" i="44"/>
  <c r="AK376" i="44"/>
  <c r="AJ376" i="44"/>
  <c r="AI376" i="44"/>
  <c r="W376" i="44"/>
  <c r="X376" i="44" s="1"/>
  <c r="S376" i="44"/>
  <c r="P376" i="44"/>
  <c r="O376" i="44"/>
  <c r="N376" i="44"/>
  <c r="AU375" i="44"/>
  <c r="AM375" i="44"/>
  <c r="AL375" i="44"/>
  <c r="AK375" i="44"/>
  <c r="AJ375" i="44"/>
  <c r="AI375" i="44"/>
  <c r="W375" i="44"/>
  <c r="S375" i="44"/>
  <c r="P375" i="44"/>
  <c r="O375" i="44"/>
  <c r="AU374" i="44"/>
  <c r="AM374" i="44"/>
  <c r="AL374" i="44"/>
  <c r="AK374" i="44"/>
  <c r="AJ374" i="44"/>
  <c r="AI374" i="44"/>
  <c r="AF374" i="44"/>
  <c r="W374" i="44"/>
  <c r="AB374" i="44" s="1"/>
  <c r="S374" i="44"/>
  <c r="P374" i="44"/>
  <c r="O374" i="44"/>
  <c r="AU373" i="44"/>
  <c r="AM373" i="44"/>
  <c r="AL373" i="44"/>
  <c r="AK373" i="44"/>
  <c r="AJ373" i="44"/>
  <c r="AI373" i="44"/>
  <c r="AF373" i="44"/>
  <c r="W373" i="44"/>
  <c r="AB373" i="44" s="1"/>
  <c r="S373" i="44"/>
  <c r="P373" i="44"/>
  <c r="O373" i="44"/>
  <c r="AU372" i="44"/>
  <c r="AM372" i="44"/>
  <c r="AL372" i="44"/>
  <c r="AK372" i="44"/>
  <c r="AJ372" i="44"/>
  <c r="AI372" i="44"/>
  <c r="W372" i="44"/>
  <c r="X372" i="44" s="1"/>
  <c r="S372" i="44"/>
  <c r="P372" i="44"/>
  <c r="O372" i="44"/>
  <c r="AU371" i="44"/>
  <c r="AM371" i="44"/>
  <c r="AL371" i="44"/>
  <c r="AK371" i="44"/>
  <c r="AJ371" i="44"/>
  <c r="AI371" i="44"/>
  <c r="W371" i="44"/>
  <c r="AB371" i="44" s="1"/>
  <c r="S371" i="44"/>
  <c r="P371" i="44"/>
  <c r="O371" i="44"/>
  <c r="AU400" i="44"/>
  <c r="AM400" i="44"/>
  <c r="AL400" i="44"/>
  <c r="AK400" i="44"/>
  <c r="AJ400" i="44"/>
  <c r="AI400" i="44"/>
  <c r="W400" i="44"/>
  <c r="S400" i="44"/>
  <c r="P400" i="44"/>
  <c r="O400" i="44"/>
  <c r="AU399" i="44"/>
  <c r="AM399" i="44"/>
  <c r="AL399" i="44"/>
  <c r="AK399" i="44"/>
  <c r="AJ399" i="44"/>
  <c r="AI399" i="44"/>
  <c r="W399" i="44"/>
  <c r="AA399" i="44" s="1"/>
  <c r="S399" i="44"/>
  <c r="P399" i="44"/>
  <c r="O399" i="44"/>
  <c r="AU398" i="44"/>
  <c r="AM398" i="44"/>
  <c r="AL398" i="44"/>
  <c r="AK398" i="44"/>
  <c r="AJ398" i="44"/>
  <c r="AI398" i="44"/>
  <c r="AF398" i="44"/>
  <c r="W398" i="44"/>
  <c r="Z398" i="44" s="1"/>
  <c r="S398" i="44"/>
  <c r="P398" i="44"/>
  <c r="O398" i="44"/>
  <c r="AU397" i="44"/>
  <c r="AM397" i="44"/>
  <c r="AL397" i="44"/>
  <c r="AK397" i="44"/>
  <c r="AJ397" i="44"/>
  <c r="AI397" i="44"/>
  <c r="AF397" i="44"/>
  <c r="W397" i="44"/>
  <c r="AB397" i="44" s="1"/>
  <c r="S397" i="44"/>
  <c r="P397" i="44"/>
  <c r="O397" i="44"/>
  <c r="AU396" i="44"/>
  <c r="AM396" i="44"/>
  <c r="AL396" i="44"/>
  <c r="AK396" i="44"/>
  <c r="AJ396" i="44"/>
  <c r="AI396" i="44"/>
  <c r="W396" i="44"/>
  <c r="AB396" i="44" s="1"/>
  <c r="S396" i="44"/>
  <c r="P396" i="44"/>
  <c r="O396" i="44"/>
  <c r="AU395" i="44"/>
  <c r="AM395" i="44"/>
  <c r="AL395" i="44"/>
  <c r="AK395" i="44"/>
  <c r="AJ395" i="44"/>
  <c r="AI395" i="44"/>
  <c r="W395" i="44"/>
  <c r="AB395" i="44" s="1"/>
  <c r="S395" i="44"/>
  <c r="P395" i="44"/>
  <c r="O395" i="44"/>
  <c r="AU391" i="44"/>
  <c r="AM391" i="44"/>
  <c r="AL391" i="44"/>
  <c r="AK391" i="44"/>
  <c r="AJ391" i="44"/>
  <c r="AI391" i="44"/>
  <c r="W391" i="44"/>
  <c r="Z391" i="44" s="1"/>
  <c r="S391" i="44"/>
  <c r="P391" i="44"/>
  <c r="O391" i="44"/>
  <c r="AU390" i="44"/>
  <c r="AM390" i="44"/>
  <c r="AL390" i="44"/>
  <c r="AK390" i="44"/>
  <c r="AJ390" i="44"/>
  <c r="AI390" i="44"/>
  <c r="AG390" i="44"/>
  <c r="W390" i="44"/>
  <c r="Z390" i="44" s="1"/>
  <c r="S390" i="44"/>
  <c r="P390" i="44"/>
  <c r="O390" i="44"/>
  <c r="AU389" i="44"/>
  <c r="AM389" i="44"/>
  <c r="AL389" i="44"/>
  <c r="AK389" i="44"/>
  <c r="AJ389" i="44"/>
  <c r="AI389" i="44"/>
  <c r="AF389" i="44"/>
  <c r="W389" i="44"/>
  <c r="Z389" i="44" s="1"/>
  <c r="S389" i="44"/>
  <c r="P389" i="44"/>
  <c r="O389" i="44"/>
  <c r="AU388" i="44"/>
  <c r="AM388" i="44"/>
  <c r="AL388" i="44"/>
  <c r="AK388" i="44"/>
  <c r="AJ388" i="44"/>
  <c r="AI388" i="44"/>
  <c r="AF388" i="44"/>
  <c r="W388" i="44"/>
  <c r="X388" i="44" s="1"/>
  <c r="S388" i="44"/>
  <c r="P388" i="44"/>
  <c r="O388" i="44"/>
  <c r="AU387" i="44"/>
  <c r="AM387" i="44"/>
  <c r="AL387" i="44"/>
  <c r="AK387" i="44"/>
  <c r="AJ387" i="44"/>
  <c r="AI387" i="44"/>
  <c r="W387" i="44"/>
  <c r="S387" i="44"/>
  <c r="P387" i="44"/>
  <c r="O387" i="44"/>
  <c r="AU386" i="44"/>
  <c r="AM386" i="44"/>
  <c r="AL386" i="44"/>
  <c r="AK386" i="44"/>
  <c r="AJ386" i="44"/>
  <c r="AI386" i="44"/>
  <c r="W386" i="44"/>
  <c r="S386" i="44"/>
  <c r="P386" i="44"/>
  <c r="O386" i="44"/>
  <c r="AN399" i="44" l="1"/>
  <c r="AN378" i="44"/>
  <c r="AN380" i="44"/>
  <c r="AN377" i="44"/>
  <c r="AA390" i="44"/>
  <c r="AG375" i="44"/>
  <c r="AH375" i="44" s="1"/>
  <c r="AN376" i="44"/>
  <c r="AG398" i="44"/>
  <c r="AH398" i="44" s="1"/>
  <c r="AN379" i="44"/>
  <c r="AG391" i="44"/>
  <c r="AH391" i="44" s="1"/>
  <c r="AN398" i="44"/>
  <c r="AO398" i="44" s="1"/>
  <c r="AG399" i="44"/>
  <c r="AH399" i="44" s="1"/>
  <c r="AG402" i="44"/>
  <c r="AH402" i="44" s="1"/>
  <c r="AB381" i="44"/>
  <c r="AG374" i="44"/>
  <c r="AH374" i="44" s="1"/>
  <c r="AN388" i="44"/>
  <c r="AN395" i="44"/>
  <c r="AG396" i="44"/>
  <c r="AH396" i="44" s="1"/>
  <c r="AG381" i="44"/>
  <c r="AH381" i="44" s="1"/>
  <c r="AN396" i="44"/>
  <c r="AN389" i="44"/>
  <c r="AO389" i="44" s="1"/>
  <c r="AP389" i="44" s="1"/>
  <c r="AW389" i="44" s="1"/>
  <c r="X390" i="44"/>
  <c r="AN386" i="44"/>
  <c r="AG387" i="44"/>
  <c r="AH387" i="44" s="1"/>
  <c r="AB390" i="44"/>
  <c r="AN397" i="44"/>
  <c r="AG389" i="44"/>
  <c r="AH389" i="44" s="1"/>
  <c r="AG397" i="44"/>
  <c r="AH397" i="44" s="1"/>
  <c r="AG400" i="44"/>
  <c r="AH400" i="44" s="1"/>
  <c r="AB380" i="44"/>
  <c r="AH390" i="44"/>
  <c r="AA371" i="44"/>
  <c r="AG388" i="44"/>
  <c r="AH388" i="44" s="1"/>
  <c r="AG372" i="44"/>
  <c r="AH372" i="44" s="1"/>
  <c r="AN375" i="44"/>
  <c r="AG376" i="44"/>
  <c r="AH376" i="44" s="1"/>
  <c r="AG403" i="44"/>
  <c r="AH403" i="44" s="1"/>
  <c r="AG378" i="44"/>
  <c r="AH378" i="44" s="1"/>
  <c r="AN403" i="44"/>
  <c r="AB378" i="44"/>
  <c r="Z371" i="44"/>
  <c r="X371" i="44"/>
  <c r="AN401" i="44"/>
  <c r="AG379" i="44"/>
  <c r="AH379" i="44" s="1"/>
  <c r="AN372" i="44"/>
  <c r="AG373" i="44"/>
  <c r="AH373" i="44" s="1"/>
  <c r="AG380" i="44"/>
  <c r="AH380" i="44" s="1"/>
  <c r="AA381" i="44"/>
  <c r="AN382" i="44"/>
  <c r="Z402" i="44"/>
  <c r="X378" i="44"/>
  <c r="X380" i="44"/>
  <c r="AN381" i="44"/>
  <c r="X399" i="44"/>
  <c r="AN374" i="44"/>
  <c r="AA402" i="44"/>
  <c r="Z378" i="44"/>
  <c r="Z380" i="44"/>
  <c r="AN387" i="44"/>
  <c r="AB399" i="44"/>
  <c r="AN371" i="44"/>
  <c r="AB402" i="44"/>
  <c r="X397" i="44"/>
  <c r="AA376" i="44"/>
  <c r="AB398" i="44"/>
  <c r="AN390" i="44"/>
  <c r="AO390" i="44" s="1"/>
  <c r="Z397" i="44"/>
  <c r="AB376" i="44"/>
  <c r="Z376" i="44"/>
  <c r="AA397" i="44"/>
  <c r="X403" i="44"/>
  <c r="X381" i="44"/>
  <c r="AA398" i="44"/>
  <c r="AN400" i="44"/>
  <c r="AN373" i="44"/>
  <c r="AN402" i="44"/>
  <c r="Z381" i="44"/>
  <c r="X379" i="44"/>
  <c r="X382" i="44"/>
  <c r="Z382" i="44"/>
  <c r="Z379" i="44"/>
  <c r="AA379" i="44"/>
  <c r="AA382" i="44"/>
  <c r="AA401" i="44"/>
  <c r="AB401" i="44"/>
  <c r="Z401" i="44"/>
  <c r="Z403" i="44"/>
  <c r="AA403" i="44"/>
  <c r="X373" i="44"/>
  <c r="AA375" i="44"/>
  <c r="Z372" i="44"/>
  <c r="Z373" i="44"/>
  <c r="AA372" i="44"/>
  <c r="X377" i="44"/>
  <c r="X375" i="44"/>
  <c r="AA374" i="44"/>
  <c r="AB372" i="44"/>
  <c r="Z377" i="44"/>
  <c r="X374" i="44"/>
  <c r="Z375" i="44"/>
  <c r="Z374" i="44"/>
  <c r="AB375" i="44"/>
  <c r="AA373" i="44"/>
  <c r="AA377" i="44"/>
  <c r="X395" i="44"/>
  <c r="X400" i="44"/>
  <c r="Z395" i="44"/>
  <c r="Z400" i="44"/>
  <c r="X396" i="44"/>
  <c r="Z396" i="44"/>
  <c r="AA395" i="44"/>
  <c r="AA400" i="44"/>
  <c r="AA396" i="44"/>
  <c r="X398" i="44"/>
  <c r="Z399" i="44"/>
  <c r="AB400" i="44"/>
  <c r="AN391" i="44"/>
  <c r="AO391" i="44" s="1"/>
  <c r="AP391" i="44" s="1"/>
  <c r="AW391" i="44" s="1"/>
  <c r="AB389" i="44"/>
  <c r="AA388" i="44"/>
  <c r="AA389" i="44"/>
  <c r="Z388" i="44"/>
  <c r="AB388" i="44"/>
  <c r="AA386" i="44"/>
  <c r="AA391" i="44"/>
  <c r="AB386" i="44"/>
  <c r="AB391" i="44"/>
  <c r="X387" i="44"/>
  <c r="AA387" i="44"/>
  <c r="X386" i="44"/>
  <c r="X391" i="44"/>
  <c r="Z387" i="44"/>
  <c r="AB387" i="44"/>
  <c r="Z386" i="44"/>
  <c r="X389" i="44"/>
  <c r="AO399" i="44" l="1"/>
  <c r="AP399" i="44" s="1"/>
  <c r="AP390" i="44"/>
  <c r="AP398" i="44"/>
  <c r="AO376" i="44"/>
  <c r="AO380" i="44"/>
  <c r="AO377" i="44"/>
  <c r="AP377" i="44" s="1"/>
  <c r="AW377" i="44" s="1"/>
  <c r="AO378" i="44"/>
  <c r="AP378" i="44" s="1"/>
  <c r="AW378" i="44" s="1"/>
  <c r="AO395" i="44"/>
  <c r="AO386" i="44"/>
  <c r="AP386" i="44" s="1"/>
  <c r="AW386" i="44" s="1"/>
  <c r="AO375" i="44"/>
  <c r="AO372" i="44"/>
  <c r="AO374" i="44"/>
  <c r="AO379" i="44"/>
  <c r="AO371" i="44"/>
  <c r="AO397" i="44"/>
  <c r="AO388" i="44"/>
  <c r="AO373" i="44"/>
  <c r="AO402" i="44"/>
  <c r="AO387" i="44"/>
  <c r="AO396" i="44"/>
  <c r="AO403" i="44"/>
  <c r="AO400" i="44"/>
  <c r="AO401" i="44"/>
  <c r="AO382" i="44"/>
  <c r="AO381" i="44"/>
  <c r="AP381" i="44" s="1"/>
  <c r="AW381" i="44" s="1"/>
  <c r="AX389" i="44"/>
  <c r="AR389" i="44"/>
  <c r="AS389" i="44" s="1"/>
  <c r="AV389" i="44"/>
  <c r="AQ389" i="44"/>
  <c r="AX391" i="44"/>
  <c r="AV398" i="44" l="1"/>
  <c r="AW398" i="44"/>
  <c r="AR399" i="44"/>
  <c r="AS399" i="44" s="1"/>
  <c r="AW399" i="44"/>
  <c r="AQ390" i="44"/>
  <c r="AW390" i="44"/>
  <c r="AR390" i="44"/>
  <c r="AS390" i="44" s="1"/>
  <c r="AX390" i="44"/>
  <c r="AV390" i="44"/>
  <c r="AP388" i="44"/>
  <c r="AW388" i="44" s="1"/>
  <c r="AP371" i="44"/>
  <c r="AW371" i="44" s="1"/>
  <c r="AP373" i="44"/>
  <c r="AW373" i="44" s="1"/>
  <c r="AP400" i="44"/>
  <c r="AW400" i="44" s="1"/>
  <c r="AP379" i="44"/>
  <c r="AW379" i="44" s="1"/>
  <c r="AP374" i="44"/>
  <c r="AW374" i="44" s="1"/>
  <c r="AP380" i="44"/>
  <c r="AW380" i="44" s="1"/>
  <c r="AP376" i="44"/>
  <c r="AW376" i="44" s="1"/>
  <c r="AP372" i="44"/>
  <c r="AW372" i="44" s="1"/>
  <c r="AP403" i="44"/>
  <c r="AW403" i="44" s="1"/>
  <c r="AP375" i="44"/>
  <c r="AW375" i="44" s="1"/>
  <c r="AP401" i="44"/>
  <c r="AW401" i="44" s="1"/>
  <c r="AP397" i="44"/>
  <c r="AW397" i="44" s="1"/>
  <c r="AQ378" i="44"/>
  <c r="AR398" i="44"/>
  <c r="AS398" i="44" s="1"/>
  <c r="AP382" i="44"/>
  <c r="AW382" i="44" s="1"/>
  <c r="AP396" i="44"/>
  <c r="AW396" i="44" s="1"/>
  <c r="AQ398" i="44"/>
  <c r="AX398" i="44"/>
  <c r="AP387" i="44"/>
  <c r="AW387" i="44" s="1"/>
  <c r="AP395" i="44"/>
  <c r="AW395" i="44" s="1"/>
  <c r="AP402" i="44"/>
  <c r="AW402" i="44" s="1"/>
  <c r="AQ381" i="44"/>
  <c r="AV377" i="44"/>
  <c r="AQ377" i="44"/>
  <c r="AR377" i="44"/>
  <c r="AS377" i="44" s="1"/>
  <c r="AX377" i="44"/>
  <c r="AV399" i="44"/>
  <c r="AQ399" i="44"/>
  <c r="AX399" i="44"/>
  <c r="AV386" i="44"/>
  <c r="AR386" i="44"/>
  <c r="AS386" i="44" s="1"/>
  <c r="AX386" i="44"/>
  <c r="AQ386" i="44"/>
  <c r="AV391" i="44"/>
  <c r="AR391" i="44"/>
  <c r="AS391" i="44" s="1"/>
  <c r="AQ391" i="44"/>
  <c r="AQ375" i="44" l="1"/>
  <c r="AX372" i="44"/>
  <c r="AV380" i="44"/>
  <c r="AX401" i="44"/>
  <c r="AR403" i="44"/>
  <c r="AS403" i="44" s="1"/>
  <c r="AV382" i="44"/>
  <c r="AQ376" i="44"/>
  <c r="AV371" i="44"/>
  <c r="AQ397" i="44"/>
  <c r="AX388" i="44"/>
  <c r="AR397" i="44"/>
  <c r="AS397" i="44" s="1"/>
  <c r="AV397" i="44"/>
  <c r="AR382" i="44"/>
  <c r="AS382" i="44" s="1"/>
  <c r="AV373" i="44"/>
  <c r="AX397" i="44"/>
  <c r="AQ401" i="44"/>
  <c r="AQ382" i="44"/>
  <c r="AX382" i="44"/>
  <c r="AR371" i="44"/>
  <c r="AS371" i="44" s="1"/>
  <c r="AV388" i="44"/>
  <c r="AQ388" i="44"/>
  <c r="AR388" i="44"/>
  <c r="AS388" i="44" s="1"/>
  <c r="AQ396" i="44"/>
  <c r="AX403" i="44"/>
  <c r="AR395" i="44"/>
  <c r="AS395" i="44" s="1"/>
  <c r="AQ395" i="44"/>
  <c r="AX395" i="44"/>
  <c r="AX402" i="44"/>
  <c r="AV403" i="44"/>
  <c r="AV395" i="44"/>
  <c r="AQ402" i="44"/>
  <c r="AR375" i="44"/>
  <c r="AS375" i="44" s="1"/>
  <c r="AR373" i="44"/>
  <c r="AS373" i="44" s="1"/>
  <c r="AR380" i="44"/>
  <c r="AS380" i="44" s="1"/>
  <c r="AQ373" i="44"/>
  <c r="AX373" i="44"/>
  <c r="AV372" i="44"/>
  <c r="AQ380" i="44"/>
  <c r="AX380" i="44"/>
  <c r="AR387" i="44"/>
  <c r="AS387" i="44" s="1"/>
  <c r="AQ372" i="44"/>
  <c r="AR376" i="44"/>
  <c r="AS376" i="44" s="1"/>
  <c r="AV387" i="44"/>
  <c r="AR372" i="44"/>
  <c r="AS372" i="44" s="1"/>
  <c r="AQ387" i="44"/>
  <c r="AV402" i="44"/>
  <c r="AX387" i="44"/>
  <c r="AR374" i="44"/>
  <c r="AS374" i="44" s="1"/>
  <c r="AQ374" i="44"/>
  <c r="AV379" i="44"/>
  <c r="AV375" i="44"/>
  <c r="AX375" i="44"/>
  <c r="AX376" i="44"/>
  <c r="AX374" i="44"/>
  <c r="AR379" i="44"/>
  <c r="AS379" i="44" s="1"/>
  <c r="AX379" i="44"/>
  <c r="AX396" i="44"/>
  <c r="AQ403" i="44"/>
  <c r="AR401" i="44"/>
  <c r="AS401" i="44" s="1"/>
  <c r="AR378" i="44"/>
  <c r="AS378" i="44" s="1"/>
  <c r="AV376" i="44"/>
  <c r="AV400" i="44"/>
  <c r="AV396" i="44"/>
  <c r="AQ400" i="44"/>
  <c r="AR400" i="44"/>
  <c r="AS400" i="44" s="1"/>
  <c r="AQ379" i="44"/>
  <c r="AX378" i="44"/>
  <c r="AV374" i="44"/>
  <c r="AX400" i="44"/>
  <c r="AR402" i="44"/>
  <c r="AS402" i="44" s="1"/>
  <c r="AQ371" i="44"/>
  <c r="AV378" i="44"/>
  <c r="AX371" i="44"/>
  <c r="AR396" i="44"/>
  <c r="AS396" i="44" s="1"/>
  <c r="AV401" i="44"/>
  <c r="AR381" i="44"/>
  <c r="AS381" i="44" s="1"/>
  <c r="AX381" i="44"/>
  <c r="AV381" i="44"/>
  <c r="AC142" i="44"/>
  <c r="AG142" i="44" s="1"/>
  <c r="AH142" i="44" s="1"/>
  <c r="AC367" i="44"/>
  <c r="AG367" i="44" s="1"/>
  <c r="AH367" i="44" s="1"/>
  <c r="AC366" i="44"/>
  <c r="AG366" i="44" s="1"/>
  <c r="AH366" i="44" s="1"/>
  <c r="AC365" i="44"/>
  <c r="AG365" i="44" s="1"/>
  <c r="AH365" i="44" s="1"/>
  <c r="AC364" i="44"/>
  <c r="AG364" i="44" s="1"/>
  <c r="AH364" i="44" s="1"/>
  <c r="AC363" i="44"/>
  <c r="AG363" i="44" s="1"/>
  <c r="AH363" i="44" s="1"/>
  <c r="AC362" i="44"/>
  <c r="AG362" i="44" s="1"/>
  <c r="AH362" i="44" s="1"/>
  <c r="AC361" i="44"/>
  <c r="AG361" i="44" s="1"/>
  <c r="AH361" i="44" s="1"/>
  <c r="AC360" i="44"/>
  <c r="AG360" i="44" s="1"/>
  <c r="AH360" i="44" s="1"/>
  <c r="AC359" i="44"/>
  <c r="AG359" i="44" s="1"/>
  <c r="AH359" i="44" s="1"/>
  <c r="AC358" i="44"/>
  <c r="AG358" i="44" s="1"/>
  <c r="AH358" i="44" s="1"/>
  <c r="AC354" i="44"/>
  <c r="AG354" i="44" s="1"/>
  <c r="AH354" i="44" s="1"/>
  <c r="AC353" i="44"/>
  <c r="AG353" i="44" s="1"/>
  <c r="AH353" i="44" s="1"/>
  <c r="AC352" i="44"/>
  <c r="AG352" i="44" s="1"/>
  <c r="AH352" i="44" s="1"/>
  <c r="AD339" i="44"/>
  <c r="AD338" i="44"/>
  <c r="AD337" i="44"/>
  <c r="AD336" i="44"/>
  <c r="AD335" i="44"/>
  <c r="AD334" i="44"/>
  <c r="AD333" i="44"/>
  <c r="AD332" i="44"/>
  <c r="AD331" i="44"/>
  <c r="AD330" i="44"/>
  <c r="AD329" i="44"/>
  <c r="AD328" i="44"/>
  <c r="AD327" i="44"/>
  <c r="AD315" i="44"/>
  <c r="AD314" i="44"/>
  <c r="AD312" i="44"/>
  <c r="AD311" i="44"/>
  <c r="AD310" i="44"/>
  <c r="AD308" i="44"/>
  <c r="AD307" i="44"/>
  <c r="AD302" i="44"/>
  <c r="AD301" i="44"/>
  <c r="AD299" i="44"/>
  <c r="AD298" i="44"/>
  <c r="AD297" i="44"/>
  <c r="AD295" i="44"/>
  <c r="AI295" i="44"/>
  <c r="AI297" i="44"/>
  <c r="AI298" i="44"/>
  <c r="AI299" i="44"/>
  <c r="AI301" i="44"/>
  <c r="AI302" i="44"/>
  <c r="AI307" i="44"/>
  <c r="AI308" i="44"/>
  <c r="AI310" i="44"/>
  <c r="AI311" i="44"/>
  <c r="AI312" i="44"/>
  <c r="AI314" i="44"/>
  <c r="AI315" i="44"/>
  <c r="AI327" i="44"/>
  <c r="AI328" i="44"/>
  <c r="AI329" i="44"/>
  <c r="AI330" i="44"/>
  <c r="AI331" i="44"/>
  <c r="AI332" i="44"/>
  <c r="AI333" i="44"/>
  <c r="AI334" i="44"/>
  <c r="AI335" i="44"/>
  <c r="AI336" i="44"/>
  <c r="AI337" i="44"/>
  <c r="AI338" i="44"/>
  <c r="AI339" i="44"/>
  <c r="AE288" i="44"/>
  <c r="AE287" i="44"/>
  <c r="AD287" i="44"/>
  <c r="AG285" i="44"/>
  <c r="AH285" i="44" s="1"/>
  <c r="AG284" i="44"/>
  <c r="AH284" i="44" s="1"/>
  <c r="AG283" i="44"/>
  <c r="AH283" i="44" s="1"/>
  <c r="AG282" i="44"/>
  <c r="AH282" i="44" s="1"/>
  <c r="AG281" i="44"/>
  <c r="AH281" i="44" s="1"/>
  <c r="AG280" i="44"/>
  <c r="AH280" i="44" s="1"/>
  <c r="AE265" i="44"/>
  <c r="AD265" i="44"/>
  <c r="AE264" i="44"/>
  <c r="AD264" i="44"/>
  <c r="AC264" i="44"/>
  <c r="AE263" i="44"/>
  <c r="AD263" i="44"/>
  <c r="AC263" i="44"/>
  <c r="AE262" i="44"/>
  <c r="AD262" i="44"/>
  <c r="AC262" i="44"/>
  <c r="AE261" i="44"/>
  <c r="AD261" i="44"/>
  <c r="AE260" i="44"/>
  <c r="AD260" i="44"/>
  <c r="AC260" i="44"/>
  <c r="AE259" i="44"/>
  <c r="AD259" i="44"/>
  <c r="AC259" i="44"/>
  <c r="AE258" i="44"/>
  <c r="AD258" i="44"/>
  <c r="AC258" i="44"/>
  <c r="AE257" i="44"/>
  <c r="AD257" i="44"/>
  <c r="AE256" i="44"/>
  <c r="AD256" i="44"/>
  <c r="AC256" i="44"/>
  <c r="AE255" i="44"/>
  <c r="AD255" i="44"/>
  <c r="AC255" i="44"/>
  <c r="AE254" i="44"/>
  <c r="AD254" i="44"/>
  <c r="AC254" i="44"/>
  <c r="AE253" i="44"/>
  <c r="AD253" i="44"/>
  <c r="AE251" i="44"/>
  <c r="AD251" i="44"/>
  <c r="AE249" i="44"/>
  <c r="AD249" i="44"/>
  <c r="AE248" i="44"/>
  <c r="AD248" i="44"/>
  <c r="AC248" i="44"/>
  <c r="AE247" i="44"/>
  <c r="AD247" i="44"/>
  <c r="AE238" i="44"/>
  <c r="AD238" i="44"/>
  <c r="AE237" i="44"/>
  <c r="AD237" i="44"/>
  <c r="AC237" i="44"/>
  <c r="AE236" i="44"/>
  <c r="AD236" i="44"/>
  <c r="AC236" i="44"/>
  <c r="AE234" i="44"/>
  <c r="AD234" i="44"/>
  <c r="AC234" i="44"/>
  <c r="AE233" i="44"/>
  <c r="AD233" i="44"/>
  <c r="AC233" i="44"/>
  <c r="AE232" i="44"/>
  <c r="AD232" i="44"/>
  <c r="AC232" i="44"/>
  <c r="AE231" i="44"/>
  <c r="AD231" i="44"/>
  <c r="AC231" i="44"/>
  <c r="AE230" i="44"/>
  <c r="AD230" i="44"/>
  <c r="AC230" i="44"/>
  <c r="AE229" i="44"/>
  <c r="AD229" i="44"/>
  <c r="AC229" i="44"/>
  <c r="AE228" i="44"/>
  <c r="AD228" i="44"/>
  <c r="AE227" i="44"/>
  <c r="AD227" i="44"/>
  <c r="AC227" i="44"/>
  <c r="AE226" i="44"/>
  <c r="AD226" i="44"/>
  <c r="AC226" i="44"/>
  <c r="AE225" i="44"/>
  <c r="AD225" i="44"/>
  <c r="AC225" i="44"/>
  <c r="AE223" i="44"/>
  <c r="AD223" i="44"/>
  <c r="AC223" i="44"/>
  <c r="AE222" i="44"/>
  <c r="AD222" i="44"/>
  <c r="AC222" i="44"/>
  <c r="AE221" i="44"/>
  <c r="AD221" i="44"/>
  <c r="AC221" i="44"/>
  <c r="AE220" i="44"/>
  <c r="AD220" i="44"/>
  <c r="AE219" i="44"/>
  <c r="AD219" i="44"/>
  <c r="AC219" i="44"/>
  <c r="AE218" i="44"/>
  <c r="AD218" i="44"/>
  <c r="AC218" i="44"/>
  <c r="AE217" i="44"/>
  <c r="AD217" i="44"/>
  <c r="AE216" i="44"/>
  <c r="AD216" i="44"/>
  <c r="AC216" i="44"/>
  <c r="AE208" i="44"/>
  <c r="AD208" i="44"/>
  <c r="AE193" i="44"/>
  <c r="AD193" i="44"/>
  <c r="AE191" i="44"/>
  <c r="AD191" i="44"/>
  <c r="AE185" i="44"/>
  <c r="AD185" i="44"/>
  <c r="AE184" i="44"/>
  <c r="AD184" i="44"/>
  <c r="AE182" i="44"/>
  <c r="AD182" i="44"/>
  <c r="AE180" i="44"/>
  <c r="AD180" i="44"/>
  <c r="AC180" i="44"/>
  <c r="AE179" i="44"/>
  <c r="AD179" i="44"/>
  <c r="AC179" i="44"/>
  <c r="AE178" i="44"/>
  <c r="AD178" i="44"/>
  <c r="AC178" i="44"/>
  <c r="AE177" i="44"/>
  <c r="AD177" i="44"/>
  <c r="AC177" i="44"/>
  <c r="AE176" i="44"/>
  <c r="AD176" i="44"/>
  <c r="AC176" i="44"/>
  <c r="AE173" i="44"/>
  <c r="AD173" i="44"/>
  <c r="AE171" i="44"/>
  <c r="AD171" i="44"/>
  <c r="AE169" i="44"/>
  <c r="AD169" i="44"/>
  <c r="AE167" i="44"/>
  <c r="AE157" i="44"/>
  <c r="AD157" i="44"/>
  <c r="AC157" i="44"/>
  <c r="AE154" i="44"/>
  <c r="AD154" i="44"/>
  <c r="AC154" i="44"/>
  <c r="AE152" i="44"/>
  <c r="AD152" i="44"/>
  <c r="AC152" i="44"/>
  <c r="AG148" i="44"/>
  <c r="AH148" i="44" s="1"/>
  <c r="AG146" i="44"/>
  <c r="AH146" i="44" s="1"/>
  <c r="AC145" i="44"/>
  <c r="AG145" i="44" s="1"/>
  <c r="AH145" i="44" s="1"/>
  <c r="AC144" i="44"/>
  <c r="AG144" i="44" s="1"/>
  <c r="AH144" i="44" s="1"/>
  <c r="AC143" i="44"/>
  <c r="AG143" i="44" s="1"/>
  <c r="AH143" i="44" s="1"/>
  <c r="AC141" i="44"/>
  <c r="AG141" i="44" s="1"/>
  <c r="AH141" i="44" s="1"/>
  <c r="AC139" i="44"/>
  <c r="AC138" i="44"/>
  <c r="AC137" i="44"/>
  <c r="AE136" i="44"/>
  <c r="AD136" i="44"/>
  <c r="AC136" i="44"/>
  <c r="AE135" i="44"/>
  <c r="AD135" i="44"/>
  <c r="AC135" i="44"/>
  <c r="AE134" i="44"/>
  <c r="AD134" i="44"/>
  <c r="AC134" i="44"/>
  <c r="AE133" i="44"/>
  <c r="AD133" i="44"/>
  <c r="AC133" i="44"/>
  <c r="AC132" i="44"/>
  <c r="AC131" i="44"/>
  <c r="AC130" i="44"/>
  <c r="AE129" i="44"/>
  <c r="AD129" i="44"/>
  <c r="AC129" i="44"/>
  <c r="AE128" i="44"/>
  <c r="AD128" i="44"/>
  <c r="AC128" i="44"/>
  <c r="AE127" i="44"/>
  <c r="AD127" i="44"/>
  <c r="AC127" i="44"/>
  <c r="AE122" i="44"/>
  <c r="AD122" i="44"/>
  <c r="AC122" i="44"/>
  <c r="AE121" i="44"/>
  <c r="AD121" i="44"/>
  <c r="AC121" i="44"/>
  <c r="AE120" i="44"/>
  <c r="AD120" i="44"/>
  <c r="AC120" i="44"/>
  <c r="AC119" i="44"/>
  <c r="AC118" i="44"/>
  <c r="AC117" i="44"/>
  <c r="AE116" i="44"/>
  <c r="AD116" i="44"/>
  <c r="AC116" i="44"/>
  <c r="AE115" i="44"/>
  <c r="AD115" i="44"/>
  <c r="AC115" i="44"/>
  <c r="AE114" i="44"/>
  <c r="AD114" i="44"/>
  <c r="AC114" i="44"/>
  <c r="AE113" i="44"/>
  <c r="AD113" i="44"/>
  <c r="AC113" i="44"/>
  <c r="AE112" i="44"/>
  <c r="AD112" i="44"/>
  <c r="AC112" i="44"/>
  <c r="AE111" i="44"/>
  <c r="AD111" i="44"/>
  <c r="AC111" i="44"/>
  <c r="AE110" i="44"/>
  <c r="AD110" i="44"/>
  <c r="AC110" i="44"/>
  <c r="AE109" i="44"/>
  <c r="AD109" i="44"/>
  <c r="AC109" i="44"/>
  <c r="AE108" i="44"/>
  <c r="AD108" i="44"/>
  <c r="AC108" i="44"/>
  <c r="AC106" i="44"/>
  <c r="AC105" i="44"/>
  <c r="AC104" i="44"/>
  <c r="AC103" i="44"/>
  <c r="AC102" i="44"/>
  <c r="AE100" i="44"/>
  <c r="AD100" i="44"/>
  <c r="AC100" i="44"/>
  <c r="AE99" i="44"/>
  <c r="AD99" i="44"/>
  <c r="AC99" i="44"/>
  <c r="AE98" i="44"/>
  <c r="AD98" i="44"/>
  <c r="AC98" i="44"/>
  <c r="AE97" i="44"/>
  <c r="AD97" i="44"/>
  <c r="AC97" i="44"/>
  <c r="AE96" i="44"/>
  <c r="AD96" i="44"/>
  <c r="AC96" i="44"/>
  <c r="AE95" i="44"/>
  <c r="AD95" i="44"/>
  <c r="AC95" i="44"/>
  <c r="AE92" i="44"/>
  <c r="AC92" i="44"/>
  <c r="AE91" i="44"/>
  <c r="AC91" i="44"/>
  <c r="AE90" i="44"/>
  <c r="AC90" i="44"/>
  <c r="AE89" i="44"/>
  <c r="AD89" i="44"/>
  <c r="AC89" i="44"/>
  <c r="AE88" i="44"/>
  <c r="AD88" i="44"/>
  <c r="AC88" i="44"/>
  <c r="AE87" i="44"/>
  <c r="AD87" i="44"/>
  <c r="AC87" i="44"/>
  <c r="AC86" i="44"/>
  <c r="AC84" i="44"/>
  <c r="AE83" i="44"/>
  <c r="AD83" i="44"/>
  <c r="AC83" i="44"/>
  <c r="AC81" i="44"/>
  <c r="AC80" i="44"/>
  <c r="AE79" i="44"/>
  <c r="AD79" i="44"/>
  <c r="AC79" i="44"/>
  <c r="AE78" i="44"/>
  <c r="AD78" i="44"/>
  <c r="AC78" i="44"/>
  <c r="AE77" i="44"/>
  <c r="AD77" i="44"/>
  <c r="AC77" i="44"/>
  <c r="AE76" i="44"/>
  <c r="AC76" i="44"/>
  <c r="AE75" i="44"/>
  <c r="AC75" i="44"/>
  <c r="AE74" i="44"/>
  <c r="AC74" i="44"/>
  <c r="AE73" i="44"/>
  <c r="AC73" i="44"/>
  <c r="AE72" i="44"/>
  <c r="AC72" i="44"/>
  <c r="AE71" i="44"/>
  <c r="AD71" i="44"/>
  <c r="AC71" i="44"/>
  <c r="AE69" i="44"/>
  <c r="AD69" i="44"/>
  <c r="AC69" i="44"/>
  <c r="AE68" i="44"/>
  <c r="AD68" i="44"/>
  <c r="AC68" i="44"/>
  <c r="AE67" i="44"/>
  <c r="AD67" i="44"/>
  <c r="AC67" i="44"/>
  <c r="AE66" i="44"/>
  <c r="AD66" i="44"/>
  <c r="AC66" i="44"/>
  <c r="AE65" i="44"/>
  <c r="AD65" i="44"/>
  <c r="AC65" i="44"/>
  <c r="AE64" i="44"/>
  <c r="AD64" i="44"/>
  <c r="AC64" i="44"/>
  <c r="AE63" i="44"/>
  <c r="AD63" i="44"/>
  <c r="AC63" i="44"/>
  <c r="AE62" i="44"/>
  <c r="AD62" i="44"/>
  <c r="AC62" i="44"/>
  <c r="AE59" i="44"/>
  <c r="AD59" i="44"/>
  <c r="AC59" i="44"/>
  <c r="AE55" i="44"/>
  <c r="AD55" i="44"/>
  <c r="AC55" i="44"/>
  <c r="AE54" i="44"/>
  <c r="AD54" i="44"/>
  <c r="AC54" i="44"/>
  <c r="AE53" i="44"/>
  <c r="AD53" i="44"/>
  <c r="AC53" i="44"/>
  <c r="AE52" i="44"/>
  <c r="AD52" i="44"/>
  <c r="AC52" i="44"/>
  <c r="AE51" i="44"/>
  <c r="AD51" i="44"/>
  <c r="AC51" i="44"/>
  <c r="AE50" i="44"/>
  <c r="AD50" i="44"/>
  <c r="AC50" i="44"/>
  <c r="AE48" i="44"/>
  <c r="AD48" i="44"/>
  <c r="AC48" i="44"/>
  <c r="AE46" i="44"/>
  <c r="AD46" i="44"/>
  <c r="AE45" i="44"/>
  <c r="AD45" i="44"/>
  <c r="AC45" i="44"/>
  <c r="AE44" i="44"/>
  <c r="AD44" i="44"/>
  <c r="AC44" i="44"/>
  <c r="AC7" i="44"/>
  <c r="AD7" i="44"/>
  <c r="AE7" i="44"/>
  <c r="AC8" i="44"/>
  <c r="AD8" i="44"/>
  <c r="AE8" i="44"/>
  <c r="AC9" i="44"/>
  <c r="AD9" i="44"/>
  <c r="AE9" i="44"/>
  <c r="AC10" i="44"/>
  <c r="AD10" i="44"/>
  <c r="AE10" i="44"/>
  <c r="AC11" i="44"/>
  <c r="AE11" i="44"/>
  <c r="AC12" i="44"/>
  <c r="AE12" i="44"/>
  <c r="AC13" i="44"/>
  <c r="AE13" i="44"/>
  <c r="AC14" i="44"/>
  <c r="AE14" i="44"/>
  <c r="AC15" i="44"/>
  <c r="AE15" i="44"/>
  <c r="AC16" i="44"/>
  <c r="AE16" i="44"/>
  <c r="AC17" i="44"/>
  <c r="AE17" i="44"/>
  <c r="AC18" i="44"/>
  <c r="AE18" i="44"/>
  <c r="AE19" i="44"/>
  <c r="AC20" i="44"/>
  <c r="AE20" i="44"/>
  <c r="AC23" i="44"/>
  <c r="AE23" i="44"/>
  <c r="AE25" i="44"/>
  <c r="AC27" i="44"/>
  <c r="AE27" i="44"/>
  <c r="AC29" i="44"/>
  <c r="AE29" i="44"/>
  <c r="AE30" i="44"/>
  <c r="AC34" i="44"/>
  <c r="AE34" i="44"/>
  <c r="AC35" i="44"/>
  <c r="AE35" i="44"/>
  <c r="AC36" i="44"/>
  <c r="AE36" i="44"/>
  <c r="AG301" i="44" l="1"/>
  <c r="AH301" i="44" s="1"/>
  <c r="AG311" i="44"/>
  <c r="AH311" i="44" s="1"/>
  <c r="AG329" i="44"/>
  <c r="AH329" i="44" s="1"/>
  <c r="AG335" i="44"/>
  <c r="AH335" i="44" s="1"/>
  <c r="AG286" i="44"/>
  <c r="AH286" i="44" s="1"/>
  <c r="AG302" i="44"/>
  <c r="AH302" i="44" s="1"/>
  <c r="AG312" i="44"/>
  <c r="AH312" i="44" s="1"/>
  <c r="AG330" i="44"/>
  <c r="AH330" i="44" s="1"/>
  <c r="AG336" i="44"/>
  <c r="AH336" i="44" s="1"/>
  <c r="AG295" i="44"/>
  <c r="AH295" i="44" s="1"/>
  <c r="AG314" i="44"/>
  <c r="AH314" i="44" s="1"/>
  <c r="AG331" i="44"/>
  <c r="AH331" i="44" s="1"/>
  <c r="AG337" i="44"/>
  <c r="AH337" i="44" s="1"/>
  <c r="AG182" i="44"/>
  <c r="AH182" i="44" s="1"/>
  <c r="AG193" i="44"/>
  <c r="AH193" i="44" s="1"/>
  <c r="AG218" i="44"/>
  <c r="AG222" i="44"/>
  <c r="AG226" i="44"/>
  <c r="AG230" i="44"/>
  <c r="AG234" i="44"/>
  <c r="AG238" i="44"/>
  <c r="AH238" i="44" s="1"/>
  <c r="AG242" i="44"/>
  <c r="AH242" i="44" s="1"/>
  <c r="AG247" i="44"/>
  <c r="AH247" i="44" s="1"/>
  <c r="AG253" i="44"/>
  <c r="AH253" i="44" s="1"/>
  <c r="AG257" i="44"/>
  <c r="AH257" i="44" s="1"/>
  <c r="AG261" i="44"/>
  <c r="AH261" i="44" s="1"/>
  <c r="AG265" i="44"/>
  <c r="AH265" i="44" s="1"/>
  <c r="AG269" i="44"/>
  <c r="AH269" i="44" s="1"/>
  <c r="AG273" i="44"/>
  <c r="AH273" i="44" s="1"/>
  <c r="AG44" i="44"/>
  <c r="AH44" i="44" s="1"/>
  <c r="AG50" i="44"/>
  <c r="AH50" i="44" s="1"/>
  <c r="AG54" i="44"/>
  <c r="AH54" i="44" s="1"/>
  <c r="AG62" i="44"/>
  <c r="AH62" i="44" s="1"/>
  <c r="AG66" i="44"/>
  <c r="AH66" i="44" s="1"/>
  <c r="AG74" i="44"/>
  <c r="AH74" i="44" s="1"/>
  <c r="AG78" i="44"/>
  <c r="AG83" i="44"/>
  <c r="AG88" i="44"/>
  <c r="AH88" i="44" s="1"/>
  <c r="AG92" i="44"/>
  <c r="AH92" i="44" s="1"/>
  <c r="AG98" i="44"/>
  <c r="AH98" i="44" s="1"/>
  <c r="AG102" i="44"/>
  <c r="AH102" i="44" s="1"/>
  <c r="AG106" i="44"/>
  <c r="AH106" i="44" s="1"/>
  <c r="AG111" i="44"/>
  <c r="AG115" i="44"/>
  <c r="AH115" i="44" s="1"/>
  <c r="AG119" i="44"/>
  <c r="AH119" i="44" s="1"/>
  <c r="AG123" i="44"/>
  <c r="AH123" i="44" s="1"/>
  <c r="AG128" i="44"/>
  <c r="AH128" i="44" s="1"/>
  <c r="AG136" i="44"/>
  <c r="AH136" i="44" s="1"/>
  <c r="AG156" i="44"/>
  <c r="AH156" i="44" s="1"/>
  <c r="AG167" i="44"/>
  <c r="AH167" i="44" s="1"/>
  <c r="AG176" i="44"/>
  <c r="AH176" i="44" s="1"/>
  <c r="AG191" i="44"/>
  <c r="AH191" i="44" s="1"/>
  <c r="AG217" i="44"/>
  <c r="AH217" i="44" s="1"/>
  <c r="AG221" i="44"/>
  <c r="AG225" i="44"/>
  <c r="AG229" i="44"/>
  <c r="AG233" i="44"/>
  <c r="AG237" i="44"/>
  <c r="AG241" i="44"/>
  <c r="AH241" i="44" s="1"/>
  <c r="AG245" i="44"/>
  <c r="AH245" i="44" s="1"/>
  <c r="AG251" i="44"/>
  <c r="AH251" i="44" s="1"/>
  <c r="AG256" i="44"/>
  <c r="AG260" i="44"/>
  <c r="AG264" i="44"/>
  <c r="AG268" i="44"/>
  <c r="AH268" i="44" s="1"/>
  <c r="AG272" i="44"/>
  <c r="AH272" i="44" s="1"/>
  <c r="AG157" i="44"/>
  <c r="AH157" i="44" s="1"/>
  <c r="AG169" i="44"/>
  <c r="AH169" i="44" s="1"/>
  <c r="AG177" i="44"/>
  <c r="AH177" i="44" s="1"/>
  <c r="AG48" i="44"/>
  <c r="AH48" i="44" s="1"/>
  <c r="AG60" i="44"/>
  <c r="AG65" i="44"/>
  <c r="AH65" i="44" s="1"/>
  <c r="AG69" i="44"/>
  <c r="AH69" i="44" s="1"/>
  <c r="AG73" i="44"/>
  <c r="AH73" i="44" s="1"/>
  <c r="AG77" i="44"/>
  <c r="AG81" i="44"/>
  <c r="AG87" i="44"/>
  <c r="AH87" i="44" s="1"/>
  <c r="AG91" i="44"/>
  <c r="AH91" i="44" s="1"/>
  <c r="AG97" i="44"/>
  <c r="AH97" i="44" s="1"/>
  <c r="AG101" i="44"/>
  <c r="AH101" i="44" s="1"/>
  <c r="AG105" i="44"/>
  <c r="AH105" i="44" s="1"/>
  <c r="AG110" i="44"/>
  <c r="AG114" i="44"/>
  <c r="AH114" i="44" s="1"/>
  <c r="AG118" i="44"/>
  <c r="AH118" i="44" s="1"/>
  <c r="AG122" i="44"/>
  <c r="AH122" i="44" s="1"/>
  <c r="AG127" i="44"/>
  <c r="AH127" i="44" s="1"/>
  <c r="AG131" i="44"/>
  <c r="AH131" i="44" s="1"/>
  <c r="AG135" i="44"/>
  <c r="AH135" i="44" s="1"/>
  <c r="AG139" i="44"/>
  <c r="AH139" i="44" s="1"/>
  <c r="AG154" i="44"/>
  <c r="AH154" i="44" s="1"/>
  <c r="AG173" i="44"/>
  <c r="AH173" i="44" s="1"/>
  <c r="AG179" i="44"/>
  <c r="AH179" i="44" s="1"/>
  <c r="AG185" i="44"/>
  <c r="AH185" i="44" s="1"/>
  <c r="AG216" i="44"/>
  <c r="AG220" i="44"/>
  <c r="AH220" i="44" s="1"/>
  <c r="AG224" i="44"/>
  <c r="AH224" i="44" s="1"/>
  <c r="AG228" i="44"/>
  <c r="AH228" i="44" s="1"/>
  <c r="AG232" i="44"/>
  <c r="AG236" i="44"/>
  <c r="AG240" i="44"/>
  <c r="AH240" i="44" s="1"/>
  <c r="AG244" i="44"/>
  <c r="AH244" i="44" s="1"/>
  <c r="AG249" i="44"/>
  <c r="AH249" i="44" s="1"/>
  <c r="AG255" i="44"/>
  <c r="AG259" i="44"/>
  <c r="AG263" i="44"/>
  <c r="AG267" i="44"/>
  <c r="AH267" i="44" s="1"/>
  <c r="AG271" i="44"/>
  <c r="AH271" i="44" s="1"/>
  <c r="AG53" i="44"/>
  <c r="AG30" i="44"/>
  <c r="AH30" i="44" s="1"/>
  <c r="AG23" i="44"/>
  <c r="AH23" i="44" s="1"/>
  <c r="AG17" i="44"/>
  <c r="AH17" i="44" s="1"/>
  <c r="AG13" i="44"/>
  <c r="AH13" i="44" s="1"/>
  <c r="AG9" i="44"/>
  <c r="AG297" i="44"/>
  <c r="AH297" i="44" s="1"/>
  <c r="AG307" i="44"/>
  <c r="AH307" i="44" s="1"/>
  <c r="AG315" i="44"/>
  <c r="AH315" i="44" s="1"/>
  <c r="AG332" i="44"/>
  <c r="AH332" i="44" s="1"/>
  <c r="AG338" i="44"/>
  <c r="AH338" i="44" s="1"/>
  <c r="AG36" i="44"/>
  <c r="AH36" i="44" s="1"/>
  <c r="AG29" i="44"/>
  <c r="AH29" i="44" s="1"/>
  <c r="AG20" i="44"/>
  <c r="AH20" i="44" s="1"/>
  <c r="AG16" i="44"/>
  <c r="AH16" i="44" s="1"/>
  <c r="AG12" i="44"/>
  <c r="AH12" i="44" s="1"/>
  <c r="AG8" i="44"/>
  <c r="AG288" i="44"/>
  <c r="AH288" i="44" s="1"/>
  <c r="AG298" i="44"/>
  <c r="AH298" i="44" s="1"/>
  <c r="AG35" i="44"/>
  <c r="AH35" i="44" s="1"/>
  <c r="AG27" i="44"/>
  <c r="AH27" i="44" s="1"/>
  <c r="AG19" i="44"/>
  <c r="AH19" i="44" s="1"/>
  <c r="AG15" i="44"/>
  <c r="AH15" i="44" s="1"/>
  <c r="AG11" i="44"/>
  <c r="AH11" i="44" s="1"/>
  <c r="AG7" i="44"/>
  <c r="AG289" i="44"/>
  <c r="AH289" i="44" s="1"/>
  <c r="AG299" i="44"/>
  <c r="AH299" i="44" s="1"/>
  <c r="AG310" i="44"/>
  <c r="AH310" i="44" s="1"/>
  <c r="AG328" i="44"/>
  <c r="AH328" i="44" s="1"/>
  <c r="AG334" i="44"/>
  <c r="AH334" i="44" s="1"/>
  <c r="AG166" i="44"/>
  <c r="AG132" i="44"/>
  <c r="AH132" i="44" s="1"/>
  <c r="AG180" i="44"/>
  <c r="AH180" i="44" s="1"/>
  <c r="AG308" i="44"/>
  <c r="AH308" i="44" s="1"/>
  <c r="AG327" i="44"/>
  <c r="AH327" i="44" s="1"/>
  <c r="AG333" i="44"/>
  <c r="AH333" i="44" s="1"/>
  <c r="AG339" i="44"/>
  <c r="AH339" i="44" s="1"/>
  <c r="AG34" i="44"/>
  <c r="AH34" i="44" s="1"/>
  <c r="AG25" i="44"/>
  <c r="AH25" i="44" s="1"/>
  <c r="AG18" i="44"/>
  <c r="AH18" i="44" s="1"/>
  <c r="AG14" i="44"/>
  <c r="AH14" i="44" s="1"/>
  <c r="AG10" i="44"/>
  <c r="AG45" i="44"/>
  <c r="AH45" i="44" s="1"/>
  <c r="AG51" i="44"/>
  <c r="AH51" i="44" s="1"/>
  <c r="AG55" i="44"/>
  <c r="AH55" i="44" s="1"/>
  <c r="AG63" i="44"/>
  <c r="AH63" i="44" s="1"/>
  <c r="AG67" i="44"/>
  <c r="AH67" i="44" s="1"/>
  <c r="AG71" i="44"/>
  <c r="AH71" i="44" s="1"/>
  <c r="AG75" i="44"/>
  <c r="AH75" i="44" s="1"/>
  <c r="AG79" i="44"/>
  <c r="AG84" i="44"/>
  <c r="AG89" i="44"/>
  <c r="AH89" i="44" s="1"/>
  <c r="AG95" i="44"/>
  <c r="AH95" i="44" s="1"/>
  <c r="AG99" i="44"/>
  <c r="AH99" i="44" s="1"/>
  <c r="AG103" i="44"/>
  <c r="AH103" i="44" s="1"/>
  <c r="AG108" i="44"/>
  <c r="AG112" i="44"/>
  <c r="AG116" i="44"/>
  <c r="AH116" i="44" s="1"/>
  <c r="AG120" i="44"/>
  <c r="AH120" i="44" s="1"/>
  <c r="AG124" i="44"/>
  <c r="AH124" i="44" s="1"/>
  <c r="AG129" i="44"/>
  <c r="AH129" i="44" s="1"/>
  <c r="AG133" i="44"/>
  <c r="AG137" i="44"/>
  <c r="AH137" i="44" s="1"/>
  <c r="AG287" i="44"/>
  <c r="AH287" i="44" s="1"/>
  <c r="AG46" i="44"/>
  <c r="AH46" i="44" s="1"/>
  <c r="AG52" i="44"/>
  <c r="AH52" i="44" s="1"/>
  <c r="AG59" i="44"/>
  <c r="AH59" i="44" s="1"/>
  <c r="AG64" i="44"/>
  <c r="AH64" i="44" s="1"/>
  <c r="AG68" i="44"/>
  <c r="AH68" i="44" s="1"/>
  <c r="AG72" i="44"/>
  <c r="AH72" i="44" s="1"/>
  <c r="AG76" i="44"/>
  <c r="AG80" i="44"/>
  <c r="AG86" i="44"/>
  <c r="AH86" i="44" s="1"/>
  <c r="AG90" i="44"/>
  <c r="AH90" i="44" s="1"/>
  <c r="AG96" i="44"/>
  <c r="AH96" i="44" s="1"/>
  <c r="AG100" i="44"/>
  <c r="AH100" i="44" s="1"/>
  <c r="AG104" i="44"/>
  <c r="AH104" i="44" s="1"/>
  <c r="AG109" i="44"/>
  <c r="AG113" i="44"/>
  <c r="AG117" i="44"/>
  <c r="AH117" i="44" s="1"/>
  <c r="AG121" i="44"/>
  <c r="AH121" i="44" s="1"/>
  <c r="AG125" i="44"/>
  <c r="AH125" i="44" s="1"/>
  <c r="AG130" i="44"/>
  <c r="AH130" i="44" s="1"/>
  <c r="AG134" i="44"/>
  <c r="AH134" i="44" s="1"/>
  <c r="AG138" i="44"/>
  <c r="AH138" i="44" s="1"/>
  <c r="AG152" i="44"/>
  <c r="AH152" i="44" s="1"/>
  <c r="AG165" i="44"/>
  <c r="AH165" i="44" s="1"/>
  <c r="AG171" i="44"/>
  <c r="AH171" i="44" s="1"/>
  <c r="AG178" i="44"/>
  <c r="AH178" i="44" s="1"/>
  <c r="AG184" i="44"/>
  <c r="AH184" i="44" s="1"/>
  <c r="AG208" i="44"/>
  <c r="AH208" i="44" s="1"/>
  <c r="AG219" i="44"/>
  <c r="AG223" i="44"/>
  <c r="AG227" i="44"/>
  <c r="AG231" i="44"/>
  <c r="AH231" i="44" s="1"/>
  <c r="AG235" i="44"/>
  <c r="AH235" i="44" s="1"/>
  <c r="AG239" i="44"/>
  <c r="AH239" i="44" s="1"/>
  <c r="AG243" i="44"/>
  <c r="AH243" i="44" s="1"/>
  <c r="AG248" i="44"/>
  <c r="AG254" i="44"/>
  <c r="AG258" i="44"/>
  <c r="AG262" i="44"/>
  <c r="AG266" i="44"/>
  <c r="AH266" i="44" s="1"/>
  <c r="AG270" i="44"/>
  <c r="AH270" i="44" s="1"/>
  <c r="AG274" i="44"/>
  <c r="AH274" i="44" s="1"/>
  <c r="AD410" i="44" l="1"/>
  <c r="AD409" i="44"/>
  <c r="O442" i="44" l="1"/>
  <c r="O441" i="44"/>
  <c r="O440" i="44"/>
  <c r="O439" i="44"/>
  <c r="O438" i="44"/>
  <c r="O437" i="44"/>
  <c r="O436" i="44"/>
  <c r="O435" i="44"/>
  <c r="O434" i="44"/>
  <c r="O433" i="44"/>
  <c r="O432" i="44"/>
  <c r="O431" i="44"/>
  <c r="O430" i="44"/>
  <c r="O429" i="44"/>
  <c r="O428" i="44"/>
  <c r="O427" i="44"/>
  <c r="O426" i="44"/>
  <c r="O425" i="44"/>
  <c r="O424" i="44"/>
  <c r="O423" i="44"/>
  <c r="O422" i="44"/>
  <c r="O421" i="44"/>
  <c r="O420" i="44"/>
  <c r="O419" i="44"/>
  <c r="O418" i="44"/>
  <c r="O414" i="44"/>
  <c r="O413" i="44"/>
  <c r="O412" i="44"/>
  <c r="O411" i="44"/>
  <c r="O410" i="44"/>
  <c r="O409" i="44"/>
  <c r="O408" i="44"/>
  <c r="O407" i="44"/>
  <c r="O367" i="44"/>
  <c r="O366" i="44"/>
  <c r="O365" i="44"/>
  <c r="O364" i="44"/>
  <c r="O363" i="44"/>
  <c r="O362" i="44"/>
  <c r="O361" i="44"/>
  <c r="O360" i="44"/>
  <c r="O359" i="44"/>
  <c r="O358" i="44"/>
  <c r="O357" i="44"/>
  <c r="O356" i="44"/>
  <c r="O355" i="44"/>
  <c r="O354" i="44"/>
  <c r="O353" i="44"/>
  <c r="O352" i="44"/>
  <c r="O348" i="44"/>
  <c r="O347" i="44"/>
  <c r="O339" i="44"/>
  <c r="O338" i="44"/>
  <c r="O337" i="44"/>
  <c r="O336" i="44"/>
  <c r="O335" i="44"/>
  <c r="O334" i="44"/>
  <c r="O333" i="44"/>
  <c r="O332" i="44"/>
  <c r="O331" i="44"/>
  <c r="O330" i="44"/>
  <c r="O329" i="44"/>
  <c r="O328" i="44"/>
  <c r="O327" i="44"/>
  <c r="O315" i="44"/>
  <c r="O314" i="44"/>
  <c r="O311" i="44"/>
  <c r="O310" i="44"/>
  <c r="O307" i="44"/>
  <c r="O302" i="44"/>
  <c r="O301" i="44"/>
  <c r="O298" i="44"/>
  <c r="O297" i="44"/>
  <c r="O289" i="44"/>
  <c r="O288" i="44"/>
  <c r="O287" i="44"/>
  <c r="O286" i="44"/>
  <c r="O285" i="44"/>
  <c r="O284" i="44"/>
  <c r="O283" i="44"/>
  <c r="O282" i="44"/>
  <c r="O281" i="44"/>
  <c r="O280" i="44"/>
  <c r="O274" i="44"/>
  <c r="O273" i="44"/>
  <c r="O272" i="44"/>
  <c r="O271" i="44"/>
  <c r="O270" i="44"/>
  <c r="O269" i="44"/>
  <c r="O268" i="44"/>
  <c r="O267" i="44"/>
  <c r="O266" i="44"/>
  <c r="O265" i="44"/>
  <c r="O264" i="44"/>
  <c r="O263" i="44"/>
  <c r="O262" i="44"/>
  <c r="O256" i="44"/>
  <c r="O255" i="44"/>
  <c r="O254" i="44"/>
  <c r="O245" i="44"/>
  <c r="O244" i="44"/>
  <c r="O243" i="44"/>
  <c r="O242" i="44"/>
  <c r="AT242" i="44" s="1"/>
  <c r="AU242" i="44" s="1"/>
  <c r="O241" i="44"/>
  <c r="O240" i="44"/>
  <c r="O239" i="44"/>
  <c r="O238" i="44"/>
  <c r="O237" i="44"/>
  <c r="O236" i="44"/>
  <c r="O235" i="44"/>
  <c r="O234" i="44"/>
  <c r="O233" i="44"/>
  <c r="O232" i="44"/>
  <c r="O226" i="44"/>
  <c r="O225" i="44"/>
  <c r="O224" i="44"/>
  <c r="O223" i="44"/>
  <c r="O222" i="44"/>
  <c r="O221" i="44"/>
  <c r="O214" i="44"/>
  <c r="O213" i="44"/>
  <c r="O212" i="44"/>
  <c r="O200" i="44"/>
  <c r="O199" i="44"/>
  <c r="O189" i="44"/>
  <c r="O185" i="44"/>
  <c r="O184" i="44"/>
  <c r="O182" i="44"/>
  <c r="O180" i="44"/>
  <c r="O179" i="44"/>
  <c r="O178" i="44"/>
  <c r="O177" i="44"/>
  <c r="O176" i="44"/>
  <c r="O148" i="44"/>
  <c r="O146" i="44"/>
  <c r="O145" i="44"/>
  <c r="O144" i="44"/>
  <c r="O143" i="44"/>
  <c r="O142" i="44"/>
  <c r="O141" i="44"/>
  <c r="O139" i="44"/>
  <c r="O138" i="44"/>
  <c r="O137" i="44"/>
  <c r="O136" i="44"/>
  <c r="O135" i="44"/>
  <c r="O134" i="44"/>
  <c r="O133" i="44"/>
  <c r="O132" i="44"/>
  <c r="O131" i="44"/>
  <c r="O130" i="44"/>
  <c r="O129" i="44"/>
  <c r="O128" i="44"/>
  <c r="O127" i="44"/>
  <c r="O125" i="44"/>
  <c r="O124" i="44"/>
  <c r="O123" i="44"/>
  <c r="O122" i="44"/>
  <c r="O121" i="44"/>
  <c r="O120" i="44"/>
  <c r="O119" i="44"/>
  <c r="O118" i="44"/>
  <c r="O117" i="44"/>
  <c r="O116" i="44"/>
  <c r="O115" i="44"/>
  <c r="O114" i="44"/>
  <c r="O113" i="44"/>
  <c r="O111" i="44"/>
  <c r="O110" i="44"/>
  <c r="O100" i="44"/>
  <c r="O99" i="44"/>
  <c r="O95" i="44"/>
  <c r="O92" i="44"/>
  <c r="O91" i="44"/>
  <c r="O90" i="44"/>
  <c r="O88" i="44"/>
  <c r="O87" i="44"/>
  <c r="O86" i="44"/>
  <c r="O84" i="44"/>
  <c r="O83" i="44"/>
  <c r="O81" i="44"/>
  <c r="O80" i="44"/>
  <c r="O75" i="44"/>
  <c r="O74" i="44"/>
  <c r="O73" i="44"/>
  <c r="O72" i="44"/>
  <c r="O70" i="44"/>
  <c r="O68" i="44"/>
  <c r="O67" i="44"/>
  <c r="O66" i="44"/>
  <c r="O65" i="44"/>
  <c r="O64" i="44"/>
  <c r="O63" i="44"/>
  <c r="O62" i="44"/>
  <c r="O60" i="44"/>
  <c r="O59" i="44"/>
  <c r="O53" i="44"/>
  <c r="O50" i="44"/>
  <c r="O45" i="44"/>
  <c r="O44" i="44"/>
  <c r="O42" i="44"/>
  <c r="O36" i="44"/>
  <c r="O30" i="44"/>
  <c r="O29" i="44"/>
  <c r="AU274" i="44"/>
  <c r="AM274" i="44"/>
  <c r="AL274" i="44"/>
  <c r="AK274" i="44"/>
  <c r="AJ274" i="44"/>
  <c r="AI274" i="44"/>
  <c r="W274" i="44"/>
  <c r="X274" i="44" s="1"/>
  <c r="S274" i="44"/>
  <c r="P274" i="44"/>
  <c r="N274" i="44"/>
  <c r="AU273" i="44"/>
  <c r="AM273" i="44"/>
  <c r="AL273" i="44"/>
  <c r="AK273" i="44"/>
  <c r="AJ273" i="44"/>
  <c r="AI273" i="44"/>
  <c r="W273" i="44"/>
  <c r="S273" i="44"/>
  <c r="P273" i="44"/>
  <c r="N273" i="44"/>
  <c r="AU272" i="44"/>
  <c r="AM272" i="44"/>
  <c r="AL272" i="44"/>
  <c r="AK272" i="44"/>
  <c r="AJ272" i="44"/>
  <c r="AI272" i="44"/>
  <c r="W272" i="44"/>
  <c r="AB272" i="44" s="1"/>
  <c r="S272" i="44"/>
  <c r="P272" i="44"/>
  <c r="N272" i="44"/>
  <c r="AU271" i="44"/>
  <c r="AM271" i="44"/>
  <c r="AL271" i="44"/>
  <c r="AK271" i="44"/>
  <c r="AJ271" i="44"/>
  <c r="AI271" i="44"/>
  <c r="W271" i="44"/>
  <c r="AA271" i="44" s="1"/>
  <c r="S271" i="44"/>
  <c r="P271" i="44"/>
  <c r="N271" i="44"/>
  <c r="AU270" i="44"/>
  <c r="AM270" i="44"/>
  <c r="AL270" i="44"/>
  <c r="AK270" i="44"/>
  <c r="AJ270" i="44"/>
  <c r="AI270" i="44"/>
  <c r="W270" i="44"/>
  <c r="Z270" i="44" s="1"/>
  <c r="S270" i="44"/>
  <c r="P270" i="44"/>
  <c r="N270" i="44"/>
  <c r="AU269" i="44"/>
  <c r="AM269" i="44"/>
  <c r="AL269" i="44"/>
  <c r="AK269" i="44"/>
  <c r="AJ269" i="44"/>
  <c r="AI269" i="44"/>
  <c r="W269" i="44"/>
  <c r="X269" i="44" s="1"/>
  <c r="S269" i="44"/>
  <c r="P269" i="44"/>
  <c r="N269" i="44"/>
  <c r="AU268" i="44"/>
  <c r="AM268" i="44"/>
  <c r="AL268" i="44"/>
  <c r="AK268" i="44"/>
  <c r="AJ268" i="44"/>
  <c r="AI268" i="44"/>
  <c r="W268" i="44"/>
  <c r="Z268" i="44" s="1"/>
  <c r="S268" i="44"/>
  <c r="P268" i="44"/>
  <c r="N268" i="44"/>
  <c r="AU267" i="44"/>
  <c r="AM267" i="44"/>
  <c r="AL267" i="44"/>
  <c r="AK267" i="44"/>
  <c r="AJ267" i="44"/>
  <c r="AI267" i="44"/>
  <c r="W267" i="44"/>
  <c r="S267" i="44"/>
  <c r="P267" i="44"/>
  <c r="N267" i="44"/>
  <c r="AU266" i="44"/>
  <c r="AM266" i="44"/>
  <c r="AL266" i="44"/>
  <c r="AK266" i="44"/>
  <c r="AJ266" i="44"/>
  <c r="AI266" i="44"/>
  <c r="W266" i="44"/>
  <c r="S266" i="44"/>
  <c r="P266" i="44"/>
  <c r="N266" i="44"/>
  <c r="AU265" i="44"/>
  <c r="AM265" i="44"/>
  <c r="AL265" i="44"/>
  <c r="AK265" i="44"/>
  <c r="AJ265" i="44"/>
  <c r="AI265" i="44"/>
  <c r="W265" i="44"/>
  <c r="S265" i="44"/>
  <c r="P265" i="44"/>
  <c r="N265" i="44"/>
  <c r="AU245" i="44"/>
  <c r="AM245" i="44"/>
  <c r="AL245" i="44"/>
  <c r="AK245" i="44"/>
  <c r="AJ245" i="44"/>
  <c r="AI245" i="44"/>
  <c r="W245" i="44"/>
  <c r="S245" i="44"/>
  <c r="P245" i="44"/>
  <c r="N245" i="44"/>
  <c r="AU244" i="44"/>
  <c r="AM244" i="44"/>
  <c r="AL244" i="44"/>
  <c r="AK244" i="44"/>
  <c r="AJ244" i="44"/>
  <c r="AI244" i="44"/>
  <c r="W244" i="44"/>
  <c r="S244" i="44"/>
  <c r="P244" i="44"/>
  <c r="N244" i="44"/>
  <c r="AU243" i="44"/>
  <c r="AM243" i="44"/>
  <c r="AL243" i="44"/>
  <c r="AK243" i="44"/>
  <c r="AJ243" i="44"/>
  <c r="AI243" i="44"/>
  <c r="W243" i="44"/>
  <c r="AB243" i="44" s="1"/>
  <c r="S243" i="44"/>
  <c r="P243" i="44"/>
  <c r="N243" i="44"/>
  <c r="AM242" i="44"/>
  <c r="AL242" i="44"/>
  <c r="AK242" i="44"/>
  <c r="AJ242" i="44"/>
  <c r="AI242" i="44"/>
  <c r="W242" i="44"/>
  <c r="AA242" i="44" s="1"/>
  <c r="S242" i="44"/>
  <c r="P242" i="44"/>
  <c r="N242" i="44"/>
  <c r="AU241" i="44"/>
  <c r="AM241" i="44"/>
  <c r="AL241" i="44"/>
  <c r="AK241" i="44"/>
  <c r="AJ241" i="44"/>
  <c r="AI241" i="44"/>
  <c r="W241" i="44"/>
  <c r="Z241" i="44" s="1"/>
  <c r="S241" i="44"/>
  <c r="P241" i="44"/>
  <c r="N241" i="44"/>
  <c r="AU240" i="44"/>
  <c r="AM240" i="44"/>
  <c r="AL240" i="44"/>
  <c r="AK240" i="44"/>
  <c r="AJ240" i="44"/>
  <c r="AI240" i="44"/>
  <c r="W240" i="44"/>
  <c r="X240" i="44" s="1"/>
  <c r="S240" i="44"/>
  <c r="P240" i="44"/>
  <c r="N240" i="44"/>
  <c r="AU239" i="44"/>
  <c r="AM239" i="44"/>
  <c r="AL239" i="44"/>
  <c r="AK239" i="44"/>
  <c r="AJ239" i="44"/>
  <c r="AI239" i="44"/>
  <c r="W239" i="44"/>
  <c r="X239" i="44" s="1"/>
  <c r="S239" i="44"/>
  <c r="P239" i="44"/>
  <c r="N239" i="44"/>
  <c r="AM238" i="44"/>
  <c r="AL238" i="44"/>
  <c r="AK238" i="44"/>
  <c r="AJ238" i="44"/>
  <c r="AI238" i="44"/>
  <c r="W238" i="44"/>
  <c r="S238" i="44"/>
  <c r="P238" i="44"/>
  <c r="N238" i="44"/>
  <c r="AU185" i="44"/>
  <c r="AM185" i="44"/>
  <c r="AL185" i="44"/>
  <c r="AK185" i="44"/>
  <c r="AJ185" i="44"/>
  <c r="AI185" i="44"/>
  <c r="W185" i="44"/>
  <c r="S185" i="44"/>
  <c r="P185" i="44"/>
  <c r="N185" i="44"/>
  <c r="AU184" i="44"/>
  <c r="AM184" i="44"/>
  <c r="AL184" i="44"/>
  <c r="AK184" i="44"/>
  <c r="AJ184" i="44"/>
  <c r="AI184" i="44"/>
  <c r="W184" i="44"/>
  <c r="S184" i="44"/>
  <c r="P184" i="44"/>
  <c r="N184" i="44"/>
  <c r="AU182" i="44"/>
  <c r="AM182" i="44"/>
  <c r="AL182" i="44"/>
  <c r="AK182" i="44"/>
  <c r="AJ182" i="44"/>
  <c r="AI182" i="44"/>
  <c r="W182" i="44"/>
  <c r="S182" i="44"/>
  <c r="P182" i="44"/>
  <c r="N182" i="44"/>
  <c r="AU180" i="44"/>
  <c r="AM180" i="44"/>
  <c r="AL180" i="44"/>
  <c r="AK180" i="44"/>
  <c r="AJ180" i="44"/>
  <c r="AI180" i="44"/>
  <c r="W180" i="44"/>
  <c r="S180" i="44"/>
  <c r="P180" i="44"/>
  <c r="N180" i="44"/>
  <c r="AU179" i="44"/>
  <c r="AM179" i="44"/>
  <c r="AL179" i="44"/>
  <c r="AK179" i="44"/>
  <c r="AJ179" i="44"/>
  <c r="AI179" i="44"/>
  <c r="W179" i="44"/>
  <c r="S179" i="44"/>
  <c r="P179" i="44"/>
  <c r="N179" i="44"/>
  <c r="AU178" i="44"/>
  <c r="AM178" i="44"/>
  <c r="AL178" i="44"/>
  <c r="AK178" i="44"/>
  <c r="AJ178" i="44"/>
  <c r="AI178" i="44"/>
  <c r="W178" i="44"/>
  <c r="AB178" i="44" s="1"/>
  <c r="S178" i="44"/>
  <c r="P178" i="44"/>
  <c r="N178" i="44"/>
  <c r="AU177" i="44"/>
  <c r="AM177" i="44"/>
  <c r="AL177" i="44"/>
  <c r="AK177" i="44"/>
  <c r="AJ177" i="44"/>
  <c r="AI177" i="44"/>
  <c r="W177" i="44"/>
  <c r="AA177" i="44" s="1"/>
  <c r="S177" i="44"/>
  <c r="P177" i="44"/>
  <c r="N177" i="44"/>
  <c r="AU176" i="44"/>
  <c r="AM176" i="44"/>
  <c r="AL176" i="44"/>
  <c r="AK176" i="44"/>
  <c r="AJ176" i="44"/>
  <c r="AI176" i="44"/>
  <c r="W176" i="44"/>
  <c r="Z176" i="44" s="1"/>
  <c r="S176" i="44"/>
  <c r="P176" i="44"/>
  <c r="N176" i="44"/>
  <c r="AM173" i="44"/>
  <c r="AL173" i="44"/>
  <c r="AK173" i="44"/>
  <c r="AJ173" i="44"/>
  <c r="AI173" i="44"/>
  <c r="W173" i="44"/>
  <c r="AA173" i="44" s="1"/>
  <c r="S173" i="44"/>
  <c r="P173" i="44"/>
  <c r="N173" i="44"/>
  <c r="AM171" i="44"/>
  <c r="AL171" i="44"/>
  <c r="AK171" i="44"/>
  <c r="AJ171" i="44"/>
  <c r="AI171" i="44"/>
  <c r="W171" i="44"/>
  <c r="S171" i="44"/>
  <c r="P171" i="44"/>
  <c r="N171" i="44"/>
  <c r="AM157" i="44"/>
  <c r="AL157" i="44"/>
  <c r="AK157" i="44"/>
  <c r="AJ157" i="44"/>
  <c r="AI157" i="44"/>
  <c r="W157" i="44"/>
  <c r="S157" i="44"/>
  <c r="P157" i="44"/>
  <c r="N157" i="44"/>
  <c r="AM156" i="44"/>
  <c r="AL156" i="44"/>
  <c r="AK156" i="44"/>
  <c r="AJ156" i="44"/>
  <c r="AI156" i="44"/>
  <c r="W156" i="44"/>
  <c r="S156" i="44"/>
  <c r="P156" i="44"/>
  <c r="N156" i="44"/>
  <c r="AM154" i="44"/>
  <c r="AL154" i="44"/>
  <c r="AK154" i="44"/>
  <c r="AJ154" i="44"/>
  <c r="AI154" i="44"/>
  <c r="W154" i="44"/>
  <c r="AB154" i="44" s="1"/>
  <c r="S154" i="44"/>
  <c r="P154" i="44"/>
  <c r="N154" i="44"/>
  <c r="AM152" i="44"/>
  <c r="AL152" i="44"/>
  <c r="AK152" i="44"/>
  <c r="AJ152" i="44"/>
  <c r="AI152" i="44"/>
  <c r="W152" i="44"/>
  <c r="AA152" i="44" s="1"/>
  <c r="S152" i="44"/>
  <c r="P152" i="44"/>
  <c r="N152" i="44"/>
  <c r="AU139" i="44"/>
  <c r="AM139" i="44"/>
  <c r="AL139" i="44"/>
  <c r="AK139" i="44"/>
  <c r="AJ139" i="44"/>
  <c r="AI139" i="44"/>
  <c r="W139" i="44"/>
  <c r="S139" i="44"/>
  <c r="P139" i="44"/>
  <c r="N139" i="44"/>
  <c r="AU138" i="44"/>
  <c r="AM138" i="44"/>
  <c r="AL138" i="44"/>
  <c r="AK138" i="44"/>
  <c r="AJ138" i="44"/>
  <c r="AI138" i="44"/>
  <c r="W138" i="44"/>
  <c r="S138" i="44"/>
  <c r="P138" i="44"/>
  <c r="N138" i="44"/>
  <c r="AU137" i="44"/>
  <c r="AM137" i="44"/>
  <c r="AL137" i="44"/>
  <c r="AK137" i="44"/>
  <c r="AJ137" i="44"/>
  <c r="AI137" i="44"/>
  <c r="W137" i="44"/>
  <c r="AB137" i="44" s="1"/>
  <c r="S137" i="44"/>
  <c r="P137" i="44"/>
  <c r="N137" i="44"/>
  <c r="AU136" i="44"/>
  <c r="AM136" i="44"/>
  <c r="AL136" i="44"/>
  <c r="AK136" i="44"/>
  <c r="AJ136" i="44"/>
  <c r="AI136" i="44"/>
  <c r="W136" i="44"/>
  <c r="AA136" i="44" s="1"/>
  <c r="S136" i="44"/>
  <c r="P136" i="44"/>
  <c r="N136" i="44"/>
  <c r="AU135" i="44"/>
  <c r="AM135" i="44"/>
  <c r="AL135" i="44"/>
  <c r="AK135" i="44"/>
  <c r="AJ135" i="44"/>
  <c r="AI135" i="44"/>
  <c r="W135" i="44"/>
  <c r="Z135" i="44" s="1"/>
  <c r="S135" i="44"/>
  <c r="P135" i="44"/>
  <c r="N135" i="44"/>
  <c r="AU134" i="44"/>
  <c r="AM134" i="44"/>
  <c r="AL134" i="44"/>
  <c r="AK134" i="44"/>
  <c r="AJ134" i="44"/>
  <c r="AI134" i="44"/>
  <c r="W134" i="44"/>
  <c r="X134" i="44" s="1"/>
  <c r="S134" i="44"/>
  <c r="P134" i="44"/>
  <c r="N134" i="44"/>
  <c r="AU133" i="44"/>
  <c r="AM133" i="44"/>
  <c r="AL133" i="44"/>
  <c r="AK133" i="44"/>
  <c r="AJ133" i="44"/>
  <c r="AI133" i="44"/>
  <c r="S133" i="44"/>
  <c r="P133" i="44"/>
  <c r="N133" i="44"/>
  <c r="AU132" i="44"/>
  <c r="AM132" i="44"/>
  <c r="AL132" i="44"/>
  <c r="AK132" i="44"/>
  <c r="AJ132" i="44"/>
  <c r="AI132" i="44"/>
  <c r="W132" i="44"/>
  <c r="X132" i="44" s="1"/>
  <c r="S132" i="44"/>
  <c r="P132" i="44"/>
  <c r="N132" i="44"/>
  <c r="AU131" i="44"/>
  <c r="AM131" i="44"/>
  <c r="AL131" i="44"/>
  <c r="AK131" i="44"/>
  <c r="AJ131" i="44"/>
  <c r="AI131" i="44"/>
  <c r="W131" i="44"/>
  <c r="AB131" i="44" s="1"/>
  <c r="S131" i="44"/>
  <c r="P131" i="44"/>
  <c r="N131" i="44"/>
  <c r="AU130" i="44"/>
  <c r="AM130" i="44"/>
  <c r="AL130" i="44"/>
  <c r="AK130" i="44"/>
  <c r="AJ130" i="44"/>
  <c r="AI130" i="44"/>
  <c r="W130" i="44"/>
  <c r="AA130" i="44" s="1"/>
  <c r="S130" i="44"/>
  <c r="P130" i="44"/>
  <c r="N130" i="44"/>
  <c r="AU129" i="44"/>
  <c r="AM129" i="44"/>
  <c r="AL129" i="44"/>
  <c r="AK129" i="44"/>
  <c r="AJ129" i="44"/>
  <c r="AI129" i="44"/>
  <c r="W129" i="44"/>
  <c r="S129" i="44"/>
  <c r="P129" i="44"/>
  <c r="N129" i="44"/>
  <c r="AU128" i="44"/>
  <c r="AM128" i="44"/>
  <c r="AL128" i="44"/>
  <c r="AK128" i="44"/>
  <c r="AJ128" i="44"/>
  <c r="AI128" i="44"/>
  <c r="W128" i="44"/>
  <c r="X128" i="44" s="1"/>
  <c r="S128" i="44"/>
  <c r="P128" i="44"/>
  <c r="N128" i="44"/>
  <c r="AU127" i="44"/>
  <c r="AM127" i="44"/>
  <c r="AL127" i="44"/>
  <c r="AK127" i="44"/>
  <c r="AJ127" i="44"/>
  <c r="AI127" i="44"/>
  <c r="W127" i="44"/>
  <c r="S127" i="44"/>
  <c r="P127" i="44"/>
  <c r="N127" i="44"/>
  <c r="AU125" i="44"/>
  <c r="AM125" i="44"/>
  <c r="AL125" i="44"/>
  <c r="AK125" i="44"/>
  <c r="AJ125" i="44"/>
  <c r="AI125" i="44"/>
  <c r="W125" i="44"/>
  <c r="S125" i="44"/>
  <c r="P125" i="44"/>
  <c r="N125" i="44"/>
  <c r="AU124" i="44"/>
  <c r="AM124" i="44"/>
  <c r="AL124" i="44"/>
  <c r="AK124" i="44"/>
  <c r="AJ124" i="44"/>
  <c r="AI124" i="44"/>
  <c r="W124" i="44"/>
  <c r="S124" i="44"/>
  <c r="P124" i="44"/>
  <c r="N124" i="44"/>
  <c r="AU123" i="44"/>
  <c r="AM123" i="44"/>
  <c r="AL123" i="44"/>
  <c r="AK123" i="44"/>
  <c r="AJ123" i="44"/>
  <c r="AI123" i="44"/>
  <c r="W123" i="44"/>
  <c r="AB123" i="44" s="1"/>
  <c r="S123" i="44"/>
  <c r="P123" i="44"/>
  <c r="N123" i="44"/>
  <c r="AU122" i="44"/>
  <c r="AM122" i="44"/>
  <c r="AL122" i="44"/>
  <c r="AK122" i="44"/>
  <c r="AJ122" i="44"/>
  <c r="AI122" i="44"/>
  <c r="W122" i="44"/>
  <c r="AA122" i="44" s="1"/>
  <c r="S122" i="44"/>
  <c r="P122" i="44"/>
  <c r="N122" i="44"/>
  <c r="AU121" i="44"/>
  <c r="AM121" i="44"/>
  <c r="AL121" i="44"/>
  <c r="AK121" i="44"/>
  <c r="AJ121" i="44"/>
  <c r="AI121" i="44"/>
  <c r="W121" i="44"/>
  <c r="Z121" i="44" s="1"/>
  <c r="S121" i="44"/>
  <c r="P121" i="44"/>
  <c r="N121" i="44"/>
  <c r="AU120" i="44"/>
  <c r="AM120" i="44"/>
  <c r="AL120" i="44"/>
  <c r="AK120" i="44"/>
  <c r="AJ120" i="44"/>
  <c r="AI120" i="44"/>
  <c r="W120" i="44"/>
  <c r="X120" i="44" s="1"/>
  <c r="S120" i="44"/>
  <c r="P120" i="44"/>
  <c r="N120" i="44"/>
  <c r="AU119" i="44"/>
  <c r="AM119" i="44"/>
  <c r="AL119" i="44"/>
  <c r="AK119" i="44"/>
  <c r="AJ119" i="44"/>
  <c r="AI119" i="44"/>
  <c r="W119" i="44"/>
  <c r="S119" i="44"/>
  <c r="P119" i="44"/>
  <c r="N119" i="44"/>
  <c r="AU118" i="44"/>
  <c r="AM118" i="44"/>
  <c r="AL118" i="44"/>
  <c r="AK118" i="44"/>
  <c r="AJ118" i="44"/>
  <c r="AI118" i="44"/>
  <c r="W118" i="44"/>
  <c r="S118" i="44"/>
  <c r="P118" i="44"/>
  <c r="N118" i="44"/>
  <c r="AU117" i="44"/>
  <c r="AM117" i="44"/>
  <c r="AL117" i="44"/>
  <c r="AK117" i="44"/>
  <c r="AJ117" i="44"/>
  <c r="AI117" i="44"/>
  <c r="W117" i="44"/>
  <c r="S117" i="44"/>
  <c r="P117" i="44"/>
  <c r="N117" i="44"/>
  <c r="AU116" i="44"/>
  <c r="AM116" i="44"/>
  <c r="AL116" i="44"/>
  <c r="AK116" i="44"/>
  <c r="AJ116" i="44"/>
  <c r="AI116" i="44"/>
  <c r="W116" i="44"/>
  <c r="S116" i="44"/>
  <c r="P116" i="44"/>
  <c r="N116" i="44"/>
  <c r="AU115" i="44"/>
  <c r="AM115" i="44"/>
  <c r="AL115" i="44"/>
  <c r="AK115" i="44"/>
  <c r="AJ115" i="44"/>
  <c r="AI115" i="44"/>
  <c r="W115" i="44"/>
  <c r="AA115" i="44" s="1"/>
  <c r="S115" i="44"/>
  <c r="P115" i="44"/>
  <c r="N115" i="44"/>
  <c r="AU114" i="44"/>
  <c r="AM114" i="44"/>
  <c r="AL114" i="44"/>
  <c r="AK114" i="44"/>
  <c r="AJ114" i="44"/>
  <c r="AI114" i="44"/>
  <c r="W114" i="44"/>
  <c r="Z114" i="44" s="1"/>
  <c r="S114" i="44"/>
  <c r="P114" i="44"/>
  <c r="N114" i="44"/>
  <c r="AU106" i="44"/>
  <c r="AM106" i="44"/>
  <c r="AL106" i="44"/>
  <c r="AK106" i="44"/>
  <c r="AJ106" i="44"/>
  <c r="AI106" i="44"/>
  <c r="W106" i="44"/>
  <c r="AB106" i="44" s="1"/>
  <c r="AU105" i="44"/>
  <c r="AM105" i="44"/>
  <c r="AL105" i="44"/>
  <c r="AK105" i="44"/>
  <c r="AJ105" i="44"/>
  <c r="AI105" i="44"/>
  <c r="W105" i="44"/>
  <c r="AU104" i="44"/>
  <c r="AM104" i="44"/>
  <c r="AL104" i="44"/>
  <c r="AK104" i="44"/>
  <c r="AJ104" i="44"/>
  <c r="AI104" i="44"/>
  <c r="W104" i="44"/>
  <c r="AB104" i="44" s="1"/>
  <c r="AU103" i="44"/>
  <c r="AM103" i="44"/>
  <c r="AL103" i="44"/>
  <c r="AK103" i="44"/>
  <c r="AJ103" i="44"/>
  <c r="AI103" i="44"/>
  <c r="W103" i="44"/>
  <c r="AA103" i="44" s="1"/>
  <c r="AU102" i="44"/>
  <c r="AM102" i="44"/>
  <c r="AL102" i="44"/>
  <c r="AK102" i="44"/>
  <c r="AJ102" i="44"/>
  <c r="AI102" i="44"/>
  <c r="W102" i="44"/>
  <c r="Z102" i="44" s="1"/>
  <c r="AU101" i="44"/>
  <c r="AM101" i="44"/>
  <c r="AL101" i="44"/>
  <c r="AK101" i="44"/>
  <c r="AJ101" i="44"/>
  <c r="AI101" i="44"/>
  <c r="W101" i="44"/>
  <c r="X101" i="44" s="1"/>
  <c r="AU100" i="44"/>
  <c r="AM100" i="44"/>
  <c r="AL100" i="44"/>
  <c r="AK100" i="44"/>
  <c r="AJ100" i="44"/>
  <c r="AI100" i="44"/>
  <c r="W100" i="44"/>
  <c r="S100" i="44"/>
  <c r="P100" i="44"/>
  <c r="N100" i="44"/>
  <c r="AU99" i="44"/>
  <c r="AM99" i="44"/>
  <c r="AL99" i="44"/>
  <c r="AK99" i="44"/>
  <c r="AJ99" i="44"/>
  <c r="AI99" i="44"/>
  <c r="W99" i="44"/>
  <c r="S99" i="44"/>
  <c r="P99" i="44"/>
  <c r="N99" i="44"/>
  <c r="AM98" i="44"/>
  <c r="AL98" i="44"/>
  <c r="AK98" i="44"/>
  <c r="AJ98" i="44"/>
  <c r="AI98" i="44"/>
  <c r="W98" i="44"/>
  <c r="S98" i="44"/>
  <c r="P98" i="44"/>
  <c r="N98" i="44"/>
  <c r="AM97" i="44"/>
  <c r="AL97" i="44"/>
  <c r="AK97" i="44"/>
  <c r="AJ97" i="44"/>
  <c r="AI97" i="44"/>
  <c r="W97" i="44"/>
  <c r="X97" i="44" s="1"/>
  <c r="S97" i="44"/>
  <c r="P97" i="44"/>
  <c r="N97" i="44"/>
  <c r="AM96" i="44"/>
  <c r="AL96" i="44"/>
  <c r="AK96" i="44"/>
  <c r="AJ96" i="44"/>
  <c r="AI96" i="44"/>
  <c r="W96" i="44"/>
  <c r="AA96" i="44" s="1"/>
  <c r="S96" i="44"/>
  <c r="P96" i="44"/>
  <c r="N96" i="44"/>
  <c r="AU92" i="44"/>
  <c r="AM92" i="44"/>
  <c r="AL92" i="44"/>
  <c r="AK92" i="44"/>
  <c r="AJ92" i="44"/>
  <c r="AI92" i="44"/>
  <c r="W92" i="44"/>
  <c r="S92" i="44"/>
  <c r="P92" i="44"/>
  <c r="N92" i="44"/>
  <c r="AU91" i="44"/>
  <c r="AM91" i="44"/>
  <c r="AL91" i="44"/>
  <c r="AK91" i="44"/>
  <c r="AJ91" i="44"/>
  <c r="AI91" i="44"/>
  <c r="W91" i="44"/>
  <c r="AA91" i="44" s="1"/>
  <c r="S91" i="44"/>
  <c r="P91" i="44"/>
  <c r="N91" i="44"/>
  <c r="AU90" i="44"/>
  <c r="AM90" i="44"/>
  <c r="AL90" i="44"/>
  <c r="AK90" i="44"/>
  <c r="AJ90" i="44"/>
  <c r="AI90" i="44"/>
  <c r="W90" i="44"/>
  <c r="X90" i="44" s="1"/>
  <c r="S90" i="44"/>
  <c r="P90" i="44"/>
  <c r="N90" i="44"/>
  <c r="AM89" i="44"/>
  <c r="AL89" i="44"/>
  <c r="AK89" i="44"/>
  <c r="AJ89" i="44"/>
  <c r="AI89" i="44"/>
  <c r="W89" i="44"/>
  <c r="S89" i="44"/>
  <c r="P89" i="44"/>
  <c r="N89" i="44"/>
  <c r="AU88" i="44"/>
  <c r="AM88" i="44"/>
  <c r="AL88" i="44"/>
  <c r="AK88" i="44"/>
  <c r="AJ88" i="44"/>
  <c r="AI88" i="44"/>
  <c r="W88" i="44"/>
  <c r="S88" i="44"/>
  <c r="P88" i="44"/>
  <c r="N88" i="44"/>
  <c r="AU87" i="44"/>
  <c r="AM87" i="44"/>
  <c r="AL87" i="44"/>
  <c r="AK87" i="44"/>
  <c r="AJ87" i="44"/>
  <c r="AI87" i="44"/>
  <c r="W87" i="44"/>
  <c r="S87" i="44"/>
  <c r="P87" i="44"/>
  <c r="N87" i="44"/>
  <c r="AU86" i="44"/>
  <c r="AM86" i="44"/>
  <c r="AL86" i="44"/>
  <c r="AK86" i="44"/>
  <c r="AJ86" i="44"/>
  <c r="AI86" i="44"/>
  <c r="W86" i="44"/>
  <c r="S86" i="44"/>
  <c r="P86" i="44"/>
  <c r="N86" i="44"/>
  <c r="AU84" i="44"/>
  <c r="AM84" i="44"/>
  <c r="AL84" i="44"/>
  <c r="AK84" i="44"/>
  <c r="AJ84" i="44"/>
  <c r="AI84" i="44"/>
  <c r="W84" i="44"/>
  <c r="S84" i="44"/>
  <c r="P84" i="44"/>
  <c r="N84" i="44"/>
  <c r="AU83" i="44"/>
  <c r="AM83" i="44"/>
  <c r="AL83" i="44"/>
  <c r="AK83" i="44"/>
  <c r="AJ83" i="44"/>
  <c r="AI83" i="44"/>
  <c r="W83" i="44"/>
  <c r="X83" i="44" s="1"/>
  <c r="S83" i="44"/>
  <c r="P83" i="44"/>
  <c r="N83" i="44"/>
  <c r="AU81" i="44"/>
  <c r="AM81" i="44"/>
  <c r="AL81" i="44"/>
  <c r="AK81" i="44"/>
  <c r="AJ81" i="44"/>
  <c r="AI81" i="44"/>
  <c r="W81" i="44"/>
  <c r="S81" i="44"/>
  <c r="P81" i="44"/>
  <c r="N81" i="44"/>
  <c r="AU80" i="44"/>
  <c r="AM80" i="44"/>
  <c r="AL80" i="44"/>
  <c r="AK80" i="44"/>
  <c r="AJ80" i="44"/>
  <c r="AI80" i="44"/>
  <c r="W80" i="44"/>
  <c r="AA80" i="44" s="1"/>
  <c r="S80" i="44"/>
  <c r="P80" i="44"/>
  <c r="N80" i="44"/>
  <c r="AM79" i="44"/>
  <c r="AL79" i="44"/>
  <c r="AK79" i="44"/>
  <c r="AJ79" i="44"/>
  <c r="AI79" i="44"/>
  <c r="W79" i="44"/>
  <c r="S79" i="44"/>
  <c r="P79" i="44"/>
  <c r="N79" i="44"/>
  <c r="AM78" i="44"/>
  <c r="AL78" i="44"/>
  <c r="AK78" i="44"/>
  <c r="AJ78" i="44"/>
  <c r="AI78" i="44"/>
  <c r="W78" i="44"/>
  <c r="S78" i="44"/>
  <c r="P78" i="44"/>
  <c r="N78" i="44"/>
  <c r="AM77" i="44"/>
  <c r="AL77" i="44"/>
  <c r="AK77" i="44"/>
  <c r="AJ77" i="44"/>
  <c r="AI77" i="44"/>
  <c r="W77" i="44"/>
  <c r="AB77" i="44" s="1"/>
  <c r="S77" i="44"/>
  <c r="P77" i="44"/>
  <c r="N77" i="44"/>
  <c r="AM76" i="44"/>
  <c r="AL76" i="44"/>
  <c r="AK76" i="44"/>
  <c r="AJ76" i="44"/>
  <c r="AI76" i="44"/>
  <c r="W76" i="44"/>
  <c r="AB76" i="44" s="1"/>
  <c r="S76" i="44"/>
  <c r="P76" i="44"/>
  <c r="N76" i="44"/>
  <c r="AU75" i="44"/>
  <c r="AM75" i="44"/>
  <c r="AL75" i="44"/>
  <c r="AK75" i="44"/>
  <c r="AJ75" i="44"/>
  <c r="AI75" i="44"/>
  <c r="W75" i="44"/>
  <c r="S75" i="44"/>
  <c r="P75" i="44"/>
  <c r="N75" i="44"/>
  <c r="AU74" i="44"/>
  <c r="AM74" i="44"/>
  <c r="AL74" i="44"/>
  <c r="AK74" i="44"/>
  <c r="AJ74" i="44"/>
  <c r="AI74" i="44"/>
  <c r="W74" i="44"/>
  <c r="AA74" i="44" s="1"/>
  <c r="S74" i="44"/>
  <c r="P74" i="44"/>
  <c r="N74" i="44"/>
  <c r="AU73" i="44"/>
  <c r="AM73" i="44"/>
  <c r="AL73" i="44"/>
  <c r="AK73" i="44"/>
  <c r="AJ73" i="44"/>
  <c r="AI73" i="44"/>
  <c r="W73" i="44"/>
  <c r="S73" i="44"/>
  <c r="P73" i="44"/>
  <c r="N73" i="44"/>
  <c r="AU72" i="44"/>
  <c r="AM72" i="44"/>
  <c r="AL72" i="44"/>
  <c r="AK72" i="44"/>
  <c r="AJ72" i="44"/>
  <c r="AI72" i="44"/>
  <c r="W72" i="44"/>
  <c r="AA72" i="44" s="1"/>
  <c r="S72" i="44"/>
  <c r="P72" i="44"/>
  <c r="N72" i="44"/>
  <c r="AM71" i="44"/>
  <c r="AL71" i="44"/>
  <c r="AK71" i="44"/>
  <c r="AJ71" i="44"/>
  <c r="AI71" i="44"/>
  <c r="W71" i="44"/>
  <c r="X71" i="44" s="1"/>
  <c r="S71" i="44"/>
  <c r="P71" i="44"/>
  <c r="N71" i="44"/>
  <c r="AU70" i="44"/>
  <c r="AM70" i="44"/>
  <c r="AL70" i="44"/>
  <c r="AK70" i="44"/>
  <c r="AJ70" i="44"/>
  <c r="AI70" i="44"/>
  <c r="W70" i="44"/>
  <c r="X70" i="44" s="1"/>
  <c r="S70" i="44"/>
  <c r="P70" i="44"/>
  <c r="N70" i="44"/>
  <c r="AM69" i="44"/>
  <c r="AL69" i="44"/>
  <c r="AK69" i="44"/>
  <c r="AJ69" i="44"/>
  <c r="AI69" i="44"/>
  <c r="W69" i="44"/>
  <c r="AA69" i="44" s="1"/>
  <c r="S69" i="44"/>
  <c r="P69" i="44"/>
  <c r="N69" i="44"/>
  <c r="AU68" i="44"/>
  <c r="AM68" i="44"/>
  <c r="AL68" i="44"/>
  <c r="AK68" i="44"/>
  <c r="AJ68" i="44"/>
  <c r="AI68" i="44"/>
  <c r="W68" i="44"/>
  <c r="AA68" i="44" s="1"/>
  <c r="S68" i="44"/>
  <c r="P68" i="44"/>
  <c r="N68" i="44"/>
  <c r="AU67" i="44"/>
  <c r="AM67" i="44"/>
  <c r="AL67" i="44"/>
  <c r="AK67" i="44"/>
  <c r="AJ67" i="44"/>
  <c r="AI67" i="44"/>
  <c r="W67" i="44"/>
  <c r="AA67" i="44" s="1"/>
  <c r="S67" i="44"/>
  <c r="P67" i="44"/>
  <c r="N67" i="44"/>
  <c r="AM55" i="44"/>
  <c r="AL55" i="44"/>
  <c r="AK55" i="44"/>
  <c r="AJ55" i="44"/>
  <c r="AI55" i="44"/>
  <c r="W55" i="44"/>
  <c r="AA55" i="44" s="1"/>
  <c r="S55" i="44"/>
  <c r="P55" i="44"/>
  <c r="N55" i="44"/>
  <c r="AM54" i="44"/>
  <c r="AL54" i="44"/>
  <c r="AK54" i="44"/>
  <c r="AJ54" i="44"/>
  <c r="AI54" i="44"/>
  <c r="W54" i="44"/>
  <c r="AA54" i="44" s="1"/>
  <c r="S54" i="44"/>
  <c r="P54" i="44"/>
  <c r="N54" i="44"/>
  <c r="AU53" i="44"/>
  <c r="AM53" i="44"/>
  <c r="AL53" i="44"/>
  <c r="AK53" i="44"/>
  <c r="AJ53" i="44"/>
  <c r="AI53" i="44"/>
  <c r="S53" i="44"/>
  <c r="P53" i="44"/>
  <c r="N53" i="44"/>
  <c r="AM52" i="44"/>
  <c r="AL52" i="44"/>
  <c r="AK52" i="44"/>
  <c r="AJ52" i="44"/>
  <c r="AI52" i="44"/>
  <c r="W52" i="44"/>
  <c r="S52" i="44"/>
  <c r="P52" i="44"/>
  <c r="N52" i="44"/>
  <c r="AM51" i="44"/>
  <c r="AL51" i="44"/>
  <c r="AK51" i="44"/>
  <c r="AJ51" i="44"/>
  <c r="AI51" i="44"/>
  <c r="W51" i="44"/>
  <c r="S51" i="44"/>
  <c r="P51" i="44"/>
  <c r="N51" i="44"/>
  <c r="AU50" i="44"/>
  <c r="AM50" i="44"/>
  <c r="AL50" i="44"/>
  <c r="AK50" i="44"/>
  <c r="AJ50" i="44"/>
  <c r="AI50" i="44"/>
  <c r="W50" i="44"/>
  <c r="X50" i="44" s="1"/>
  <c r="S50" i="44"/>
  <c r="P50" i="44"/>
  <c r="N50" i="44"/>
  <c r="AM48" i="44"/>
  <c r="AL48" i="44"/>
  <c r="AK48" i="44"/>
  <c r="AJ48" i="44"/>
  <c r="AI48" i="44"/>
  <c r="W48" i="44"/>
  <c r="AA48" i="44" s="1"/>
  <c r="S48" i="44"/>
  <c r="P48" i="44"/>
  <c r="N48" i="44"/>
  <c r="AM46" i="44"/>
  <c r="AL46" i="44"/>
  <c r="AK46" i="44"/>
  <c r="AJ46" i="44"/>
  <c r="AI46" i="44"/>
  <c r="W46" i="44"/>
  <c r="AA46" i="44" s="1"/>
  <c r="S46" i="44"/>
  <c r="P46" i="44"/>
  <c r="N46" i="44"/>
  <c r="P36" i="44"/>
  <c r="P35" i="44"/>
  <c r="P34" i="44"/>
  <c r="AU36" i="44"/>
  <c r="AM36" i="44"/>
  <c r="AL36" i="44"/>
  <c r="AK36" i="44"/>
  <c r="AJ36" i="44"/>
  <c r="AI36" i="44"/>
  <c r="W36" i="44"/>
  <c r="S36" i="44"/>
  <c r="N36" i="44"/>
  <c r="AM35" i="44"/>
  <c r="AL35" i="44"/>
  <c r="AK35" i="44"/>
  <c r="AJ35" i="44"/>
  <c r="AI35" i="44"/>
  <c r="W35" i="44"/>
  <c r="S35" i="44"/>
  <c r="N35" i="44"/>
  <c r="AM34" i="44"/>
  <c r="AL34" i="44"/>
  <c r="AK34" i="44"/>
  <c r="AJ34" i="44"/>
  <c r="AI34" i="44"/>
  <c r="W34" i="44"/>
  <c r="AB34" i="44" s="1"/>
  <c r="S34" i="44"/>
  <c r="N34" i="44"/>
  <c r="AU339" i="44"/>
  <c r="AM339" i="44"/>
  <c r="AL339" i="44"/>
  <c r="AK339" i="44"/>
  <c r="AJ339" i="44"/>
  <c r="W339" i="44"/>
  <c r="S339" i="44"/>
  <c r="P339" i="44"/>
  <c r="N339" i="44"/>
  <c r="AU338" i="44"/>
  <c r="AM338" i="44"/>
  <c r="AL338" i="44"/>
  <c r="AK338" i="44"/>
  <c r="AJ338" i="44"/>
  <c r="W338" i="44"/>
  <c r="AA338" i="44" s="1"/>
  <c r="S338" i="44"/>
  <c r="P338" i="44"/>
  <c r="N338" i="44"/>
  <c r="AU337" i="44"/>
  <c r="AM337" i="44"/>
  <c r="AL337" i="44"/>
  <c r="AK337" i="44"/>
  <c r="AJ337" i="44"/>
  <c r="W337" i="44"/>
  <c r="AA337" i="44" s="1"/>
  <c r="S337" i="44"/>
  <c r="P337" i="44"/>
  <c r="N337" i="44"/>
  <c r="AU336" i="44"/>
  <c r="AM336" i="44"/>
  <c r="AL336" i="44"/>
  <c r="AK336" i="44"/>
  <c r="AJ336" i="44"/>
  <c r="W336" i="44"/>
  <c r="AB336" i="44" s="1"/>
  <c r="S336" i="44"/>
  <c r="P336" i="44"/>
  <c r="N336" i="44"/>
  <c r="AU335" i="44"/>
  <c r="AM335" i="44"/>
  <c r="AL335" i="44"/>
  <c r="AK335" i="44"/>
  <c r="AJ335" i="44"/>
  <c r="W335" i="44"/>
  <c r="S335" i="44"/>
  <c r="P335" i="44"/>
  <c r="N335" i="44"/>
  <c r="AU334" i="44"/>
  <c r="AM334" i="44"/>
  <c r="AL334" i="44"/>
  <c r="AK334" i="44"/>
  <c r="AJ334" i="44"/>
  <c r="W334" i="44"/>
  <c r="Z334" i="44" s="1"/>
  <c r="S334" i="44"/>
  <c r="P334" i="44"/>
  <c r="N334" i="44"/>
  <c r="AU333" i="44"/>
  <c r="AM333" i="44"/>
  <c r="AL333" i="44"/>
  <c r="AK333" i="44"/>
  <c r="AJ333" i="44"/>
  <c r="W333" i="44"/>
  <c r="S333" i="44"/>
  <c r="P333" i="44"/>
  <c r="N333" i="44"/>
  <c r="AU332" i="44"/>
  <c r="AM332" i="44"/>
  <c r="AL332" i="44"/>
  <c r="AK332" i="44"/>
  <c r="AJ332" i="44"/>
  <c r="W332" i="44"/>
  <c r="AA332" i="44" s="1"/>
  <c r="S332" i="44"/>
  <c r="P332" i="44"/>
  <c r="N332" i="44"/>
  <c r="AU331" i="44"/>
  <c r="AM331" i="44"/>
  <c r="AL331" i="44"/>
  <c r="AK331" i="44"/>
  <c r="AJ331" i="44"/>
  <c r="W331" i="44"/>
  <c r="X331" i="44" s="1"/>
  <c r="S331" i="44"/>
  <c r="P331" i="44"/>
  <c r="N331" i="44"/>
  <c r="AU330" i="44"/>
  <c r="AM330" i="44"/>
  <c r="AL330" i="44"/>
  <c r="AK330" i="44"/>
  <c r="AJ330" i="44"/>
  <c r="W330" i="44"/>
  <c r="S330" i="44"/>
  <c r="P330" i="44"/>
  <c r="N330" i="44"/>
  <c r="AU329" i="44"/>
  <c r="AM329" i="44"/>
  <c r="AL329" i="44"/>
  <c r="AK329" i="44"/>
  <c r="AJ329" i="44"/>
  <c r="W329" i="44"/>
  <c r="X329" i="44" s="1"/>
  <c r="S329" i="44"/>
  <c r="P329" i="44"/>
  <c r="N329" i="44"/>
  <c r="AU328" i="44"/>
  <c r="AM328" i="44"/>
  <c r="AL328" i="44"/>
  <c r="AK328" i="44"/>
  <c r="AJ328" i="44"/>
  <c r="W328" i="44"/>
  <c r="AA328" i="44" s="1"/>
  <c r="S328" i="44"/>
  <c r="P328" i="44"/>
  <c r="N328" i="44"/>
  <c r="AU327" i="44"/>
  <c r="AM327" i="44"/>
  <c r="AL327" i="44"/>
  <c r="AK327" i="44"/>
  <c r="AJ327" i="44"/>
  <c r="W327" i="44"/>
  <c r="X327" i="44" s="1"/>
  <c r="S327" i="44"/>
  <c r="P327" i="44"/>
  <c r="N327" i="44"/>
  <c r="AU289" i="44"/>
  <c r="AM289" i="44"/>
  <c r="AL289" i="44"/>
  <c r="AK289" i="44"/>
  <c r="AJ289" i="44"/>
  <c r="AI289" i="44"/>
  <c r="W289" i="44"/>
  <c r="AB289" i="44" s="1"/>
  <c r="S289" i="44"/>
  <c r="P289" i="44"/>
  <c r="N289" i="44"/>
  <c r="N257" i="44"/>
  <c r="AT238" i="44" l="1"/>
  <c r="AU238" i="44" s="1"/>
  <c r="O46" i="44"/>
  <c r="O48" i="44"/>
  <c r="O51" i="44"/>
  <c r="O79" i="44"/>
  <c r="O154" i="44"/>
  <c r="O152" i="44"/>
  <c r="O257" i="44"/>
  <c r="O34" i="44"/>
  <c r="O76" i="44"/>
  <c r="O77" i="44"/>
  <c r="O89" i="44"/>
  <c r="O98" i="44"/>
  <c r="O173" i="44"/>
  <c r="O78" i="44"/>
  <c r="O97" i="44"/>
  <c r="O171" i="44"/>
  <c r="O35" i="44"/>
  <c r="O96" i="44"/>
  <c r="O157" i="44"/>
  <c r="O52" i="44"/>
  <c r="O54" i="44"/>
  <c r="O55" i="44"/>
  <c r="O69" i="44"/>
  <c r="O71" i="44"/>
  <c r="O156" i="44"/>
  <c r="AA83" i="44"/>
  <c r="AN273" i="44"/>
  <c r="AN87" i="44"/>
  <c r="AN238" i="44"/>
  <c r="AN269" i="44"/>
  <c r="AN88" i="44"/>
  <c r="AB338" i="44"/>
  <c r="AN120" i="44"/>
  <c r="AA135" i="44"/>
  <c r="AN335" i="44"/>
  <c r="AB80" i="44"/>
  <c r="AN104" i="44"/>
  <c r="AN72" i="44"/>
  <c r="AN241" i="44"/>
  <c r="AO241" i="44" s="1"/>
  <c r="AP241" i="44" s="1"/>
  <c r="AN245" i="44"/>
  <c r="AN268" i="44"/>
  <c r="AO268" i="44" s="1"/>
  <c r="AP268" i="44" s="1"/>
  <c r="AA121" i="44"/>
  <c r="AB121" i="44"/>
  <c r="Z83" i="44"/>
  <c r="AN337" i="44"/>
  <c r="AB74" i="44"/>
  <c r="AN99" i="44"/>
  <c r="AA269" i="44"/>
  <c r="AN76" i="44"/>
  <c r="X268" i="44"/>
  <c r="AA268" i="44"/>
  <c r="X122" i="44"/>
  <c r="AB268" i="44"/>
  <c r="X332" i="44"/>
  <c r="X337" i="44"/>
  <c r="AN50" i="44"/>
  <c r="Z79" i="44"/>
  <c r="Z239" i="44"/>
  <c r="Z100" i="44"/>
  <c r="AB337" i="44"/>
  <c r="AB79" i="44"/>
  <c r="AN121" i="44"/>
  <c r="AO121" i="44" s="1"/>
  <c r="AA71" i="44"/>
  <c r="Z53" i="44"/>
  <c r="AN332" i="44"/>
  <c r="AN135" i="44"/>
  <c r="AO135" i="44" s="1"/>
  <c r="Z240" i="44"/>
  <c r="AN329" i="44"/>
  <c r="X335" i="44"/>
  <c r="AN71" i="44"/>
  <c r="AN100" i="44"/>
  <c r="Z101" i="44"/>
  <c r="AN117" i="44"/>
  <c r="AN132" i="44"/>
  <c r="AB177" i="44"/>
  <c r="AN185" i="44"/>
  <c r="AN330" i="44"/>
  <c r="Z335" i="44"/>
  <c r="AB101" i="44"/>
  <c r="AB335" i="44"/>
  <c r="AN79" i="44"/>
  <c r="AN114" i="44"/>
  <c r="AO114" i="44" s="1"/>
  <c r="AP114" i="44" s="1"/>
  <c r="AN124" i="44"/>
  <c r="AN267" i="44"/>
  <c r="AN270" i="44"/>
  <c r="AO270" i="44" s="1"/>
  <c r="AN274" i="44"/>
  <c r="AN331" i="44"/>
  <c r="AB332" i="44"/>
  <c r="AB54" i="44"/>
  <c r="AN289" i="44"/>
  <c r="AA50" i="44"/>
  <c r="AN70" i="44"/>
  <c r="AN125" i="44"/>
  <c r="AN136" i="44"/>
  <c r="AN339" i="44"/>
  <c r="AN80" i="44"/>
  <c r="AN105" i="44"/>
  <c r="AN154" i="44"/>
  <c r="AN182" i="44"/>
  <c r="AN242" i="44"/>
  <c r="Z337" i="44"/>
  <c r="AN35" i="44"/>
  <c r="AN36" i="44"/>
  <c r="AN52" i="44"/>
  <c r="AA53" i="44"/>
  <c r="AB71" i="44"/>
  <c r="AN83" i="44"/>
  <c r="AB100" i="44"/>
  <c r="AN116" i="44"/>
  <c r="AB135" i="44"/>
  <c r="AN156" i="44"/>
  <c r="AN178" i="44"/>
  <c r="AN78" i="44"/>
  <c r="AN89" i="44"/>
  <c r="AN102" i="44"/>
  <c r="AO102" i="44" s="1"/>
  <c r="AP102" i="44" s="1"/>
  <c r="AN157" i="44"/>
  <c r="AN184" i="44"/>
  <c r="AN333" i="44"/>
  <c r="AN106" i="44"/>
  <c r="X87" i="44"/>
  <c r="AB103" i="44"/>
  <c r="X116" i="44"/>
  <c r="AA335" i="44"/>
  <c r="AB53" i="44"/>
  <c r="AN54" i="44"/>
  <c r="Z71" i="44"/>
  <c r="X73" i="44"/>
  <c r="AB84" i="44"/>
  <c r="Z87" i="44"/>
  <c r="Z99" i="44"/>
  <c r="Z116" i="44"/>
  <c r="AN131" i="44"/>
  <c r="AA87" i="44"/>
  <c r="AN97" i="44"/>
  <c r="AA116" i="44"/>
  <c r="AN118" i="44"/>
  <c r="AN134" i="44"/>
  <c r="AN177" i="44"/>
  <c r="AN265" i="44"/>
  <c r="AN98" i="44"/>
  <c r="AB116" i="44"/>
  <c r="AN240" i="44"/>
  <c r="AN46" i="44"/>
  <c r="AN55" i="44"/>
  <c r="AB83" i="44"/>
  <c r="Z104" i="44"/>
  <c r="AB122" i="44"/>
  <c r="AA239" i="44"/>
  <c r="AN53" i="44"/>
  <c r="X79" i="44"/>
  <c r="X100" i="44"/>
  <c r="AN119" i="44"/>
  <c r="AB239" i="44"/>
  <c r="AN51" i="44"/>
  <c r="AA185" i="44"/>
  <c r="AB269" i="44"/>
  <c r="AN328" i="44"/>
  <c r="AN336" i="44"/>
  <c r="AN48" i="44"/>
  <c r="AA79" i="44"/>
  <c r="AN92" i="44"/>
  <c r="AA100" i="44"/>
  <c r="AN101" i="44"/>
  <c r="X136" i="44"/>
  <c r="AB185" i="44"/>
  <c r="AB242" i="44"/>
  <c r="AN244" i="44"/>
  <c r="AN133" i="44"/>
  <c r="AO133" i="44" s="1"/>
  <c r="AB136" i="44"/>
  <c r="AN173" i="44"/>
  <c r="AN86" i="44"/>
  <c r="AN90" i="44"/>
  <c r="AA118" i="44"/>
  <c r="AN176" i="44"/>
  <c r="AO176" i="44" s="1"/>
  <c r="AP176" i="44" s="1"/>
  <c r="AN239" i="44"/>
  <c r="AN272" i="44"/>
  <c r="AN327" i="44"/>
  <c r="AN334" i="44"/>
  <c r="AO334" i="44" s="1"/>
  <c r="AP334" i="44" s="1"/>
  <c r="AW334" i="44" s="1"/>
  <c r="AN67" i="44"/>
  <c r="X84" i="44"/>
  <c r="X86" i="44"/>
  <c r="AN96" i="44"/>
  <c r="X242" i="44"/>
  <c r="Z84" i="44"/>
  <c r="AN338" i="44"/>
  <c r="Z50" i="44"/>
  <c r="X55" i="44"/>
  <c r="AN69" i="44"/>
  <c r="AN74" i="44"/>
  <c r="AA84" i="44"/>
  <c r="X99" i="44"/>
  <c r="X103" i="44"/>
  <c r="AN122" i="44"/>
  <c r="AN128" i="44"/>
  <c r="AN138" i="44"/>
  <c r="X177" i="44"/>
  <c r="AB271" i="44"/>
  <c r="AB50" i="44"/>
  <c r="Z331" i="44"/>
  <c r="AB99" i="44"/>
  <c r="Z117" i="44"/>
  <c r="X119" i="44"/>
  <c r="AA120" i="44"/>
  <c r="AB241" i="44"/>
  <c r="Z120" i="44"/>
  <c r="Z329" i="44"/>
  <c r="Z90" i="44"/>
  <c r="X91" i="44"/>
  <c r="AA329" i="44"/>
  <c r="AA331" i="44"/>
  <c r="X36" i="44"/>
  <c r="Z72" i="44"/>
  <c r="AA90" i="44"/>
  <c r="AB91" i="44"/>
  <c r="AA102" i="44"/>
  <c r="AA117" i="44"/>
  <c r="Z119" i="44"/>
  <c r="AB120" i="44"/>
  <c r="AN129" i="44"/>
  <c r="Z134" i="44"/>
  <c r="AN139" i="44"/>
  <c r="AB152" i="44"/>
  <c r="AN171" i="44"/>
  <c r="AA176" i="44"/>
  <c r="AN179" i="44"/>
  <c r="AN266" i="44"/>
  <c r="AA270" i="44"/>
  <c r="AN271" i="44"/>
  <c r="AA99" i="44"/>
  <c r="AA241" i="44"/>
  <c r="AB329" i="44"/>
  <c r="AB331" i="44"/>
  <c r="Z36" i="44"/>
  <c r="X67" i="44"/>
  <c r="AB72" i="44"/>
  <c r="AN73" i="44"/>
  <c r="AN77" i="44"/>
  <c r="AN84" i="44"/>
  <c r="AB90" i="44"/>
  <c r="AB102" i="44"/>
  <c r="AN103" i="44"/>
  <c r="AA119" i="44"/>
  <c r="AA134" i="44"/>
  <c r="AB176" i="44"/>
  <c r="AB270" i="44"/>
  <c r="AB46" i="44"/>
  <c r="AN34" i="44"/>
  <c r="AB67" i="44"/>
  <c r="AN68" i="44"/>
  <c r="AN81" i="44"/>
  <c r="AN115" i="44"/>
  <c r="AB119" i="44"/>
  <c r="AN123" i="44"/>
  <c r="X133" i="44"/>
  <c r="AB134" i="44"/>
  <c r="X185" i="44"/>
  <c r="AA240" i="44"/>
  <c r="AN75" i="44"/>
  <c r="AN127" i="44"/>
  <c r="AN137" i="44"/>
  <c r="Z178" i="44"/>
  <c r="Z185" i="44"/>
  <c r="AB240" i="44"/>
  <c r="Z265" i="44"/>
  <c r="Z269" i="44"/>
  <c r="X338" i="44"/>
  <c r="Z69" i="44"/>
  <c r="AN91" i="44"/>
  <c r="AA101" i="44"/>
  <c r="AN130" i="44"/>
  <c r="AN152" i="44"/>
  <c r="AN180" i="44"/>
  <c r="AN243" i="44"/>
  <c r="X267" i="44"/>
  <c r="X266" i="44"/>
  <c r="Z267" i="44"/>
  <c r="X265" i="44"/>
  <c r="Z266" i="44"/>
  <c r="AA267" i="44"/>
  <c r="AB267" i="44"/>
  <c r="AB265" i="44"/>
  <c r="X272" i="44"/>
  <c r="Z273" i="44"/>
  <c r="AA274" i="44"/>
  <c r="X273" i="44"/>
  <c r="Z274" i="44"/>
  <c r="X271" i="44"/>
  <c r="Z272" i="44"/>
  <c r="AA273" i="44"/>
  <c r="AB274" i="44"/>
  <c r="AA266" i="44"/>
  <c r="X270" i="44"/>
  <c r="Z271" i="44"/>
  <c r="AA272" i="44"/>
  <c r="AB273" i="44"/>
  <c r="AA265" i="44"/>
  <c r="AB266" i="44"/>
  <c r="X238" i="44"/>
  <c r="AB238" i="44"/>
  <c r="X244" i="44"/>
  <c r="Z245" i="44"/>
  <c r="Z238" i="44"/>
  <c r="X245" i="44"/>
  <c r="X243" i="44"/>
  <c r="Z244" i="44"/>
  <c r="AA245" i="44"/>
  <c r="AA238" i="44"/>
  <c r="Z243" i="44"/>
  <c r="AA244" i="44"/>
  <c r="AB245" i="44"/>
  <c r="X241" i="44"/>
  <c r="Z242" i="44"/>
  <c r="AA243" i="44"/>
  <c r="AB244" i="44"/>
  <c r="X184" i="44"/>
  <c r="Z184" i="44"/>
  <c r="AA184" i="44"/>
  <c r="AB184" i="44"/>
  <c r="X182" i="44"/>
  <c r="AA182" i="44"/>
  <c r="AB182" i="44"/>
  <c r="Z182" i="44"/>
  <c r="X179" i="44"/>
  <c r="Z180" i="44"/>
  <c r="X178" i="44"/>
  <c r="Z179" i="44"/>
  <c r="AA180" i="44"/>
  <c r="AA179" i="44"/>
  <c r="AB180" i="44"/>
  <c r="X180" i="44"/>
  <c r="X176" i="44"/>
  <c r="Z177" i="44"/>
  <c r="AA178" i="44"/>
  <c r="AB179" i="44"/>
  <c r="X171" i="44"/>
  <c r="Z171" i="44"/>
  <c r="AA171" i="44"/>
  <c r="AB173" i="44"/>
  <c r="X173" i="44"/>
  <c r="AB171" i="44"/>
  <c r="Z173" i="44"/>
  <c r="Z157" i="44"/>
  <c r="X154" i="44"/>
  <c r="Z156" i="44"/>
  <c r="X152" i="44"/>
  <c r="Z154" i="44"/>
  <c r="AA156" i="44"/>
  <c r="AB157" i="44"/>
  <c r="X157" i="44"/>
  <c r="X156" i="44"/>
  <c r="AA157" i="44"/>
  <c r="Z152" i="44"/>
  <c r="AA154" i="44"/>
  <c r="AB156" i="44"/>
  <c r="X130" i="44"/>
  <c r="X129" i="44"/>
  <c r="AB132" i="44"/>
  <c r="Z129" i="44"/>
  <c r="X127" i="44"/>
  <c r="Z128" i="44"/>
  <c r="AA129" i="44"/>
  <c r="AB130" i="44"/>
  <c r="X139" i="44"/>
  <c r="Z131" i="44"/>
  <c r="Z130" i="44"/>
  <c r="AA131" i="44"/>
  <c r="Z127" i="44"/>
  <c r="AA128" i="44"/>
  <c r="AB129" i="44"/>
  <c r="X138" i="44"/>
  <c r="Z139" i="44"/>
  <c r="AA127" i="44"/>
  <c r="AB128" i="44"/>
  <c r="X137" i="44"/>
  <c r="Z138" i="44"/>
  <c r="AA139" i="44"/>
  <c r="Z132" i="44"/>
  <c r="AA132" i="44"/>
  <c r="AB127" i="44"/>
  <c r="Z137" i="44"/>
  <c r="AA138" i="44"/>
  <c r="AB139" i="44"/>
  <c r="X131" i="44"/>
  <c r="X135" i="44"/>
  <c r="Z136" i="44"/>
  <c r="AA137" i="44"/>
  <c r="AB138" i="44"/>
  <c r="X118" i="44"/>
  <c r="X117" i="44"/>
  <c r="Z118" i="44"/>
  <c r="X115" i="44"/>
  <c r="AB118" i="44"/>
  <c r="AB117" i="44"/>
  <c r="AA114" i="44"/>
  <c r="AB115" i="44"/>
  <c r="AB114" i="44"/>
  <c r="X123" i="44"/>
  <c r="Z124" i="44"/>
  <c r="AA125" i="44"/>
  <c r="Z123" i="44"/>
  <c r="AA124" i="44"/>
  <c r="AB125" i="44"/>
  <c r="X114" i="44"/>
  <c r="X125" i="44"/>
  <c r="Z125" i="44"/>
  <c r="X121" i="44"/>
  <c r="Z122" i="44"/>
  <c r="AA123" i="44"/>
  <c r="AB124" i="44"/>
  <c r="Z115" i="44"/>
  <c r="X124" i="44"/>
  <c r="AA98" i="44"/>
  <c r="Z98" i="44"/>
  <c r="AA97" i="44"/>
  <c r="AB98" i="44"/>
  <c r="X105" i="44"/>
  <c r="Z106" i="44"/>
  <c r="X98" i="44"/>
  <c r="X96" i="44"/>
  <c r="Z96" i="44"/>
  <c r="AB97" i="44"/>
  <c r="AB96" i="44"/>
  <c r="X104" i="44"/>
  <c r="Z105" i="44"/>
  <c r="AA106" i="44"/>
  <c r="Z97" i="44"/>
  <c r="AA105" i="44"/>
  <c r="X102" i="44"/>
  <c r="Z103" i="44"/>
  <c r="AA104" i="44"/>
  <c r="AB105" i="44"/>
  <c r="X106" i="44"/>
  <c r="X89" i="44"/>
  <c r="Z89" i="44"/>
  <c r="X88" i="44"/>
  <c r="AA89" i="44"/>
  <c r="Z88" i="44"/>
  <c r="AB89" i="44"/>
  <c r="AA88" i="44"/>
  <c r="AB88" i="44"/>
  <c r="X92" i="44"/>
  <c r="Z86" i="44"/>
  <c r="AB87" i="44"/>
  <c r="Z92" i="44"/>
  <c r="AA86" i="44"/>
  <c r="AA92" i="44"/>
  <c r="AB86" i="44"/>
  <c r="Z91" i="44"/>
  <c r="AB92" i="44"/>
  <c r="X78" i="44"/>
  <c r="Z78" i="44"/>
  <c r="AA77" i="44"/>
  <c r="Z76" i="44"/>
  <c r="X75" i="44"/>
  <c r="AA76" i="44"/>
  <c r="X81" i="44"/>
  <c r="Z75" i="44"/>
  <c r="Z81" i="44"/>
  <c r="X74" i="44"/>
  <c r="AA75" i="44"/>
  <c r="X80" i="44"/>
  <c r="AA81" i="44"/>
  <c r="X77" i="44"/>
  <c r="AA78" i="44"/>
  <c r="Z77" i="44"/>
  <c r="X76" i="44"/>
  <c r="Z74" i="44"/>
  <c r="AB75" i="44"/>
  <c r="Z80" i="44"/>
  <c r="AB81" i="44"/>
  <c r="AB78" i="44"/>
  <c r="Z70" i="44"/>
  <c r="X69" i="44"/>
  <c r="AA70" i="44"/>
  <c r="Z68" i="44"/>
  <c r="AB69" i="44"/>
  <c r="AB70" i="44"/>
  <c r="Z67" i="44"/>
  <c r="AB68" i="44"/>
  <c r="Z73" i="44"/>
  <c r="X68" i="44"/>
  <c r="X72" i="44"/>
  <c r="AA73" i="44"/>
  <c r="AB73" i="44"/>
  <c r="X52" i="44"/>
  <c r="AA52" i="44"/>
  <c r="Z52" i="44"/>
  <c r="X51" i="44"/>
  <c r="Z51" i="44"/>
  <c r="AB52" i="44"/>
  <c r="AA51" i="44"/>
  <c r="AB51" i="44"/>
  <c r="X48" i="44"/>
  <c r="Z48" i="44"/>
  <c r="Z46" i="44"/>
  <c r="AB48" i="44"/>
  <c r="Z54" i="44"/>
  <c r="AB55" i="44"/>
  <c r="Z55" i="44"/>
  <c r="X46" i="44"/>
  <c r="X54" i="44"/>
  <c r="X34" i="44"/>
  <c r="Z35" i="44"/>
  <c r="AA36" i="44"/>
  <c r="Z34" i="44"/>
  <c r="AA35" i="44"/>
  <c r="AB36" i="44"/>
  <c r="AA34" i="44"/>
  <c r="AB35" i="44"/>
  <c r="X35" i="44"/>
  <c r="Z330" i="44"/>
  <c r="Z336" i="44"/>
  <c r="X330" i="44"/>
  <c r="X336" i="44"/>
  <c r="AA330" i="44"/>
  <c r="AA336" i="44"/>
  <c r="X328" i="44"/>
  <c r="Z328" i="44"/>
  <c r="Z327" i="44"/>
  <c r="AB328" i="44"/>
  <c r="Z333" i="44"/>
  <c r="AB334" i="44"/>
  <c r="Z339" i="44"/>
  <c r="X334" i="44"/>
  <c r="X333" i="44"/>
  <c r="X339" i="44"/>
  <c r="AA327" i="44"/>
  <c r="AA333" i="44"/>
  <c r="AA339" i="44"/>
  <c r="AB330" i="44"/>
  <c r="AA334" i="44"/>
  <c r="AB327" i="44"/>
  <c r="Z332" i="44"/>
  <c r="AB333" i="44"/>
  <c r="Z338" i="44"/>
  <c r="AB339" i="44"/>
  <c r="X289" i="44"/>
  <c r="Z289" i="44"/>
  <c r="AA289" i="44"/>
  <c r="AV176" i="44" l="1"/>
  <c r="AW176" i="44"/>
  <c r="AV102" i="44"/>
  <c r="AW102" i="44"/>
  <c r="AV114" i="44"/>
  <c r="AW114" i="44"/>
  <c r="AV268" i="44"/>
  <c r="AW268" i="44"/>
  <c r="AV241" i="44"/>
  <c r="AW241" i="44"/>
  <c r="AT171" i="44"/>
  <c r="AT48" i="44"/>
  <c r="AT173" i="44"/>
  <c r="AT46" i="44"/>
  <c r="AO73" i="44"/>
  <c r="AP121" i="44"/>
  <c r="AP270" i="44"/>
  <c r="AQ102" i="44"/>
  <c r="AP135" i="44"/>
  <c r="AO115" i="44"/>
  <c r="AP115" i="44" s="1"/>
  <c r="AO88" i="44"/>
  <c r="AP88" i="44" s="1"/>
  <c r="AO273" i="44"/>
  <c r="AO87" i="44"/>
  <c r="AO269" i="44"/>
  <c r="AO98" i="44"/>
  <c r="AP98" i="44" s="1"/>
  <c r="AO245" i="44"/>
  <c r="AO79" i="44"/>
  <c r="AP79" i="44" s="1"/>
  <c r="AO239" i="44"/>
  <c r="AO339" i="44"/>
  <c r="AO52" i="44"/>
  <c r="AP52" i="44" s="1"/>
  <c r="AO335" i="44"/>
  <c r="AO100" i="44"/>
  <c r="AO336" i="44"/>
  <c r="AO130" i="44"/>
  <c r="AO120" i="44"/>
  <c r="AO238" i="44"/>
  <c r="AO46" i="44"/>
  <c r="AO34" i="44"/>
  <c r="AO80" i="44"/>
  <c r="AP80" i="44" s="1"/>
  <c r="AO242" i="44"/>
  <c r="AO72" i="44"/>
  <c r="AO125" i="44"/>
  <c r="AO185" i="44"/>
  <c r="AO70" i="44"/>
  <c r="AP70" i="44" s="1"/>
  <c r="AO289" i="44"/>
  <c r="AO104" i="44"/>
  <c r="AO132" i="44"/>
  <c r="AO54" i="44"/>
  <c r="AO105" i="44"/>
  <c r="AO76" i="44"/>
  <c r="AO332" i="44"/>
  <c r="AO68" i="44"/>
  <c r="AP68" i="44" s="1"/>
  <c r="AO51" i="44"/>
  <c r="AP51" i="44" s="1"/>
  <c r="AO128" i="44"/>
  <c r="AO50" i="44"/>
  <c r="AP50" i="44" s="1"/>
  <c r="AO333" i="44"/>
  <c r="AO330" i="44"/>
  <c r="AO106" i="44"/>
  <c r="AO83" i="44"/>
  <c r="AO182" i="44"/>
  <c r="AO337" i="44"/>
  <c r="AP337" i="44" s="1"/>
  <c r="AW337" i="44" s="1"/>
  <c r="AO124" i="44"/>
  <c r="AO75" i="44"/>
  <c r="AO329" i="44"/>
  <c r="AO240" i="44"/>
  <c r="AO36" i="44"/>
  <c r="AO99" i="44"/>
  <c r="AO129" i="44"/>
  <c r="AP129" i="44" s="1"/>
  <c r="AO274" i="44"/>
  <c r="AO117" i="44"/>
  <c r="AO101" i="44"/>
  <c r="AO90" i="44"/>
  <c r="AO331" i="44"/>
  <c r="AO71" i="44"/>
  <c r="AP71" i="44" s="1"/>
  <c r="AO35" i="44"/>
  <c r="AO92" i="44"/>
  <c r="AO118" i="44"/>
  <c r="AO48" i="44"/>
  <c r="AO53" i="44"/>
  <c r="AO116" i="44"/>
  <c r="AO55" i="44"/>
  <c r="AP55" i="44" s="1"/>
  <c r="AQ55" i="44" s="1"/>
  <c r="AO157" i="44"/>
  <c r="AO243" i="44"/>
  <c r="AP243" i="44" s="1"/>
  <c r="AO134" i="44"/>
  <c r="AO136" i="44"/>
  <c r="AO184" i="44"/>
  <c r="AP184" i="44" s="1"/>
  <c r="AO97" i="44"/>
  <c r="AO180" i="44"/>
  <c r="AO96" i="44"/>
  <c r="AO267" i="44"/>
  <c r="AP267" i="44" s="1"/>
  <c r="AO78" i="44"/>
  <c r="AP78" i="44" s="1"/>
  <c r="AO138" i="44"/>
  <c r="AO173" i="44"/>
  <c r="AO137" i="44"/>
  <c r="AO338" i="44"/>
  <c r="AP338" i="44" s="1"/>
  <c r="AW338" i="44" s="1"/>
  <c r="AO67" i="44"/>
  <c r="AP67" i="44" s="1"/>
  <c r="AO84" i="44"/>
  <c r="AO122" i="44"/>
  <c r="AO178" i="44"/>
  <c r="AO154" i="44"/>
  <c r="AP154" i="44" s="1"/>
  <c r="AO328" i="44"/>
  <c r="AO89" i="44"/>
  <c r="AP89" i="44" s="1"/>
  <c r="AO156" i="44"/>
  <c r="AP156" i="44" s="1"/>
  <c r="AO266" i="44"/>
  <c r="AP266" i="44" s="1"/>
  <c r="AQ133" i="44"/>
  <c r="AO123" i="44"/>
  <c r="AO152" i="44"/>
  <c r="AO131" i="44"/>
  <c r="AO177" i="44"/>
  <c r="AO244" i="44"/>
  <c r="AO81" i="44"/>
  <c r="AP81" i="44" s="1"/>
  <c r="AQ241" i="44"/>
  <c r="AO265" i="44"/>
  <c r="AO119" i="44"/>
  <c r="AO77" i="44"/>
  <c r="AP77" i="44" s="1"/>
  <c r="AO86" i="44"/>
  <c r="AP86" i="44" s="1"/>
  <c r="AO272" i="44"/>
  <c r="AO127" i="44"/>
  <c r="AV334" i="44"/>
  <c r="AQ334" i="44"/>
  <c r="AX334" i="44"/>
  <c r="AO74" i="44"/>
  <c r="AO69" i="44"/>
  <c r="AQ176" i="44"/>
  <c r="AO139" i="44"/>
  <c r="AO171" i="44"/>
  <c r="AO91" i="44"/>
  <c r="AO103" i="44"/>
  <c r="AO179" i="44"/>
  <c r="AO327" i="44"/>
  <c r="AP327" i="44" s="1"/>
  <c r="AW327" i="44" s="1"/>
  <c r="AO271" i="44"/>
  <c r="AR268" i="44"/>
  <c r="AS268" i="44" s="1"/>
  <c r="AX268" i="44"/>
  <c r="AQ268" i="44"/>
  <c r="AX241" i="44"/>
  <c r="AR241" i="44"/>
  <c r="AS241" i="44" s="1"/>
  <c r="AX176" i="44"/>
  <c r="AR176" i="44"/>
  <c r="AS176" i="44" s="1"/>
  <c r="AX102" i="44"/>
  <c r="AR102" i="44"/>
  <c r="AS102" i="44" s="1"/>
  <c r="AR334" i="44"/>
  <c r="AS334" i="44" s="1"/>
  <c r="AP54" i="44" l="1"/>
  <c r="AR54" i="44" s="1"/>
  <c r="AS54" i="44" s="1"/>
  <c r="AR55" i="44"/>
  <c r="AS55" i="44" s="1"/>
  <c r="AP53" i="44"/>
  <c r="AR53" i="44" s="1"/>
  <c r="AS53" i="44" s="1"/>
  <c r="AV129" i="44"/>
  <c r="AW129" i="44"/>
  <c r="AV79" i="44"/>
  <c r="AW79" i="44"/>
  <c r="AV270" i="44"/>
  <c r="AW270" i="44"/>
  <c r="AV68" i="44"/>
  <c r="AW68" i="44"/>
  <c r="AV267" i="44"/>
  <c r="AW267" i="44"/>
  <c r="AV121" i="44"/>
  <c r="AW121" i="44"/>
  <c r="AV80" i="44"/>
  <c r="AW80" i="44"/>
  <c r="AV70" i="44"/>
  <c r="AW70" i="44"/>
  <c r="AV98" i="44"/>
  <c r="AW98" i="44"/>
  <c r="AV67" i="44"/>
  <c r="AW67" i="44"/>
  <c r="AV89" i="44"/>
  <c r="AW89" i="44"/>
  <c r="AV50" i="44"/>
  <c r="AW50" i="44"/>
  <c r="AV184" i="44"/>
  <c r="AW184" i="44"/>
  <c r="AV156" i="44"/>
  <c r="AW156" i="44"/>
  <c r="AV81" i="44"/>
  <c r="AW81" i="44"/>
  <c r="AV71" i="44"/>
  <c r="AW71" i="44"/>
  <c r="AV154" i="44"/>
  <c r="AW154" i="44"/>
  <c r="AV238" i="44"/>
  <c r="AW238" i="44"/>
  <c r="AV52" i="44"/>
  <c r="AW52" i="44"/>
  <c r="AV88" i="44"/>
  <c r="AW88" i="44"/>
  <c r="AV135" i="44"/>
  <c r="AW135" i="44"/>
  <c r="AV243" i="44"/>
  <c r="AW243" i="44"/>
  <c r="AV266" i="44"/>
  <c r="AW266" i="44"/>
  <c r="AV86" i="44"/>
  <c r="AW86" i="44"/>
  <c r="AV77" i="44"/>
  <c r="AW77" i="44"/>
  <c r="AV78" i="44"/>
  <c r="AW78" i="44"/>
  <c r="AV51" i="44"/>
  <c r="AW51" i="44"/>
  <c r="AV115" i="44"/>
  <c r="AW115" i="44"/>
  <c r="AT79" i="44"/>
  <c r="AQ270" i="44"/>
  <c r="AT156" i="44"/>
  <c r="AU156" i="44" s="1"/>
  <c r="AQ121" i="44"/>
  <c r="AT98" i="44"/>
  <c r="AU98" i="44" s="1"/>
  <c r="AT71" i="44"/>
  <c r="AT154" i="44"/>
  <c r="AU154" i="44" s="1"/>
  <c r="AT52" i="44"/>
  <c r="AT77" i="44"/>
  <c r="AT78" i="44"/>
  <c r="AT51" i="44"/>
  <c r="AT89" i="44"/>
  <c r="AQ135" i="44"/>
  <c r="AR270" i="44"/>
  <c r="AS270" i="44" s="1"/>
  <c r="AX270" i="44"/>
  <c r="AR135" i="44"/>
  <c r="AS135" i="44" s="1"/>
  <c r="AR121" i="44"/>
  <c r="AS121" i="44" s="1"/>
  <c r="AX135" i="44"/>
  <c r="AX121" i="44"/>
  <c r="AP271" i="44"/>
  <c r="AP127" i="44"/>
  <c r="AP122" i="44"/>
  <c r="AP87" i="44"/>
  <c r="AP74" i="44"/>
  <c r="AP97" i="44"/>
  <c r="AP90" i="44"/>
  <c r="AP125" i="44"/>
  <c r="AP178" i="44"/>
  <c r="AP101" i="44"/>
  <c r="AP75" i="44"/>
  <c r="AP185" i="44"/>
  <c r="AP339" i="44"/>
  <c r="AW339" i="44" s="1"/>
  <c r="AP124" i="44"/>
  <c r="AP273" i="44"/>
  <c r="AP131" i="44"/>
  <c r="AP330" i="44"/>
  <c r="AW330" i="44" s="1"/>
  <c r="AP336" i="44"/>
  <c r="AW336" i="44" s="1"/>
  <c r="AP245" i="44"/>
  <c r="AP117" i="44"/>
  <c r="AP274" i="44"/>
  <c r="AP34" i="44"/>
  <c r="AP177" i="44"/>
  <c r="AP139" i="44"/>
  <c r="AP118" i="44"/>
  <c r="AP99" i="44"/>
  <c r="AP333" i="44"/>
  <c r="AW333" i="44" s="1"/>
  <c r="AP105" i="44"/>
  <c r="AR171" i="44"/>
  <c r="AS171" i="44" s="1"/>
  <c r="AP72" i="44"/>
  <c r="AP73" i="44"/>
  <c r="AP179" i="44"/>
  <c r="AP96" i="44"/>
  <c r="AP157" i="44"/>
  <c r="AP92" i="44"/>
  <c r="AP269" i="44"/>
  <c r="AP83" i="44"/>
  <c r="AP152" i="44"/>
  <c r="AP137" i="44"/>
  <c r="AP35" i="44"/>
  <c r="AP36" i="44"/>
  <c r="AP128" i="44"/>
  <c r="AP120" i="44"/>
  <c r="AQ84" i="44"/>
  <c r="AP265" i="44"/>
  <c r="AP103" i="44"/>
  <c r="AP272" i="44"/>
  <c r="AP123" i="44"/>
  <c r="AU173" i="44"/>
  <c r="AP240" i="44"/>
  <c r="AP132" i="44"/>
  <c r="AP130" i="44"/>
  <c r="AP100" i="44"/>
  <c r="AP239" i="44"/>
  <c r="AP119" i="44"/>
  <c r="AP182" i="44"/>
  <c r="AP106" i="44"/>
  <c r="AP328" i="44"/>
  <c r="AW328" i="44" s="1"/>
  <c r="AP116" i="44"/>
  <c r="AP289" i="44"/>
  <c r="AP332" i="44"/>
  <c r="AW332" i="44" s="1"/>
  <c r="AP136" i="44"/>
  <c r="AP76" i="44"/>
  <c r="AP134" i="44"/>
  <c r="AP138" i="44"/>
  <c r="AP91" i="44"/>
  <c r="AP69" i="44"/>
  <c r="AP244" i="44"/>
  <c r="AP180" i="44"/>
  <c r="AP331" i="44"/>
  <c r="AW331" i="44" s="1"/>
  <c r="AP329" i="44"/>
  <c r="AW329" i="44" s="1"/>
  <c r="AP104" i="44"/>
  <c r="AP335" i="44"/>
  <c r="AW335" i="44" s="1"/>
  <c r="AX133" i="44"/>
  <c r="AR133" i="44"/>
  <c r="AS133" i="44" s="1"/>
  <c r="AX337" i="44"/>
  <c r="AR337" i="44"/>
  <c r="AS337" i="44" s="1"/>
  <c r="AQ337" i="44"/>
  <c r="AV337" i="44"/>
  <c r="AR156" i="44"/>
  <c r="AS156" i="44" s="1"/>
  <c r="AX156" i="44"/>
  <c r="AQ266" i="44"/>
  <c r="AQ267" i="44"/>
  <c r="AX267" i="44"/>
  <c r="AR267" i="44"/>
  <c r="AS267" i="44" s="1"/>
  <c r="AX266" i="44"/>
  <c r="AR266" i="44"/>
  <c r="AS266" i="44" s="1"/>
  <c r="AQ243" i="44"/>
  <c r="AX243" i="44"/>
  <c r="AR243" i="44"/>
  <c r="AS243" i="44" s="1"/>
  <c r="AR238" i="44"/>
  <c r="AS238" i="44" s="1"/>
  <c r="AQ238" i="44"/>
  <c r="AX238" i="44"/>
  <c r="AQ184" i="44"/>
  <c r="AX184" i="44"/>
  <c r="AR184" i="44"/>
  <c r="AS184" i="44" s="1"/>
  <c r="AQ154" i="44"/>
  <c r="AR154" i="44"/>
  <c r="AS154" i="44" s="1"/>
  <c r="AX154" i="44"/>
  <c r="AQ156" i="44"/>
  <c r="AX129" i="44"/>
  <c r="AR129" i="44"/>
  <c r="AS129" i="44" s="1"/>
  <c r="AQ129" i="44"/>
  <c r="AX114" i="44"/>
  <c r="AX115" i="44"/>
  <c r="AR115" i="44"/>
  <c r="AS115" i="44" s="1"/>
  <c r="AQ115" i="44"/>
  <c r="AQ114" i="44"/>
  <c r="AR114" i="44"/>
  <c r="AS114" i="44" s="1"/>
  <c r="AR98" i="44"/>
  <c r="AS98" i="44" s="1"/>
  <c r="AX98" i="44"/>
  <c r="AQ98" i="44"/>
  <c r="AV327" i="44"/>
  <c r="AR327" i="44"/>
  <c r="AS327" i="44" s="1"/>
  <c r="AV338" i="44"/>
  <c r="AX338" i="44"/>
  <c r="AR338" i="44"/>
  <c r="AS338" i="44" s="1"/>
  <c r="AQ338" i="44"/>
  <c r="AX327" i="44"/>
  <c r="AQ327" i="44"/>
  <c r="AQ54" i="44" l="1"/>
  <c r="AQ53" i="44"/>
  <c r="AV103" i="44"/>
  <c r="AW103" i="44"/>
  <c r="AV118" i="44"/>
  <c r="AW118" i="44"/>
  <c r="AV127" i="44"/>
  <c r="AW127" i="44"/>
  <c r="AV244" i="44"/>
  <c r="AW244" i="44"/>
  <c r="AV106" i="44"/>
  <c r="AW106" i="44"/>
  <c r="AV265" i="44"/>
  <c r="AW265" i="44"/>
  <c r="AV92" i="44"/>
  <c r="AW92" i="44"/>
  <c r="AV139" i="44"/>
  <c r="AW139" i="44"/>
  <c r="AV271" i="44"/>
  <c r="AW271" i="44"/>
  <c r="AV54" i="44"/>
  <c r="AW54" i="44"/>
  <c r="AV124" i="44"/>
  <c r="AW124" i="44"/>
  <c r="AV69" i="44"/>
  <c r="AW69" i="44"/>
  <c r="AV182" i="44"/>
  <c r="AW182" i="44"/>
  <c r="AV157" i="44"/>
  <c r="AW157" i="44"/>
  <c r="AV177" i="44"/>
  <c r="AW177" i="44"/>
  <c r="AV185" i="44"/>
  <c r="AW185" i="44"/>
  <c r="AV180" i="44"/>
  <c r="AW180" i="44"/>
  <c r="AV91" i="44"/>
  <c r="AW91" i="44"/>
  <c r="AV119" i="44"/>
  <c r="AW119" i="44"/>
  <c r="AV120" i="44"/>
  <c r="AW120" i="44"/>
  <c r="AV96" i="44"/>
  <c r="AW96" i="44"/>
  <c r="AV34" i="44"/>
  <c r="AW34" i="44"/>
  <c r="AV75" i="44"/>
  <c r="AW75" i="44"/>
  <c r="AV178" i="44"/>
  <c r="AW178" i="44"/>
  <c r="AV239" i="44"/>
  <c r="AW239" i="44"/>
  <c r="AV73" i="44"/>
  <c r="AW73" i="44"/>
  <c r="AV76" i="44"/>
  <c r="AW76" i="44"/>
  <c r="AV245" i="44"/>
  <c r="AW245" i="44"/>
  <c r="AV136" i="44"/>
  <c r="AW136" i="44"/>
  <c r="AV132" i="44"/>
  <c r="AW132" i="44"/>
  <c r="AV55" i="44"/>
  <c r="AW55" i="44"/>
  <c r="AV90" i="44"/>
  <c r="AW90" i="44"/>
  <c r="AV101" i="44"/>
  <c r="AW101" i="44"/>
  <c r="AV117" i="44"/>
  <c r="AW117" i="44"/>
  <c r="AV35" i="44"/>
  <c r="AW35" i="44"/>
  <c r="AV125" i="44"/>
  <c r="AW125" i="44"/>
  <c r="AV240" i="44"/>
  <c r="AW240" i="44"/>
  <c r="AV137" i="44"/>
  <c r="AW137" i="44"/>
  <c r="AV53" i="44"/>
  <c r="AW53" i="44"/>
  <c r="AV242" i="44"/>
  <c r="AW242" i="44"/>
  <c r="AV97" i="44"/>
  <c r="AW97" i="44"/>
  <c r="AV138" i="44"/>
  <c r="AW138" i="44"/>
  <c r="AV36" i="44"/>
  <c r="AW36" i="44"/>
  <c r="AV130" i="44"/>
  <c r="AW130" i="44"/>
  <c r="AV104" i="44"/>
  <c r="AW104" i="44"/>
  <c r="AV152" i="44"/>
  <c r="AW152" i="44"/>
  <c r="AV105" i="44"/>
  <c r="AW105" i="44"/>
  <c r="AV74" i="44"/>
  <c r="AW74" i="44"/>
  <c r="AV128" i="44"/>
  <c r="AW128" i="44"/>
  <c r="AV274" i="44"/>
  <c r="AW274" i="44"/>
  <c r="AV134" i="44"/>
  <c r="AW134" i="44"/>
  <c r="AV72" i="44"/>
  <c r="AW72" i="44"/>
  <c r="AV123" i="44"/>
  <c r="AW123" i="44"/>
  <c r="AV83" i="44"/>
  <c r="AW83" i="44"/>
  <c r="AV131" i="44"/>
  <c r="AW131" i="44"/>
  <c r="AV87" i="44"/>
  <c r="AW87" i="44"/>
  <c r="AV179" i="44"/>
  <c r="AW179" i="44"/>
  <c r="AV100" i="44"/>
  <c r="AW100" i="44"/>
  <c r="AV289" i="44"/>
  <c r="AW289" i="44"/>
  <c r="AV116" i="44"/>
  <c r="AW116" i="44"/>
  <c r="AV272" i="44"/>
  <c r="AW272" i="44"/>
  <c r="AV269" i="44"/>
  <c r="AW269" i="44"/>
  <c r="AV99" i="44"/>
  <c r="AW99" i="44"/>
  <c r="AV273" i="44"/>
  <c r="AW273" i="44"/>
  <c r="AV122" i="44"/>
  <c r="AW122" i="44"/>
  <c r="AQ335" i="44"/>
  <c r="AR104" i="44"/>
  <c r="AS104" i="44" s="1"/>
  <c r="AQ289" i="44"/>
  <c r="AT152" i="44"/>
  <c r="AU152" i="44" s="1"/>
  <c r="AR105" i="44"/>
  <c r="AS105" i="44" s="1"/>
  <c r="AQ87" i="44"/>
  <c r="AX272" i="44"/>
  <c r="AX269" i="44"/>
  <c r="AQ137" i="44"/>
  <c r="AQ328" i="44"/>
  <c r="AR103" i="44"/>
  <c r="AS103" i="44" s="1"/>
  <c r="AR127" i="44"/>
  <c r="AS127" i="44" s="1"/>
  <c r="AR244" i="44"/>
  <c r="AS244" i="44" s="1"/>
  <c r="AQ106" i="44"/>
  <c r="AQ92" i="44"/>
  <c r="AX339" i="44"/>
  <c r="AX271" i="44"/>
  <c r="AV329" i="44"/>
  <c r="AQ185" i="44"/>
  <c r="AQ91" i="44"/>
  <c r="AQ119" i="44"/>
  <c r="AX138" i="44"/>
  <c r="AQ239" i="44"/>
  <c r="AX128" i="44"/>
  <c r="AX179" i="44"/>
  <c r="AQ100" i="44"/>
  <c r="AX182" i="44"/>
  <c r="AX177" i="44"/>
  <c r="AT76" i="44"/>
  <c r="AU76" i="44" s="1"/>
  <c r="AX130" i="44"/>
  <c r="AQ72" i="44"/>
  <c r="AX332" i="44"/>
  <c r="AQ136" i="44"/>
  <c r="AX132" i="44"/>
  <c r="AT55" i="44"/>
  <c r="AU55" i="44" s="1"/>
  <c r="AR336" i="44"/>
  <c r="AS336" i="44" s="1"/>
  <c r="AT35" i="44"/>
  <c r="AU35" i="44" s="1"/>
  <c r="AX97" i="44"/>
  <c r="AT97" i="44"/>
  <c r="AU97" i="44" s="1"/>
  <c r="AT54" i="44"/>
  <c r="AU54" i="44" s="1"/>
  <c r="AQ69" i="44"/>
  <c r="AT69" i="44"/>
  <c r="AU69" i="44" s="1"/>
  <c r="AT157" i="44"/>
  <c r="AU157" i="44" s="1"/>
  <c r="AT96" i="44"/>
  <c r="AU96" i="44" s="1"/>
  <c r="AQ34" i="44"/>
  <c r="AT34" i="44"/>
  <c r="AU34" i="44" s="1"/>
  <c r="AQ339" i="44"/>
  <c r="AR179" i="44"/>
  <c r="AS179" i="44" s="1"/>
  <c r="AR34" i="44"/>
  <c r="AS34" i="44" s="1"/>
  <c r="AQ96" i="44"/>
  <c r="AR177" i="44"/>
  <c r="AS177" i="44" s="1"/>
  <c r="AR271" i="44"/>
  <c r="AS271" i="44" s="1"/>
  <c r="AX96" i="44"/>
  <c r="AX34" i="44"/>
  <c r="AR339" i="44"/>
  <c r="AS339" i="44" s="1"/>
  <c r="AQ127" i="44"/>
  <c r="AQ122" i="44"/>
  <c r="AQ271" i="44"/>
  <c r="AX105" i="44"/>
  <c r="AV339" i="44"/>
  <c r="AQ124" i="44"/>
  <c r="AQ105" i="44"/>
  <c r="AR119" i="44"/>
  <c r="AS119" i="44" s="1"/>
  <c r="AQ336" i="44"/>
  <c r="AX136" i="44"/>
  <c r="AQ103" i="44"/>
  <c r="AQ99" i="44"/>
  <c r="AX122" i="44"/>
  <c r="AQ131" i="44"/>
  <c r="AR131" i="44"/>
  <c r="AS131" i="44" s="1"/>
  <c r="AR332" i="44"/>
  <c r="AS332" i="44" s="1"/>
  <c r="AV332" i="44"/>
  <c r="AR124" i="44"/>
  <c r="AS124" i="44" s="1"/>
  <c r="AX118" i="44"/>
  <c r="AR329" i="44"/>
  <c r="AS329" i="44" s="1"/>
  <c r="AQ123" i="44"/>
  <c r="AQ130" i="44"/>
  <c r="AR122" i="44"/>
  <c r="AS122" i="44" s="1"/>
  <c r="AR130" i="44"/>
  <c r="AS130" i="44" s="1"/>
  <c r="AX328" i="44"/>
  <c r="AX157" i="44"/>
  <c r="AR157" i="44"/>
  <c r="AS157" i="44" s="1"/>
  <c r="AR272" i="44"/>
  <c r="AS272" i="44" s="1"/>
  <c r="AR97" i="44"/>
  <c r="AS97" i="44" s="1"/>
  <c r="AX336" i="44"/>
  <c r="AQ97" i="44"/>
  <c r="AV335" i="44"/>
  <c r="AQ132" i="44"/>
  <c r="AR136" i="44"/>
  <c r="AS136" i="44" s="1"/>
  <c r="AQ101" i="44"/>
  <c r="AX35" i="44"/>
  <c r="AQ329" i="44"/>
  <c r="AQ179" i="44"/>
  <c r="AX329" i="44"/>
  <c r="AQ128" i="44"/>
  <c r="AR128" i="44"/>
  <c r="AS128" i="44" s="1"/>
  <c r="AQ35" i="44"/>
  <c r="AV336" i="44"/>
  <c r="AV331" i="44"/>
  <c r="AR35" i="44"/>
  <c r="AS35" i="44" s="1"/>
  <c r="AR335" i="44"/>
  <c r="AS335" i="44" s="1"/>
  <c r="AX101" i="44"/>
  <c r="AR333" i="44"/>
  <c r="AS333" i="44" s="1"/>
  <c r="AX171" i="44"/>
  <c r="AX106" i="44"/>
  <c r="AR328" i="44"/>
  <c r="AS328" i="44" s="1"/>
  <c r="AX333" i="44"/>
  <c r="AX185" i="44"/>
  <c r="AX137" i="44"/>
  <c r="AU171" i="44"/>
  <c r="AQ240" i="44"/>
  <c r="AQ242" i="44"/>
  <c r="AQ244" i="44"/>
  <c r="AX99" i="44"/>
  <c r="AV333" i="44"/>
  <c r="AR117" i="44"/>
  <c r="AS117" i="44" s="1"/>
  <c r="AR137" i="44"/>
  <c r="AS137" i="44" s="1"/>
  <c r="AQ171" i="44"/>
  <c r="AX265" i="44"/>
  <c r="AQ182" i="44"/>
  <c r="AX242" i="44"/>
  <c r="AR178" i="44"/>
  <c r="AS178" i="44" s="1"/>
  <c r="AV328" i="44"/>
  <c r="AX123" i="44"/>
  <c r="AR99" i="44"/>
  <c r="AS99" i="44" s="1"/>
  <c r="AQ125" i="44"/>
  <c r="AR240" i="44"/>
  <c r="AS240" i="44" s="1"/>
  <c r="AQ332" i="44"/>
  <c r="AR106" i="44"/>
  <c r="AS106" i="44" s="1"/>
  <c r="AQ333" i="44"/>
  <c r="AR269" i="44"/>
  <c r="AS269" i="44" s="1"/>
  <c r="AQ272" i="44"/>
  <c r="AQ330" i="44"/>
  <c r="AX103" i="44"/>
  <c r="AR138" i="44"/>
  <c r="AS138" i="44" s="1"/>
  <c r="AR123" i="44"/>
  <c r="AS123" i="44" s="1"/>
  <c r="AR242" i="44"/>
  <c r="AS242" i="44" s="1"/>
  <c r="AR134" i="44"/>
  <c r="AS134" i="44" s="1"/>
  <c r="AX125" i="44"/>
  <c r="AX245" i="44"/>
  <c r="AX173" i="44"/>
  <c r="AQ104" i="44"/>
  <c r="AR289" i="44"/>
  <c r="AS289" i="44" s="1"/>
  <c r="AQ265" i="44"/>
  <c r="AR330" i="44"/>
  <c r="AS330" i="44" s="1"/>
  <c r="AR125" i="44"/>
  <c r="AS125" i="44" s="1"/>
  <c r="AR274" i="44"/>
  <c r="AS274" i="44" s="1"/>
  <c r="AR118" i="44"/>
  <c r="AS118" i="44" s="1"/>
  <c r="AX127" i="44"/>
  <c r="AQ180" i="44"/>
  <c r="AR132" i="44"/>
  <c r="AS132" i="44" s="1"/>
  <c r="AX274" i="44"/>
  <c r="AX330" i="44"/>
  <c r="AQ274" i="44"/>
  <c r="AQ245" i="44"/>
  <c r="AV330" i="44"/>
  <c r="AQ177" i="44"/>
  <c r="AR36" i="44"/>
  <c r="AS36" i="44" s="1"/>
  <c r="AQ36" i="44"/>
  <c r="AQ138" i="44"/>
  <c r="AX240" i="44"/>
  <c r="AQ117" i="44"/>
  <c r="AX239" i="44"/>
  <c r="AR265" i="44"/>
  <c r="AS265" i="44" s="1"/>
  <c r="AX104" i="44"/>
  <c r="AR245" i="44"/>
  <c r="AS245" i="44" s="1"/>
  <c r="AR173" i="44"/>
  <c r="AS173" i="44" s="1"/>
  <c r="AX36" i="44"/>
  <c r="AR185" i="44"/>
  <c r="AS185" i="44" s="1"/>
  <c r="AX244" i="44"/>
  <c r="AR182" i="44"/>
  <c r="AS182" i="44" s="1"/>
  <c r="AR180" i="44"/>
  <c r="AS180" i="44" s="1"/>
  <c r="AX289" i="44"/>
  <c r="AQ118" i="44"/>
  <c r="AQ178" i="44"/>
  <c r="AX55" i="44"/>
  <c r="AX75" i="44"/>
  <c r="AR75" i="44"/>
  <c r="AS75" i="44" s="1"/>
  <c r="AX178" i="44"/>
  <c r="AX91" i="44"/>
  <c r="AR91" i="44"/>
  <c r="AS91" i="44" s="1"/>
  <c r="AX84" i="44"/>
  <c r="AR84" i="44"/>
  <c r="AS84" i="44" s="1"/>
  <c r="AR92" i="44"/>
  <c r="AS92" i="44" s="1"/>
  <c r="AX92" i="44"/>
  <c r="AQ75" i="44"/>
  <c r="AR239" i="44"/>
  <c r="AS239" i="44" s="1"/>
  <c r="AR74" i="44"/>
  <c r="AS74" i="44" s="1"/>
  <c r="AX74" i="44"/>
  <c r="AR139" i="44"/>
  <c r="AS139" i="44" s="1"/>
  <c r="AX120" i="44"/>
  <c r="AR101" i="44"/>
  <c r="AS101" i="44" s="1"/>
  <c r="AQ74" i="44"/>
  <c r="AX53" i="44"/>
  <c r="AQ116" i="44"/>
  <c r="AR152" i="44"/>
  <c r="AS152" i="44" s="1"/>
  <c r="AX87" i="44"/>
  <c r="AR87" i="44"/>
  <c r="AS87" i="44" s="1"/>
  <c r="AX331" i="44"/>
  <c r="AR120" i="44"/>
  <c r="AS120" i="44" s="1"/>
  <c r="AQ120" i="44"/>
  <c r="AQ331" i="44"/>
  <c r="AQ134" i="44"/>
  <c r="AR96" i="44"/>
  <c r="AS96" i="44" s="1"/>
  <c r="AX152" i="44"/>
  <c r="AR331" i="44"/>
  <c r="AS331" i="44" s="1"/>
  <c r="AX76" i="44"/>
  <c r="AR76" i="44"/>
  <c r="AS76" i="44" s="1"/>
  <c r="AX83" i="44"/>
  <c r="AR83" i="44"/>
  <c r="AS83" i="44" s="1"/>
  <c r="AU46" i="44"/>
  <c r="AX46" i="44"/>
  <c r="AR46" i="44"/>
  <c r="AS46" i="44" s="1"/>
  <c r="AX124" i="44"/>
  <c r="AQ139" i="44"/>
  <c r="AX116" i="44"/>
  <c r="AQ157" i="44"/>
  <c r="AX134" i="44"/>
  <c r="AX180" i="44"/>
  <c r="AR100" i="44"/>
  <c r="AS100" i="44" s="1"/>
  <c r="AQ76" i="44"/>
  <c r="AQ273" i="44"/>
  <c r="AX100" i="44"/>
  <c r="AQ83" i="44"/>
  <c r="AQ46" i="44"/>
  <c r="AX139" i="44"/>
  <c r="AQ152" i="44"/>
  <c r="AX131" i="44"/>
  <c r="AQ173" i="44"/>
  <c r="AU48" i="44"/>
  <c r="AR48" i="44"/>
  <c r="AS48" i="44" s="1"/>
  <c r="AX48" i="44"/>
  <c r="AR73" i="44"/>
  <c r="AS73" i="44" s="1"/>
  <c r="AX73" i="44"/>
  <c r="AR116" i="44"/>
  <c r="AS116" i="44" s="1"/>
  <c r="AX119" i="44"/>
  <c r="AX117" i="44"/>
  <c r="AQ48" i="44"/>
  <c r="AQ269" i="44"/>
  <c r="AQ73" i="44"/>
  <c r="AX90" i="44"/>
  <c r="AR90" i="44"/>
  <c r="AS90" i="44" s="1"/>
  <c r="AX273" i="44"/>
  <c r="AR273" i="44"/>
  <c r="AS273" i="44" s="1"/>
  <c r="AX69" i="44"/>
  <c r="AR69" i="44"/>
  <c r="AS69" i="44" s="1"/>
  <c r="AX54" i="44"/>
  <c r="AR72" i="44"/>
  <c r="AS72" i="44" s="1"/>
  <c r="AX72" i="44"/>
  <c r="AQ90" i="44"/>
  <c r="AX88" i="44"/>
  <c r="AR88" i="44"/>
  <c r="AS88" i="44" s="1"/>
  <c r="AQ88" i="44"/>
  <c r="AX89" i="44"/>
  <c r="AR89" i="44"/>
  <c r="AS89" i="44" s="1"/>
  <c r="AU89" i="44"/>
  <c r="AQ89" i="44"/>
  <c r="AX86" i="44"/>
  <c r="AR86" i="44"/>
  <c r="AS86" i="44" s="1"/>
  <c r="AQ86" i="44"/>
  <c r="AU78" i="44"/>
  <c r="AX78" i="44"/>
  <c r="AR78" i="44"/>
  <c r="AS78" i="44" s="1"/>
  <c r="AQ78" i="44"/>
  <c r="AR79" i="44"/>
  <c r="AS79" i="44" s="1"/>
  <c r="AX79" i="44"/>
  <c r="AU79" i="44"/>
  <c r="AQ79" i="44"/>
  <c r="AX80" i="44"/>
  <c r="AR80" i="44"/>
  <c r="AS80" i="44" s="1"/>
  <c r="AQ80" i="44"/>
  <c r="AR81" i="44"/>
  <c r="AS81" i="44" s="1"/>
  <c r="AX81" i="44"/>
  <c r="AQ81" i="44"/>
  <c r="AR71" i="44"/>
  <c r="AS71" i="44" s="1"/>
  <c r="AX71" i="44"/>
  <c r="AU71" i="44"/>
  <c r="AQ71" i="44"/>
  <c r="AU77" i="44"/>
  <c r="AR77" i="44"/>
  <c r="AS77" i="44" s="1"/>
  <c r="AX77" i="44"/>
  <c r="AQ77" i="44"/>
  <c r="AR70" i="44"/>
  <c r="AS70" i="44" s="1"/>
  <c r="AX70" i="44"/>
  <c r="AQ70" i="44"/>
  <c r="AX68" i="44"/>
  <c r="AR68" i="44"/>
  <c r="AS68" i="44" s="1"/>
  <c r="AQ68" i="44"/>
  <c r="AX67" i="44"/>
  <c r="AR67" i="44"/>
  <c r="AS67" i="44" s="1"/>
  <c r="AQ67" i="44"/>
  <c r="AU52" i="44"/>
  <c r="AR52" i="44"/>
  <c r="AS52" i="44" s="1"/>
  <c r="AX52" i="44"/>
  <c r="AQ52" i="44"/>
  <c r="AR51" i="44"/>
  <c r="AS51" i="44" s="1"/>
  <c r="AX51" i="44"/>
  <c r="AU51" i="44"/>
  <c r="AQ51" i="44"/>
  <c r="AX50" i="44"/>
  <c r="AR50" i="44"/>
  <c r="AS50" i="44" s="1"/>
  <c r="AQ50" i="44"/>
  <c r="C106" i="44"/>
  <c r="C105" i="44"/>
  <c r="C104" i="44"/>
  <c r="C103" i="44"/>
  <c r="C102" i="44"/>
  <c r="C101" i="44"/>
  <c r="C100" i="44"/>
  <c r="C99" i="44"/>
  <c r="C98" i="44"/>
  <c r="C97" i="44"/>
  <c r="C96" i="44"/>
  <c r="C36" i="44"/>
  <c r="C35" i="44"/>
  <c r="C34" i="44"/>
  <c r="G32" i="52" l="1"/>
  <c r="G26" i="52"/>
  <c r="G20" i="52"/>
  <c r="G14" i="52"/>
  <c r="I3" i="52"/>
  <c r="J3" i="52" s="1"/>
  <c r="I2" i="52"/>
  <c r="J2" i="52" s="1"/>
  <c r="I7" i="52"/>
  <c r="J7" i="52" s="1"/>
  <c r="I9" i="52"/>
  <c r="J9" i="52" s="1"/>
  <c r="AC64" i="50" l="1"/>
  <c r="R19" i="21" l="1"/>
  <c r="AU64" i="50"/>
  <c r="AY7" i="50"/>
  <c r="AY9" i="50" s="1"/>
  <c r="AY11" i="50" s="1"/>
  <c r="AY12" i="50" s="1"/>
  <c r="AX7" i="50"/>
  <c r="AX9" i="50" s="1"/>
  <c r="AX11" i="50" s="1"/>
  <c r="AX12" i="50" s="1"/>
  <c r="AY40" i="50" l="1"/>
  <c r="AX36" i="50"/>
  <c r="AY36" i="50"/>
  <c r="AY20" i="50" l="1"/>
  <c r="AY22" i="50" s="1"/>
  <c r="AY27" i="50" s="1"/>
  <c r="AY33" i="50" s="1"/>
  <c r="AX42" i="50"/>
  <c r="AY42" i="50"/>
  <c r="AX40" i="50"/>
  <c r="I7" i="50" l="1"/>
  <c r="I9" i="50" s="1"/>
  <c r="I11" i="50" s="1"/>
  <c r="I12" i="50" s="1"/>
  <c r="U7" i="50"/>
  <c r="U9" i="50" s="1"/>
  <c r="U11" i="50" s="1"/>
  <c r="U12" i="50" s="1"/>
  <c r="G7" i="50"/>
  <c r="G9" i="50" s="1"/>
  <c r="AH7" i="50"/>
  <c r="AH9" i="50" s="1"/>
  <c r="AW7" i="50"/>
  <c r="AW9" i="50" s="1"/>
  <c r="X7" i="50"/>
  <c r="X9" i="50" s="1"/>
  <c r="V7" i="50"/>
  <c r="V9" i="50" s="1"/>
  <c r="AP7" i="50"/>
  <c r="AP9" i="50" s="1"/>
  <c r="AN7" i="50"/>
  <c r="AN9" i="50" s="1"/>
  <c r="L7" i="50"/>
  <c r="L9" i="50" s="1"/>
  <c r="E7" i="50"/>
  <c r="E9" i="50" s="1"/>
  <c r="AT7" i="50"/>
  <c r="AT9" i="50" s="1"/>
  <c r="BA7" i="50"/>
  <c r="BA9" i="50" s="1"/>
  <c r="AA7" i="50"/>
  <c r="AA9" i="50" s="1"/>
  <c r="J7" i="50"/>
  <c r="J9" i="50" s="1"/>
  <c r="AD7" i="50"/>
  <c r="AD9" i="50" s="1"/>
  <c r="AB7" i="50"/>
  <c r="AB9" i="50" s="1"/>
  <c r="AU7" i="50"/>
  <c r="AU9" i="50" s="1"/>
  <c r="R7" i="50"/>
  <c r="R9" i="50" s="1"/>
  <c r="F7" i="50"/>
  <c r="F9" i="50" s="1"/>
  <c r="H7" i="50"/>
  <c r="H9" i="50" s="1"/>
  <c r="Y7" i="50"/>
  <c r="Y9" i="50" s="1"/>
  <c r="AZ7" i="50"/>
  <c r="AZ9" i="50" s="1"/>
  <c r="AS7" i="50"/>
  <c r="AS9" i="50" s="1"/>
  <c r="AV7" i="50"/>
  <c r="AV9" i="50" s="1"/>
  <c r="AR7" i="50"/>
  <c r="AR9" i="50" s="1"/>
  <c r="AF7" i="50"/>
  <c r="AF9" i="50" s="1"/>
  <c r="K7" i="50"/>
  <c r="K9" i="50" s="1"/>
  <c r="M7" i="50"/>
  <c r="M9" i="50" s="1"/>
  <c r="AO7" i="50"/>
  <c r="AO9" i="50" s="1"/>
  <c r="AG7" i="50"/>
  <c r="AG9" i="50" s="1"/>
  <c r="S7" i="50"/>
  <c r="S9" i="50" s="1"/>
  <c r="W7" i="50"/>
  <c r="W9" i="50" s="1"/>
  <c r="O7" i="50"/>
  <c r="O9" i="50" s="1"/>
  <c r="AQ7" i="50"/>
  <c r="AQ9" i="50" s="1"/>
  <c r="AC7" i="50"/>
  <c r="AC9" i="50" s="1"/>
  <c r="Z7" i="50"/>
  <c r="Z9" i="50" s="1"/>
  <c r="P7" i="50"/>
  <c r="P9" i="50" s="1"/>
  <c r="AM7" i="50"/>
  <c r="AM9" i="50" s="1"/>
  <c r="T7" i="50"/>
  <c r="T9" i="50" s="1"/>
  <c r="AE7" i="50"/>
  <c r="AE9" i="50" s="1"/>
  <c r="Q7" i="50"/>
  <c r="Q9" i="50" s="1"/>
  <c r="N7" i="50"/>
  <c r="N9" i="50" s="1"/>
  <c r="AV11" i="50" l="1"/>
  <c r="AV12" i="50" s="1"/>
  <c r="P11" i="50"/>
  <c r="P12" i="50" s="1"/>
  <c r="Y11" i="50"/>
  <c r="Y12" i="50" s="1"/>
  <c r="AB11" i="50"/>
  <c r="AB12" i="50" s="1"/>
  <c r="E11" i="50"/>
  <c r="E12" i="50" s="1"/>
  <c r="AQ11" i="50"/>
  <c r="AQ12" i="50" s="1"/>
  <c r="N11" i="50"/>
  <c r="N12" i="50" s="1"/>
  <c r="S11" i="50"/>
  <c r="S12" i="50" s="1"/>
  <c r="AF11" i="50"/>
  <c r="AF12" i="50" s="1"/>
  <c r="AW11" i="50"/>
  <c r="AW12" i="50" s="1"/>
  <c r="Z11" i="50"/>
  <c r="Z12" i="50" s="1"/>
  <c r="H11" i="50"/>
  <c r="H12" i="50" s="1"/>
  <c r="AD11" i="50"/>
  <c r="AD12" i="50" s="1"/>
  <c r="L11" i="50"/>
  <c r="L12" i="50" s="1"/>
  <c r="Q11" i="50"/>
  <c r="Q12" i="50" s="1"/>
  <c r="AG11" i="50"/>
  <c r="AG12" i="50" s="1"/>
  <c r="AH11" i="50"/>
  <c r="AH12" i="50" s="1"/>
  <c r="AC11" i="50"/>
  <c r="AC12" i="50" s="1"/>
  <c r="AR11" i="50"/>
  <c r="AR12" i="50" s="1"/>
  <c r="J11" i="50"/>
  <c r="J12" i="50" s="1"/>
  <c r="AN11" i="50"/>
  <c r="AN12" i="50" s="1"/>
  <c r="AE11" i="50"/>
  <c r="AE12" i="50" s="1"/>
  <c r="AO11" i="50"/>
  <c r="AO12" i="50" s="1"/>
  <c r="G11" i="50"/>
  <c r="G12" i="50" s="1"/>
  <c r="T11" i="50"/>
  <c r="T12" i="50" s="1"/>
  <c r="AS11" i="50"/>
  <c r="AS12" i="50" s="1"/>
  <c r="R11" i="50"/>
  <c r="R12" i="50" s="1"/>
  <c r="BA11" i="50"/>
  <c r="BA12" i="50" s="1"/>
  <c r="V11" i="50"/>
  <c r="V12" i="50" s="1"/>
  <c r="AP11" i="50"/>
  <c r="AP12" i="50" s="1"/>
  <c r="O11" i="50"/>
  <c r="O12" i="50" s="1"/>
  <c r="M11" i="50"/>
  <c r="M12" i="50" s="1"/>
  <c r="F11" i="50"/>
  <c r="F12" i="50" s="1"/>
  <c r="AM11" i="50"/>
  <c r="AM12" i="50" s="1"/>
  <c r="AZ11" i="50"/>
  <c r="AZ12" i="50" s="1"/>
  <c r="AU11" i="50"/>
  <c r="AU12" i="50" s="1"/>
  <c r="AT11" i="50"/>
  <c r="AT12" i="50" s="1"/>
  <c r="AA11" i="50"/>
  <c r="AA12" i="50" s="1"/>
  <c r="W11" i="50"/>
  <c r="W12" i="50" s="1"/>
  <c r="K11" i="50"/>
  <c r="K12" i="50" s="1"/>
  <c r="X11" i="50"/>
  <c r="X12" i="50" s="1"/>
  <c r="E95" i="50" l="1"/>
  <c r="E96" i="50"/>
  <c r="E97" i="50"/>
  <c r="E98" i="50"/>
  <c r="E99" i="50"/>
  <c r="E100" i="50"/>
  <c r="I28" i="48" l="1"/>
  <c r="H28" i="48"/>
  <c r="G30" i="48"/>
  <c r="C26" i="48"/>
  <c r="C25" i="48"/>
  <c r="C23" i="48"/>
  <c r="G25" i="48"/>
  <c r="U42" i="50" l="1"/>
  <c r="AK42" i="50" l="1"/>
  <c r="O42" i="50"/>
  <c r="AP42" i="50"/>
  <c r="J42" i="50"/>
  <c r="AQ42" i="50"/>
  <c r="AM42" i="50"/>
  <c r="I42" i="50"/>
  <c r="G42" i="50"/>
  <c r="AO42" i="50"/>
  <c r="N42" i="50"/>
  <c r="F42" i="50"/>
  <c r="AD42" i="50"/>
  <c r="S42" i="50"/>
  <c r="M42" i="50"/>
  <c r="R42" i="50"/>
  <c r="V42" i="50"/>
  <c r="AI42" i="50"/>
  <c r="AJ42" i="50"/>
  <c r="K42" i="50"/>
  <c r="Q42" i="50"/>
  <c r="AF42" i="50"/>
  <c r="L42" i="50"/>
  <c r="AL42" i="50"/>
  <c r="AH42" i="50"/>
  <c r="P42" i="50"/>
  <c r="AN42" i="50"/>
  <c r="H42" i="50"/>
  <c r="E42" i="50"/>
  <c r="AG42" i="50"/>
  <c r="AE42" i="50"/>
  <c r="Z36" i="50" l="1"/>
  <c r="O36" i="50"/>
  <c r="AA36" i="50"/>
  <c r="AF36" i="50"/>
  <c r="AV36" i="50"/>
  <c r="I38" i="50"/>
  <c r="U38" i="50"/>
  <c r="AG38" i="50"/>
  <c r="J38" i="50"/>
  <c r="AH38" i="50"/>
  <c r="K38" i="50"/>
  <c r="W38" i="50"/>
  <c r="L38" i="50"/>
  <c r="X38" i="50"/>
  <c r="E38" i="50"/>
  <c r="Q38" i="50"/>
  <c r="AO38" i="50"/>
  <c r="M38" i="50"/>
  <c r="Y38" i="50"/>
  <c r="P38" i="50"/>
  <c r="F38" i="50"/>
  <c r="R38" i="50"/>
  <c r="AD38" i="50"/>
  <c r="AP38" i="50"/>
  <c r="AN38" i="50"/>
  <c r="G38" i="50"/>
  <c r="S38" i="50"/>
  <c r="AE38" i="50"/>
  <c r="AQ38" i="50"/>
  <c r="N38" i="50"/>
  <c r="Z38" i="50"/>
  <c r="AL38" i="50"/>
  <c r="H38" i="50"/>
  <c r="T38" i="50"/>
  <c r="AF38" i="50"/>
  <c r="AA38" i="50"/>
  <c r="AM38" i="50" l="1"/>
  <c r="AC38" i="50"/>
  <c r="AJ38" i="50"/>
  <c r="AI38" i="50"/>
  <c r="AK38" i="50"/>
  <c r="AN20" i="50"/>
  <c r="AN22" i="50" s="1"/>
  <c r="AN27" i="50" s="1"/>
  <c r="AN29" i="50" s="1"/>
  <c r="O40" i="50"/>
  <c r="M40" i="50"/>
  <c r="K40" i="50"/>
  <c r="AA40" i="50"/>
  <c r="AP40" i="50"/>
  <c r="H40" i="50"/>
  <c r="AO40" i="50"/>
  <c r="T40" i="50"/>
  <c r="P40" i="50"/>
  <c r="AN40" i="50"/>
  <c r="S40" i="50"/>
  <c r="L40" i="50"/>
  <c r="R40" i="50"/>
  <c r="Q40" i="50"/>
  <c r="U40" i="50"/>
  <c r="AB40" i="50"/>
  <c r="AQ40" i="50"/>
  <c r="X40" i="50"/>
  <c r="Z40" i="50"/>
  <c r="Y40" i="50"/>
  <c r="AA20" i="50"/>
  <c r="AA22" i="50" s="1"/>
  <c r="AA27" i="50" s="1"/>
  <c r="AA29" i="50" s="1"/>
  <c r="H20" i="50"/>
  <c r="H22" i="50" s="1"/>
  <c r="H27" i="50" s="1"/>
  <c r="H29" i="50" s="1"/>
  <c r="AV20" i="50"/>
  <c r="AV22" i="50" s="1"/>
  <c r="AV27" i="50" s="1"/>
  <c r="AV29" i="50" s="1"/>
  <c r="E20" i="50"/>
  <c r="E22" i="50" s="1"/>
  <c r="E27" i="50" s="1"/>
  <c r="E29" i="50" s="1"/>
  <c r="AJ20" i="50"/>
  <c r="AJ22" i="50" s="1"/>
  <c r="AJ27" i="50" s="1"/>
  <c r="AJ29" i="50" s="1"/>
  <c r="X20" i="50"/>
  <c r="X22" i="50" s="1"/>
  <c r="X27" i="50" s="1"/>
  <c r="X29" i="50" s="1"/>
  <c r="AZ20" i="50"/>
  <c r="AZ22" i="50" s="1"/>
  <c r="AZ27" i="50" s="1"/>
  <c r="AZ29" i="50" s="1"/>
  <c r="AI20" i="50"/>
  <c r="AI22" i="50" s="1"/>
  <c r="AI27" i="50" s="1"/>
  <c r="AI29" i="50" s="1"/>
  <c r="AQ20" i="50"/>
  <c r="AQ22" i="50" s="1"/>
  <c r="AQ27" i="50" s="1"/>
  <c r="AQ29" i="50" s="1"/>
  <c r="AK20" i="50"/>
  <c r="AK22" i="50" s="1"/>
  <c r="AK27" i="50" s="1"/>
  <c r="AK29" i="50" s="1"/>
  <c r="AL20" i="50"/>
  <c r="AL22" i="50" s="1"/>
  <c r="AL27" i="50" s="1"/>
  <c r="AL29" i="50" s="1"/>
  <c r="AP20" i="50"/>
  <c r="AP22" i="50" s="1"/>
  <c r="AP27" i="50" s="1"/>
  <c r="AP29" i="50" s="1"/>
  <c r="Y20" i="50"/>
  <c r="Y22" i="50" s="1"/>
  <c r="Y27" i="50" s="1"/>
  <c r="Y29" i="50" s="1"/>
  <c r="Z20" i="50"/>
  <c r="Z22" i="50" s="1"/>
  <c r="Z27" i="50" s="1"/>
  <c r="Z29" i="50" s="1"/>
  <c r="AO20" i="50"/>
  <c r="AO22" i="50" s="1"/>
  <c r="AO27" i="50" s="1"/>
  <c r="AO29" i="50" s="1"/>
  <c r="AR20" i="50"/>
  <c r="AR22" i="50" s="1"/>
  <c r="AR27" i="50" s="1"/>
  <c r="AR29" i="50" s="1"/>
  <c r="BA20" i="50"/>
  <c r="BA22" i="50" s="1"/>
  <c r="BA27" i="50" s="1"/>
  <c r="BA29" i="50" s="1"/>
  <c r="AM20" i="50"/>
  <c r="AM22" i="50" s="1"/>
  <c r="AM27" i="50" s="1"/>
  <c r="AM29" i="50" s="1"/>
  <c r="V38" i="50"/>
  <c r="AB38" i="50"/>
  <c r="AE36" i="50"/>
  <c r="AH36" i="50"/>
  <c r="X36" i="50"/>
  <c r="AR36" i="50"/>
  <c r="Y36" i="50"/>
  <c r="BA36" i="50"/>
  <c r="C405" i="44" l="1"/>
  <c r="C384" i="44"/>
  <c r="C383" i="44"/>
  <c r="C350" i="44"/>
  <c r="C349" i="44"/>
  <c r="C291" i="44"/>
  <c r="C290" i="44"/>
  <c r="W218" i="44"/>
  <c r="X218" i="44" s="1"/>
  <c r="AG442" i="44" l="1"/>
  <c r="AH442" i="44" s="1"/>
  <c r="AG441" i="44"/>
  <c r="AH441" i="44" s="1"/>
  <c r="AG440" i="44"/>
  <c r="AH440" i="44" s="1"/>
  <c r="AG439" i="44"/>
  <c r="AH439" i="44" s="1"/>
  <c r="AG438" i="44"/>
  <c r="AH438" i="44" s="1"/>
  <c r="AG437" i="44"/>
  <c r="AG436" i="44"/>
  <c r="AH436" i="44" s="1"/>
  <c r="AG435" i="44"/>
  <c r="AH435" i="44" s="1"/>
  <c r="AG434" i="44"/>
  <c r="AH434" i="44" s="1"/>
  <c r="AG433" i="44"/>
  <c r="AH433" i="44" s="1"/>
  <c r="AG432" i="44"/>
  <c r="AH432" i="44" s="1"/>
  <c r="AG431" i="44"/>
  <c r="AH431" i="44" s="1"/>
  <c r="AG430" i="44"/>
  <c r="AH430" i="44" s="1"/>
  <c r="AG429" i="44"/>
  <c r="AH429" i="44" s="1"/>
  <c r="AG428" i="44"/>
  <c r="AH428" i="44" s="1"/>
  <c r="AG427" i="44"/>
  <c r="AH427" i="44" s="1"/>
  <c r="AG426" i="44"/>
  <c r="AH426" i="44" s="1"/>
  <c r="AG425" i="44"/>
  <c r="AH425" i="44" s="1"/>
  <c r="AG424" i="44"/>
  <c r="AH424" i="44" s="1"/>
  <c r="AG423" i="44"/>
  <c r="AH423" i="44" s="1"/>
  <c r="AG422" i="44"/>
  <c r="AH422" i="44" s="1"/>
  <c r="AG421" i="44"/>
  <c r="AH421" i="44" s="1"/>
  <c r="AG420" i="44"/>
  <c r="AH420" i="44" s="1"/>
  <c r="AG419" i="44"/>
  <c r="AH419" i="44" s="1"/>
  <c r="AG418" i="44"/>
  <c r="AH418" i="44" s="1"/>
  <c r="W348" i="44"/>
  <c r="X348" i="44" s="1"/>
  <c r="AD214" i="44" l="1"/>
  <c r="AD213" i="44"/>
  <c r="AD212" i="44"/>
  <c r="AD211" i="44"/>
  <c r="AD210" i="44"/>
  <c r="AD209" i="44"/>
  <c r="AD200" i="44"/>
  <c r="AD199" i="44"/>
  <c r="AD198" i="44"/>
  <c r="AD197" i="44"/>
  <c r="AD196" i="44"/>
  <c r="AD195" i="44"/>
  <c r="AD189" i="44"/>
  <c r="AD188" i="44"/>
  <c r="AD187" i="44"/>
  <c r="AE189" i="44" l="1"/>
  <c r="AE188" i="44"/>
  <c r="AE187" i="44"/>
  <c r="AE42" i="44"/>
  <c r="AE41" i="44"/>
  <c r="AE40" i="44"/>
  <c r="AE39" i="44"/>
  <c r="AE38" i="44"/>
  <c r="AD42" i="44"/>
  <c r="AD41" i="44"/>
  <c r="AD40" i="44"/>
  <c r="AD39" i="44"/>
  <c r="AD38" i="44"/>
  <c r="AC42" i="44"/>
  <c r="AC41" i="44"/>
  <c r="AC40" i="44"/>
  <c r="AC38" i="44"/>
  <c r="AC214" i="44"/>
  <c r="AC212" i="44"/>
  <c r="AC210" i="44"/>
  <c r="AC199" i="44"/>
  <c r="AC197" i="44"/>
  <c r="AC195" i="44"/>
  <c r="AC189" i="44"/>
  <c r="AC187" i="44"/>
  <c r="AC213" i="44"/>
  <c r="AC211" i="44"/>
  <c r="AC209" i="44"/>
  <c r="AC200" i="44"/>
  <c r="AC198" i="44"/>
  <c r="AC196" i="44"/>
  <c r="AC188" i="44"/>
  <c r="AC39" i="44"/>
  <c r="AG189" i="44" l="1"/>
  <c r="AG188" i="44"/>
  <c r="AG38" i="44"/>
  <c r="AG40" i="44"/>
  <c r="AG41" i="44"/>
  <c r="AG42" i="44"/>
  <c r="AG39" i="44"/>
  <c r="AG187" i="44"/>
  <c r="C442" i="44" l="1"/>
  <c r="C441" i="44"/>
  <c r="C440" i="44"/>
  <c r="C439" i="44"/>
  <c r="C438" i="44"/>
  <c r="C437" i="44"/>
  <c r="C436" i="44"/>
  <c r="C435" i="44"/>
  <c r="C434" i="44"/>
  <c r="C433" i="44"/>
  <c r="C432" i="44"/>
  <c r="C431" i="44"/>
  <c r="C430" i="44"/>
  <c r="C429" i="44"/>
  <c r="C428" i="44"/>
  <c r="C427" i="44"/>
  <c r="C426" i="44"/>
  <c r="C425" i="44"/>
  <c r="C424" i="44"/>
  <c r="C423" i="44"/>
  <c r="C422" i="44"/>
  <c r="C421" i="44"/>
  <c r="C420" i="44"/>
  <c r="C419" i="44"/>
  <c r="C418" i="44"/>
  <c r="C414" i="44"/>
  <c r="C413" i="44"/>
  <c r="C412" i="44"/>
  <c r="C411" i="44"/>
  <c r="C410" i="44"/>
  <c r="C409" i="44"/>
  <c r="C408" i="44"/>
  <c r="C407" i="44"/>
  <c r="C393" i="44"/>
  <c r="C367" i="44"/>
  <c r="C366" i="44"/>
  <c r="C365" i="44"/>
  <c r="C364" i="44"/>
  <c r="C363" i="44"/>
  <c r="C362" i="44"/>
  <c r="C361" i="44"/>
  <c r="C360" i="44"/>
  <c r="C359" i="44"/>
  <c r="C358" i="44"/>
  <c r="C357" i="44"/>
  <c r="C356" i="44"/>
  <c r="C355" i="44"/>
  <c r="C354" i="44"/>
  <c r="C353" i="44"/>
  <c r="C352" i="44"/>
  <c r="C348" i="44"/>
  <c r="C347" i="44"/>
  <c r="C315" i="44"/>
  <c r="C314" i="44"/>
  <c r="C312" i="44"/>
  <c r="C311" i="44"/>
  <c r="C310" i="44"/>
  <c r="C308" i="44"/>
  <c r="C307" i="44"/>
  <c r="C302" i="44"/>
  <c r="C301" i="44"/>
  <c r="C299" i="44"/>
  <c r="C298" i="44"/>
  <c r="C297" i="44"/>
  <c r="C295" i="44"/>
  <c r="C288" i="44"/>
  <c r="C287" i="44"/>
  <c r="C286" i="44"/>
  <c r="C285" i="44"/>
  <c r="C284" i="44"/>
  <c r="C283" i="44"/>
  <c r="C282" i="44"/>
  <c r="C281" i="44"/>
  <c r="C280" i="44"/>
  <c r="C264" i="44"/>
  <c r="C263" i="44"/>
  <c r="C262" i="44"/>
  <c r="C261" i="44"/>
  <c r="C260" i="44"/>
  <c r="C259" i="44"/>
  <c r="C258" i="44"/>
  <c r="C257" i="44"/>
  <c r="C256" i="44"/>
  <c r="C255" i="44"/>
  <c r="C254" i="44"/>
  <c r="C253" i="44"/>
  <c r="C251" i="44"/>
  <c r="C249" i="44"/>
  <c r="C248" i="44"/>
  <c r="C247" i="44"/>
  <c r="C237" i="44"/>
  <c r="C236" i="44"/>
  <c r="C235" i="44"/>
  <c r="C234" i="44"/>
  <c r="C233" i="44"/>
  <c r="C232" i="44"/>
  <c r="C231" i="44"/>
  <c r="C230" i="44"/>
  <c r="C229" i="44"/>
  <c r="C228" i="44"/>
  <c r="C227" i="44"/>
  <c r="C226" i="44"/>
  <c r="C225" i="44"/>
  <c r="C224" i="44"/>
  <c r="C223" i="44"/>
  <c r="C222" i="44"/>
  <c r="C221" i="44"/>
  <c r="C220" i="44"/>
  <c r="C219" i="44"/>
  <c r="C218" i="44"/>
  <c r="C217" i="44"/>
  <c r="C216" i="44"/>
  <c r="C214" i="44"/>
  <c r="C213" i="44"/>
  <c r="C212" i="44"/>
  <c r="C211" i="44"/>
  <c r="C210" i="44"/>
  <c r="C209" i="44"/>
  <c r="C208" i="44"/>
  <c r="C200" i="44"/>
  <c r="C199" i="44"/>
  <c r="C198" i="44"/>
  <c r="C197" i="44"/>
  <c r="C196" i="44"/>
  <c r="C195" i="44"/>
  <c r="C193" i="44"/>
  <c r="C191" i="44"/>
  <c r="C189" i="44"/>
  <c r="C188" i="44"/>
  <c r="C187" i="44"/>
  <c r="C169" i="44"/>
  <c r="C167" i="44"/>
  <c r="C166" i="44"/>
  <c r="C165" i="44"/>
  <c r="C160" i="44"/>
  <c r="C159" i="44"/>
  <c r="C148" i="44"/>
  <c r="C146" i="44"/>
  <c r="C145" i="44"/>
  <c r="C144" i="44"/>
  <c r="C143" i="44"/>
  <c r="C142" i="44"/>
  <c r="C141" i="44"/>
  <c r="C113" i="44"/>
  <c r="C112" i="44"/>
  <c r="C111" i="44"/>
  <c r="C110" i="44"/>
  <c r="C109" i="44"/>
  <c r="C108" i="44"/>
  <c r="C95" i="44"/>
  <c r="C66" i="44"/>
  <c r="C65" i="44"/>
  <c r="C64" i="44"/>
  <c r="C63" i="44"/>
  <c r="C62" i="44"/>
  <c r="C60" i="44"/>
  <c r="C59" i="44"/>
  <c r="C45" i="44"/>
  <c r="C44" i="44"/>
  <c r="C42" i="44"/>
  <c r="C41" i="44"/>
  <c r="C40" i="44"/>
  <c r="C39" i="44"/>
  <c r="C38" i="44"/>
  <c r="C30" i="44"/>
  <c r="C29" i="44"/>
  <c r="C27" i="44"/>
  <c r="C25" i="44"/>
  <c r="C23" i="44"/>
  <c r="C20" i="44"/>
  <c r="C19" i="44"/>
  <c r="C18" i="44"/>
  <c r="C17" i="44"/>
  <c r="C16" i="44"/>
  <c r="C15" i="44"/>
  <c r="C14" i="44"/>
  <c r="C13" i="44"/>
  <c r="C12" i="44"/>
  <c r="C11" i="44"/>
  <c r="C10" i="44"/>
  <c r="C9" i="44"/>
  <c r="C8" i="44"/>
  <c r="C7" i="44"/>
  <c r="AU442" i="44"/>
  <c r="AU441" i="44"/>
  <c r="AU440" i="44"/>
  <c r="AU439" i="44"/>
  <c r="AU438" i="44"/>
  <c r="AU437" i="44"/>
  <c r="AU436" i="44"/>
  <c r="AU435" i="44"/>
  <c r="AU434" i="44"/>
  <c r="AU433" i="44"/>
  <c r="AU432" i="44"/>
  <c r="AU431" i="44"/>
  <c r="AU430" i="44"/>
  <c r="AU429" i="44"/>
  <c r="AU428" i="44"/>
  <c r="AU427" i="44"/>
  <c r="AU426" i="44"/>
  <c r="AU425" i="44"/>
  <c r="AU424" i="44"/>
  <c r="AU421" i="44"/>
  <c r="AU420" i="44"/>
  <c r="AU419" i="44"/>
  <c r="AU418" i="44"/>
  <c r="AU414" i="44"/>
  <c r="AU413" i="44"/>
  <c r="AU412" i="44"/>
  <c r="AU411" i="44"/>
  <c r="AU410" i="44"/>
  <c r="AU409" i="44"/>
  <c r="AU408" i="44"/>
  <c r="AU407" i="44"/>
  <c r="AU367" i="44"/>
  <c r="AU366" i="44"/>
  <c r="AU365" i="44"/>
  <c r="AU364" i="44"/>
  <c r="AU363" i="44"/>
  <c r="AU362" i="44"/>
  <c r="AU361" i="44"/>
  <c r="AU360" i="44"/>
  <c r="AU359" i="44"/>
  <c r="AU358" i="44"/>
  <c r="AU357" i="44"/>
  <c r="AU356" i="44"/>
  <c r="AU355" i="44"/>
  <c r="AU354" i="44"/>
  <c r="AU353" i="44"/>
  <c r="AU352" i="44"/>
  <c r="AU348" i="44"/>
  <c r="AU347" i="44"/>
  <c r="AU315" i="44"/>
  <c r="AU314" i="44"/>
  <c r="AU311" i="44"/>
  <c r="AU310" i="44"/>
  <c r="AU307" i="44"/>
  <c r="AU302" i="44"/>
  <c r="AU301" i="44"/>
  <c r="AU298" i="44"/>
  <c r="AU297" i="44"/>
  <c r="AU288" i="44"/>
  <c r="AU287" i="44"/>
  <c r="AU286" i="44"/>
  <c r="AU285" i="44"/>
  <c r="AU284" i="44"/>
  <c r="AU283" i="44"/>
  <c r="AU282" i="44"/>
  <c r="AU281" i="44"/>
  <c r="AU280" i="44"/>
  <c r="AU264" i="44"/>
  <c r="AU263" i="44"/>
  <c r="AU262" i="44"/>
  <c r="AU256" i="44"/>
  <c r="AU255" i="44"/>
  <c r="AU254" i="44"/>
  <c r="AU237" i="44"/>
  <c r="AU236" i="44"/>
  <c r="AU235" i="44"/>
  <c r="AU234" i="44"/>
  <c r="AU233" i="44"/>
  <c r="AU232" i="44"/>
  <c r="AU226" i="44"/>
  <c r="AU225" i="44"/>
  <c r="AU224" i="44"/>
  <c r="AU223" i="44"/>
  <c r="AU222" i="44"/>
  <c r="AU221" i="44"/>
  <c r="AU214" i="44"/>
  <c r="AU213" i="44"/>
  <c r="AU212" i="44"/>
  <c r="AU200" i="44"/>
  <c r="AU199" i="44"/>
  <c r="AU189" i="44"/>
  <c r="AU148" i="44"/>
  <c r="AU146" i="44"/>
  <c r="AU145" i="44"/>
  <c r="AU144" i="44"/>
  <c r="AU143" i="44"/>
  <c r="AU142" i="44"/>
  <c r="AU141" i="44"/>
  <c r="AU113" i="44"/>
  <c r="AU111" i="44"/>
  <c r="AU110" i="44"/>
  <c r="AU95" i="44"/>
  <c r="AU66" i="44"/>
  <c r="AU65" i="44"/>
  <c r="AU64" i="44"/>
  <c r="AU63" i="44"/>
  <c r="AU62" i="44"/>
  <c r="AU60" i="44"/>
  <c r="AU59" i="44"/>
  <c r="AU45" i="44"/>
  <c r="AU44" i="44"/>
  <c r="AU42" i="44"/>
  <c r="AU30" i="44"/>
  <c r="AU29" i="44"/>
  <c r="C369" i="44" l="1"/>
  <c r="C368" i="44"/>
  <c r="C443" i="44"/>
  <c r="E10" i="48"/>
  <c r="I10" i="48" s="1"/>
  <c r="J10" i="48" s="1"/>
  <c r="E8" i="48"/>
  <c r="I8" i="48" s="1"/>
  <c r="J8" i="48" s="1"/>
  <c r="I6" i="48"/>
  <c r="J6" i="48" s="1"/>
  <c r="M6" i="48" l="1"/>
  <c r="L6" i="48"/>
  <c r="M8" i="48"/>
  <c r="L8" i="48"/>
  <c r="M10" i="48"/>
  <c r="L10" i="48"/>
  <c r="W110" i="44"/>
  <c r="X110" i="44" s="1"/>
  <c r="W222" i="44"/>
  <c r="X222" i="44" s="1"/>
  <c r="W422" i="44"/>
  <c r="X422" i="44" s="1"/>
  <c r="AJ7" i="50" l="1"/>
  <c r="AJ9" i="50" s="1"/>
  <c r="AJ11" i="50" s="1"/>
  <c r="AJ12" i="50" s="1"/>
  <c r="AK7" i="50"/>
  <c r="AK9" i="50" s="1"/>
  <c r="AK11" i="50" s="1"/>
  <c r="AK12" i="50" s="1"/>
  <c r="AL7" i="50"/>
  <c r="AL9" i="50" s="1"/>
  <c r="AL11" i="50" s="1"/>
  <c r="AL12" i="50" s="1"/>
  <c r="AG413" i="44"/>
  <c r="AH413" i="44" s="1"/>
  <c r="AC412" i="44"/>
  <c r="AG412" i="44" s="1"/>
  <c r="AH412" i="44" s="1"/>
  <c r="AC411" i="44"/>
  <c r="AG411" i="44" s="1"/>
  <c r="AH411" i="44" s="1"/>
  <c r="AG410" i="44"/>
  <c r="AH410" i="44" s="1"/>
  <c r="AG409" i="44"/>
  <c r="AH409" i="44" s="1"/>
  <c r="X27" i="44"/>
  <c r="X25" i="44"/>
  <c r="AM414" i="44"/>
  <c r="AL414" i="44"/>
  <c r="AK414" i="44"/>
  <c r="AJ414" i="44"/>
  <c r="AI414" i="44"/>
  <c r="W414" i="44"/>
  <c r="X414" i="44" s="1"/>
  <c r="S414" i="44"/>
  <c r="P414" i="44"/>
  <c r="AM413" i="44"/>
  <c r="AL413" i="44"/>
  <c r="AK413" i="44"/>
  <c r="AJ413" i="44"/>
  <c r="AI413" i="44"/>
  <c r="W413" i="44"/>
  <c r="X413" i="44" s="1"/>
  <c r="S413" i="44"/>
  <c r="P413" i="44"/>
  <c r="AM412" i="44"/>
  <c r="AL412" i="44"/>
  <c r="AK412" i="44"/>
  <c r="AJ412" i="44"/>
  <c r="AI412" i="44"/>
  <c r="W412" i="44"/>
  <c r="X412" i="44" s="1"/>
  <c r="S412" i="44"/>
  <c r="P412" i="44"/>
  <c r="AM411" i="44"/>
  <c r="AL411" i="44"/>
  <c r="AK411" i="44"/>
  <c r="AJ411" i="44"/>
  <c r="AI411" i="44"/>
  <c r="W411" i="44"/>
  <c r="X411" i="44" s="1"/>
  <c r="S411" i="44"/>
  <c r="P411" i="44"/>
  <c r="AM410" i="44"/>
  <c r="AL410" i="44"/>
  <c r="AK410" i="44"/>
  <c r="AJ410" i="44"/>
  <c r="AI410" i="44"/>
  <c r="W410" i="44"/>
  <c r="X410" i="44" s="1"/>
  <c r="S410" i="44"/>
  <c r="P410" i="44"/>
  <c r="AM409" i="44"/>
  <c r="AL409" i="44"/>
  <c r="AK409" i="44"/>
  <c r="AJ409" i="44"/>
  <c r="AI409" i="44"/>
  <c r="W409" i="44"/>
  <c r="X409" i="44" s="1"/>
  <c r="S409" i="44"/>
  <c r="P409" i="44"/>
  <c r="AM408" i="44"/>
  <c r="AL408" i="44"/>
  <c r="AK408" i="44"/>
  <c r="AJ408" i="44"/>
  <c r="AI408" i="44"/>
  <c r="W408" i="44"/>
  <c r="X408" i="44" s="1"/>
  <c r="S408" i="44"/>
  <c r="P408" i="44"/>
  <c r="AM407" i="44"/>
  <c r="AL407" i="44"/>
  <c r="AK407" i="44"/>
  <c r="AJ407" i="44"/>
  <c r="AI407" i="44"/>
  <c r="W407" i="44"/>
  <c r="X407" i="44" s="1"/>
  <c r="S407" i="44"/>
  <c r="P407" i="44"/>
  <c r="AE214" i="44"/>
  <c r="AE213" i="44"/>
  <c r="AE212" i="44"/>
  <c r="AG212" i="44" s="1"/>
  <c r="AE211" i="44"/>
  <c r="AG211" i="44" s="1"/>
  <c r="AE210" i="44"/>
  <c r="AG210" i="44" s="1"/>
  <c r="AE209" i="44"/>
  <c r="AG209" i="44" s="1"/>
  <c r="AE200" i="44"/>
  <c r="AG200" i="44" s="1"/>
  <c r="AE199" i="44"/>
  <c r="AG199" i="44" s="1"/>
  <c r="AE198" i="44"/>
  <c r="AG198" i="44" s="1"/>
  <c r="AE197" i="44"/>
  <c r="AG197" i="44" s="1"/>
  <c r="AE196" i="44"/>
  <c r="AG196" i="44" s="1"/>
  <c r="AE195" i="44"/>
  <c r="AG195" i="44" s="1"/>
  <c r="AI7" i="50" l="1"/>
  <c r="AI9" i="50" s="1"/>
  <c r="AI11" i="50" s="1"/>
  <c r="AI12" i="50" s="1"/>
  <c r="AG414" i="44"/>
  <c r="AH414" i="44" s="1"/>
  <c r="AG213" i="44"/>
  <c r="AG214" i="44"/>
  <c r="AD407" i="44"/>
  <c r="AG407" i="44" s="1"/>
  <c r="AH407" i="44" s="1"/>
  <c r="AD408" i="44"/>
  <c r="AG408" i="44" s="1"/>
  <c r="AN408" i="44"/>
  <c r="AN410" i="44"/>
  <c r="Z413" i="44"/>
  <c r="Z412" i="44"/>
  <c r="Z411" i="44"/>
  <c r="AB414" i="44"/>
  <c r="AB408" i="44"/>
  <c r="AA407" i="44"/>
  <c r="AB410" i="44"/>
  <c r="AN412" i="44"/>
  <c r="AN411" i="44"/>
  <c r="AN409" i="44"/>
  <c r="AN414" i="44"/>
  <c r="AN407" i="44"/>
  <c r="AN413" i="44"/>
  <c r="Z408" i="44"/>
  <c r="Z410" i="44"/>
  <c r="AA408" i="44"/>
  <c r="AA409" i="44"/>
  <c r="AA410" i="44"/>
  <c r="AA411" i="44"/>
  <c r="AA412" i="44"/>
  <c r="AA413" i="44"/>
  <c r="AB407" i="44"/>
  <c r="AB409" i="44"/>
  <c r="AB411" i="44"/>
  <c r="AB412" i="44"/>
  <c r="Z407" i="44"/>
  <c r="Z409" i="44"/>
  <c r="AA414" i="44"/>
  <c r="AB413" i="44"/>
  <c r="Z414" i="44"/>
  <c r="AH408" i="44" l="1"/>
  <c r="AH448" i="44" s="1"/>
  <c r="AO408" i="44"/>
  <c r="AO412" i="44"/>
  <c r="AO410" i="44"/>
  <c r="AO413" i="44"/>
  <c r="AO411" i="44"/>
  <c r="AO414" i="44"/>
  <c r="AO409" i="44"/>
  <c r="AO407" i="44"/>
  <c r="AP407" i="44" l="1"/>
  <c r="AW407" i="44" s="1"/>
  <c r="AP411" i="44"/>
  <c r="AW411" i="44" s="1"/>
  <c r="AP409" i="44"/>
  <c r="AW409" i="44" s="1"/>
  <c r="AP413" i="44"/>
  <c r="AW413" i="44" s="1"/>
  <c r="AP410" i="44"/>
  <c r="AW410" i="44" s="1"/>
  <c r="AP412" i="44"/>
  <c r="AW412" i="44" s="1"/>
  <c r="AP408" i="44"/>
  <c r="AP414" i="44"/>
  <c r="AW414" i="44" s="1"/>
  <c r="AX408" i="44" l="1"/>
  <c r="AW408" i="44"/>
  <c r="AX410" i="44"/>
  <c r="AR413" i="44"/>
  <c r="AS413" i="44" s="1"/>
  <c r="AX407" i="44"/>
  <c r="AQ407" i="44"/>
  <c r="AR409" i="44"/>
  <c r="AS409" i="44" s="1"/>
  <c r="AQ409" i="44"/>
  <c r="AR411" i="44"/>
  <c r="AS411" i="44" s="1"/>
  <c r="AV409" i="44"/>
  <c r="AV411" i="44"/>
  <c r="AX411" i="44"/>
  <c r="AQ411" i="44"/>
  <c r="AR407" i="44"/>
  <c r="AS407" i="44" s="1"/>
  <c r="AV407" i="44"/>
  <c r="AQ413" i="44"/>
  <c r="AR408" i="44"/>
  <c r="AS408" i="44" s="1"/>
  <c r="AV413" i="44"/>
  <c r="AR412" i="44"/>
  <c r="AS412" i="44" s="1"/>
  <c r="AQ414" i="44"/>
  <c r="AV414" i="44"/>
  <c r="AR414" i="44"/>
  <c r="AS414" i="44" s="1"/>
  <c r="AV412" i="44"/>
  <c r="AX414" i="44"/>
  <c r="AX412" i="44"/>
  <c r="AV408" i="44"/>
  <c r="AQ412" i="44"/>
  <c r="AQ408" i="44"/>
  <c r="AR410" i="44"/>
  <c r="AS410" i="44" s="1"/>
  <c r="AX413" i="44"/>
  <c r="AX409" i="44"/>
  <c r="AV410" i="44"/>
  <c r="AQ410" i="44"/>
  <c r="AV40" i="50" l="1"/>
  <c r="AS40" i="50"/>
  <c r="BA40" i="50"/>
  <c r="O38" i="50" l="1"/>
  <c r="O48" i="50" s="1"/>
  <c r="O50" i="50" s="1"/>
  <c r="O52" i="50" s="1"/>
  <c r="O54" i="50" s="1"/>
  <c r="BA38" i="50"/>
  <c r="AZ38" i="50"/>
  <c r="AK36" i="50" l="1"/>
  <c r="AJ36" i="50"/>
  <c r="AW38" i="50"/>
  <c r="AT38" i="50"/>
  <c r="AU38" i="50"/>
  <c r="AR38" i="50"/>
  <c r="AV38" i="50"/>
  <c r="AS38" i="50"/>
  <c r="AX38" i="50"/>
  <c r="AX48" i="50" s="1"/>
  <c r="AX50" i="50" s="1"/>
  <c r="AX52" i="50" s="1"/>
  <c r="AY38" i="50"/>
  <c r="AY48" i="50" s="1"/>
  <c r="AY50" i="50" s="1"/>
  <c r="AY52" i="50" s="1"/>
  <c r="AY54" i="50" s="1"/>
  <c r="AV42" i="50" l="1"/>
  <c r="AV48" i="50" s="1"/>
  <c r="AV50" i="50" s="1"/>
  <c r="AV52" i="50" s="1"/>
  <c r="AS42" i="50"/>
  <c r="Y42" i="50"/>
  <c r="Y48" i="50" s="1"/>
  <c r="Y50" i="50" s="1"/>
  <c r="Y52" i="50" s="1"/>
  <c r="Y58" i="50" s="1"/>
  <c r="Y64" i="50" s="1"/>
  <c r="AA42" i="50"/>
  <c r="AA48" i="50" s="1"/>
  <c r="AA50" i="50" s="1"/>
  <c r="AA52" i="50" s="1"/>
  <c r="AA58" i="50" s="1"/>
  <c r="AA64" i="50" s="1"/>
  <c r="BA42" i="50"/>
  <c r="BA48" i="50" s="1"/>
  <c r="BA50" i="50" s="1"/>
  <c r="BA52" i="50" s="1"/>
  <c r="BA54" i="50" s="1"/>
  <c r="AC42" i="50" l="1"/>
  <c r="X42" i="50"/>
  <c r="X48" i="50" s="1"/>
  <c r="X50" i="50" s="1"/>
  <c r="X52" i="50" s="1"/>
  <c r="Z42" i="50"/>
  <c r="Z48" i="50" s="1"/>
  <c r="Z50" i="50" s="1"/>
  <c r="Z52" i="50" s="1"/>
  <c r="W42" i="50"/>
  <c r="AB42" i="50"/>
  <c r="AZ42" i="50" l="1"/>
  <c r="AT42" i="50" l="1"/>
  <c r="AU42" i="50" l="1"/>
  <c r="AR42" i="50"/>
  <c r="AW42" i="50"/>
  <c r="W10" i="44" l="1"/>
  <c r="X10" i="44" s="1"/>
  <c r="W9" i="44"/>
  <c r="X9" i="44" s="1"/>
  <c r="W8" i="44"/>
  <c r="X8" i="44" s="1"/>
  <c r="W7" i="44"/>
  <c r="X7" i="44" s="1"/>
  <c r="AM40" i="50" l="1"/>
  <c r="U20" i="50"/>
  <c r="U22" i="50" s="1"/>
  <c r="U27" i="50" s="1"/>
  <c r="U33" i="50" s="1"/>
  <c r="AE20" i="50"/>
  <c r="AE22" i="50" s="1"/>
  <c r="AE27" i="50" s="1"/>
  <c r="AE29" i="50" s="1"/>
  <c r="AZ40" i="50"/>
  <c r="AX20" i="50" l="1"/>
  <c r="AX22" i="50" s="1"/>
  <c r="AX27" i="50" s="1"/>
  <c r="AX33" i="50" s="1"/>
  <c r="O20" i="50"/>
  <c r="O22" i="50" s="1"/>
  <c r="O27" i="50" s="1"/>
  <c r="O33" i="50" s="1"/>
  <c r="AL40" i="50"/>
  <c r="AI40" i="50"/>
  <c r="AH40" i="50"/>
  <c r="AH48" i="50" s="1"/>
  <c r="AH50" i="50" s="1"/>
  <c r="AH52" i="50" s="1"/>
  <c r="AH54" i="50" s="1"/>
  <c r="AG20" i="50"/>
  <c r="AG22" i="50" s="1"/>
  <c r="AG27" i="50" s="1"/>
  <c r="AG33" i="50" s="1"/>
  <c r="AT20" i="50"/>
  <c r="AT22" i="50" s="1"/>
  <c r="AT27" i="50" s="1"/>
  <c r="AT29" i="50" s="1"/>
  <c r="W23" i="44"/>
  <c r="X23" i="44" s="1"/>
  <c r="AM353" i="44"/>
  <c r="AL353" i="44"/>
  <c r="AK353" i="44"/>
  <c r="AJ353" i="44"/>
  <c r="AI353" i="44"/>
  <c r="W353" i="44"/>
  <c r="X353" i="44" s="1"/>
  <c r="S353" i="44"/>
  <c r="P353" i="44"/>
  <c r="N353" i="44"/>
  <c r="N347" i="44"/>
  <c r="N443" i="44"/>
  <c r="AM442" i="44"/>
  <c r="AL442" i="44"/>
  <c r="AK442" i="44"/>
  <c r="AJ442" i="44"/>
  <c r="AI442" i="44"/>
  <c r="W442" i="44"/>
  <c r="X442" i="44" s="1"/>
  <c r="S442" i="44"/>
  <c r="P442" i="44"/>
  <c r="N442" i="44"/>
  <c r="AM441" i="44"/>
  <c r="AL441" i="44"/>
  <c r="AK441" i="44"/>
  <c r="AJ441" i="44"/>
  <c r="AI441" i="44"/>
  <c r="W441" i="44"/>
  <c r="X441" i="44" s="1"/>
  <c r="S441" i="44"/>
  <c r="P441" i="44"/>
  <c r="N441" i="44"/>
  <c r="AM440" i="44"/>
  <c r="AL440" i="44"/>
  <c r="AK440" i="44"/>
  <c r="AJ440" i="44"/>
  <c r="AI440" i="44"/>
  <c r="W440" i="44"/>
  <c r="X440" i="44" s="1"/>
  <c r="S440" i="44"/>
  <c r="P440" i="44"/>
  <c r="N440" i="44"/>
  <c r="AM439" i="44"/>
  <c r="AL439" i="44"/>
  <c r="AK439" i="44"/>
  <c r="AJ439" i="44"/>
  <c r="AI439" i="44"/>
  <c r="W439" i="44"/>
  <c r="X439" i="44" s="1"/>
  <c r="S439" i="44"/>
  <c r="P439" i="44"/>
  <c r="N439" i="44"/>
  <c r="AM438" i="44"/>
  <c r="AL438" i="44"/>
  <c r="AK438" i="44"/>
  <c r="AJ438" i="44"/>
  <c r="AI438" i="44"/>
  <c r="W438" i="44"/>
  <c r="X438" i="44" s="1"/>
  <c r="S438" i="44"/>
  <c r="P438" i="44"/>
  <c r="N438" i="44"/>
  <c r="AM437" i="44"/>
  <c r="AL437" i="44"/>
  <c r="AK437" i="44"/>
  <c r="AJ437" i="44"/>
  <c r="AI437" i="44"/>
  <c r="W437" i="44"/>
  <c r="X437" i="44" s="1"/>
  <c r="S437" i="44"/>
  <c r="P437" i="44"/>
  <c r="N437" i="44"/>
  <c r="AM436" i="44"/>
  <c r="AL436" i="44"/>
  <c r="AK436" i="44"/>
  <c r="AJ436" i="44"/>
  <c r="AI436" i="44"/>
  <c r="W436" i="44"/>
  <c r="X436" i="44" s="1"/>
  <c r="S436" i="44"/>
  <c r="P436" i="44"/>
  <c r="N436" i="44"/>
  <c r="AM435" i="44"/>
  <c r="AL435" i="44"/>
  <c r="AK435" i="44"/>
  <c r="AJ435" i="44"/>
  <c r="AI435" i="44"/>
  <c r="W435" i="44"/>
  <c r="X435" i="44" s="1"/>
  <c r="S435" i="44"/>
  <c r="P435" i="44"/>
  <c r="N435" i="44"/>
  <c r="AM434" i="44"/>
  <c r="AL434" i="44"/>
  <c r="AK434" i="44"/>
  <c r="AJ434" i="44"/>
  <c r="AI434" i="44"/>
  <c r="W434" i="44"/>
  <c r="X434" i="44" s="1"/>
  <c r="S434" i="44"/>
  <c r="P434" i="44"/>
  <c r="N434" i="44"/>
  <c r="AM433" i="44"/>
  <c r="AL433" i="44"/>
  <c r="AK433" i="44"/>
  <c r="AJ433" i="44"/>
  <c r="AI433" i="44"/>
  <c r="W433" i="44"/>
  <c r="X433" i="44" s="1"/>
  <c r="S433" i="44"/>
  <c r="P433" i="44"/>
  <c r="N433" i="44"/>
  <c r="AM432" i="44"/>
  <c r="AL432" i="44"/>
  <c r="AK432" i="44"/>
  <c r="AJ432" i="44"/>
  <c r="AI432" i="44"/>
  <c r="W432" i="44"/>
  <c r="X432" i="44" s="1"/>
  <c r="S432" i="44"/>
  <c r="P432" i="44"/>
  <c r="N432" i="44"/>
  <c r="AM431" i="44"/>
  <c r="AL431" i="44"/>
  <c r="AK431" i="44"/>
  <c r="AJ431" i="44"/>
  <c r="AI431" i="44"/>
  <c r="W431" i="44"/>
  <c r="X431" i="44" s="1"/>
  <c r="S431" i="44"/>
  <c r="P431" i="44"/>
  <c r="N431" i="44"/>
  <c r="AM430" i="44"/>
  <c r="AL430" i="44"/>
  <c r="AK430" i="44"/>
  <c r="AJ430" i="44"/>
  <c r="AI430" i="44"/>
  <c r="W430" i="44"/>
  <c r="X430" i="44" s="1"/>
  <c r="S430" i="44"/>
  <c r="P430" i="44"/>
  <c r="N430" i="44"/>
  <c r="AM429" i="44"/>
  <c r="AL429" i="44"/>
  <c r="AK429" i="44"/>
  <c r="AJ429" i="44"/>
  <c r="AI429" i="44"/>
  <c r="W429" i="44"/>
  <c r="X429" i="44" s="1"/>
  <c r="S429" i="44"/>
  <c r="P429" i="44"/>
  <c r="N429" i="44"/>
  <c r="AM428" i="44"/>
  <c r="AL428" i="44"/>
  <c r="AK428" i="44"/>
  <c r="AJ428" i="44"/>
  <c r="AI428" i="44"/>
  <c r="W428" i="44"/>
  <c r="X428" i="44" s="1"/>
  <c r="S428" i="44"/>
  <c r="P428" i="44"/>
  <c r="N428" i="44"/>
  <c r="AM427" i="44"/>
  <c r="AL427" i="44"/>
  <c r="AK427" i="44"/>
  <c r="AJ427" i="44"/>
  <c r="AI427" i="44"/>
  <c r="W427" i="44"/>
  <c r="X427" i="44" s="1"/>
  <c r="S427" i="44"/>
  <c r="P427" i="44"/>
  <c r="N427" i="44"/>
  <c r="AM426" i="44"/>
  <c r="AL426" i="44"/>
  <c r="AK426" i="44"/>
  <c r="AJ426" i="44"/>
  <c r="AI426" i="44"/>
  <c r="W426" i="44"/>
  <c r="X426" i="44" s="1"/>
  <c r="S426" i="44"/>
  <c r="P426" i="44"/>
  <c r="N426" i="44"/>
  <c r="AM425" i="44"/>
  <c r="AL425" i="44"/>
  <c r="AK425" i="44"/>
  <c r="AJ425" i="44"/>
  <c r="AI425" i="44"/>
  <c r="W425" i="44"/>
  <c r="X425" i="44" s="1"/>
  <c r="S425" i="44"/>
  <c r="P425" i="44"/>
  <c r="N425" i="44"/>
  <c r="AM424" i="44"/>
  <c r="AL424" i="44"/>
  <c r="AK424" i="44"/>
  <c r="AJ424" i="44"/>
  <c r="AI424" i="44"/>
  <c r="W424" i="44"/>
  <c r="X424" i="44" s="1"/>
  <c r="S424" i="44"/>
  <c r="P424" i="44"/>
  <c r="N424" i="44"/>
  <c r="AM423" i="44"/>
  <c r="AL423" i="44"/>
  <c r="AK423" i="44"/>
  <c r="AJ423" i="44"/>
  <c r="AI423" i="44"/>
  <c r="W423" i="44"/>
  <c r="S423" i="44"/>
  <c r="P423" i="44"/>
  <c r="N423" i="44"/>
  <c r="AM422" i="44"/>
  <c r="AL422" i="44"/>
  <c r="AK422" i="44"/>
  <c r="AJ422" i="44"/>
  <c r="AI422" i="44"/>
  <c r="S422" i="44"/>
  <c r="P422" i="44"/>
  <c r="AM421" i="44"/>
  <c r="AL421" i="44"/>
  <c r="AK421" i="44"/>
  <c r="AJ421" i="44"/>
  <c r="AI421" i="44"/>
  <c r="W421" i="44"/>
  <c r="X421" i="44" s="1"/>
  <c r="S421" i="44"/>
  <c r="P421" i="44"/>
  <c r="N421" i="44"/>
  <c r="AM420" i="44"/>
  <c r="AL420" i="44"/>
  <c r="AK420" i="44"/>
  <c r="AJ420" i="44"/>
  <c r="AI420" i="44"/>
  <c r="W420" i="44"/>
  <c r="X420" i="44" s="1"/>
  <c r="S420" i="44"/>
  <c r="P420" i="44"/>
  <c r="N420" i="44"/>
  <c r="AM419" i="44"/>
  <c r="AL419" i="44"/>
  <c r="AK419" i="44"/>
  <c r="AJ419" i="44"/>
  <c r="AI419" i="44"/>
  <c r="W419" i="44"/>
  <c r="X419" i="44" s="1"/>
  <c r="S419" i="44"/>
  <c r="P419" i="44"/>
  <c r="N419" i="44"/>
  <c r="AM418" i="44"/>
  <c r="AL418" i="44"/>
  <c r="AK418" i="44"/>
  <c r="AJ418" i="44"/>
  <c r="AI418" i="44"/>
  <c r="W418" i="44"/>
  <c r="X418" i="44" s="1"/>
  <c r="S418" i="44"/>
  <c r="P418" i="44"/>
  <c r="N418" i="44"/>
  <c r="N369" i="44"/>
  <c r="N368" i="44"/>
  <c r="AM367" i="44"/>
  <c r="AL367" i="44"/>
  <c r="AK367" i="44"/>
  <c r="AJ367" i="44"/>
  <c r="AI367" i="44"/>
  <c r="W367" i="44"/>
  <c r="X367" i="44" s="1"/>
  <c r="S367" i="44"/>
  <c r="P367" i="44"/>
  <c r="N367" i="44"/>
  <c r="AM366" i="44"/>
  <c r="AL366" i="44"/>
  <c r="AK366" i="44"/>
  <c r="AJ366" i="44"/>
  <c r="AI366" i="44"/>
  <c r="W366" i="44"/>
  <c r="X366" i="44" s="1"/>
  <c r="S366" i="44"/>
  <c r="P366" i="44"/>
  <c r="N366" i="44"/>
  <c r="AM365" i="44"/>
  <c r="AL365" i="44"/>
  <c r="AK365" i="44"/>
  <c r="AJ365" i="44"/>
  <c r="AI365" i="44"/>
  <c r="W365" i="44"/>
  <c r="X365" i="44" s="1"/>
  <c r="S365" i="44"/>
  <c r="P365" i="44"/>
  <c r="N365" i="44"/>
  <c r="AM364" i="44"/>
  <c r="AL364" i="44"/>
  <c r="AK364" i="44"/>
  <c r="AJ364" i="44"/>
  <c r="AI364" i="44"/>
  <c r="W364" i="44"/>
  <c r="X364" i="44" s="1"/>
  <c r="S364" i="44"/>
  <c r="P364" i="44"/>
  <c r="N364" i="44"/>
  <c r="AM363" i="44"/>
  <c r="AL363" i="44"/>
  <c r="AK363" i="44"/>
  <c r="AJ363" i="44"/>
  <c r="AI363" i="44"/>
  <c r="W363" i="44"/>
  <c r="X363" i="44" s="1"/>
  <c r="S363" i="44"/>
  <c r="P363" i="44"/>
  <c r="N363" i="44"/>
  <c r="AM362" i="44"/>
  <c r="AL362" i="44"/>
  <c r="AK362" i="44"/>
  <c r="AJ362" i="44"/>
  <c r="AI362" i="44"/>
  <c r="W362" i="44"/>
  <c r="X362" i="44" s="1"/>
  <c r="S362" i="44"/>
  <c r="P362" i="44"/>
  <c r="N362" i="44"/>
  <c r="AM361" i="44"/>
  <c r="AL361" i="44"/>
  <c r="AK361" i="44"/>
  <c r="AJ361" i="44"/>
  <c r="AI361" i="44"/>
  <c r="W361" i="44"/>
  <c r="X361" i="44" s="1"/>
  <c r="S361" i="44"/>
  <c r="P361" i="44"/>
  <c r="N361" i="44"/>
  <c r="AM360" i="44"/>
  <c r="AL360" i="44"/>
  <c r="AK360" i="44"/>
  <c r="AJ360" i="44"/>
  <c r="AI360" i="44"/>
  <c r="W360" i="44"/>
  <c r="X360" i="44" s="1"/>
  <c r="S360" i="44"/>
  <c r="P360" i="44"/>
  <c r="N360" i="44"/>
  <c r="AM359" i="44"/>
  <c r="AL359" i="44"/>
  <c r="AK359" i="44"/>
  <c r="AJ359" i="44"/>
  <c r="AI359" i="44"/>
  <c r="W359" i="44"/>
  <c r="X359" i="44" s="1"/>
  <c r="S359" i="44"/>
  <c r="P359" i="44"/>
  <c r="N359" i="44"/>
  <c r="AM358" i="44"/>
  <c r="AL358" i="44"/>
  <c r="AK358" i="44"/>
  <c r="AJ358" i="44"/>
  <c r="AI358" i="44"/>
  <c r="W358" i="44"/>
  <c r="X358" i="44" s="1"/>
  <c r="S358" i="44"/>
  <c r="P358" i="44"/>
  <c r="N358" i="44"/>
  <c r="AM357" i="44"/>
  <c r="AL357" i="44"/>
  <c r="AK357" i="44"/>
  <c r="AJ357" i="44"/>
  <c r="AI357" i="44"/>
  <c r="W357" i="44"/>
  <c r="X357" i="44" s="1"/>
  <c r="S357" i="44"/>
  <c r="P357" i="44"/>
  <c r="N357" i="44"/>
  <c r="AM356" i="44"/>
  <c r="AL356" i="44"/>
  <c r="AK356" i="44"/>
  <c r="AJ356" i="44"/>
  <c r="AI356" i="44"/>
  <c r="W356" i="44"/>
  <c r="X356" i="44" s="1"/>
  <c r="S356" i="44"/>
  <c r="P356" i="44"/>
  <c r="N356" i="44"/>
  <c r="AM355" i="44"/>
  <c r="AL355" i="44"/>
  <c r="AK355" i="44"/>
  <c r="AJ355" i="44"/>
  <c r="AI355" i="44"/>
  <c r="W355" i="44"/>
  <c r="X355" i="44" s="1"/>
  <c r="S355" i="44"/>
  <c r="P355" i="44"/>
  <c r="N355" i="44"/>
  <c r="AM354" i="44"/>
  <c r="AL354" i="44"/>
  <c r="AK354" i="44"/>
  <c r="AJ354" i="44"/>
  <c r="AI354" i="44"/>
  <c r="W354" i="44"/>
  <c r="X354" i="44" s="1"/>
  <c r="S354" i="44"/>
  <c r="P354" i="44"/>
  <c r="N354" i="44"/>
  <c r="AM352" i="44"/>
  <c r="AL352" i="44"/>
  <c r="AK352" i="44"/>
  <c r="AJ352" i="44"/>
  <c r="AI352" i="44"/>
  <c r="W352" i="44"/>
  <c r="X352" i="44" s="1"/>
  <c r="S352" i="44"/>
  <c r="P352" i="44"/>
  <c r="N352" i="44"/>
  <c r="N350" i="44"/>
  <c r="N349" i="44"/>
  <c r="AM348" i="44"/>
  <c r="AL348" i="44"/>
  <c r="AK348" i="44"/>
  <c r="AJ348" i="44"/>
  <c r="AI348" i="44"/>
  <c r="S348" i="44"/>
  <c r="P348" i="44"/>
  <c r="N348" i="44"/>
  <c r="AM347" i="44"/>
  <c r="AL347" i="44"/>
  <c r="AK347" i="44"/>
  <c r="AJ347" i="44"/>
  <c r="AI347" i="44"/>
  <c r="W347" i="44"/>
  <c r="X347" i="44" s="1"/>
  <c r="S347" i="44"/>
  <c r="P347" i="44"/>
  <c r="AM315" i="44"/>
  <c r="AL315" i="44"/>
  <c r="AK315" i="44"/>
  <c r="AJ315" i="44"/>
  <c r="W315" i="44"/>
  <c r="X315" i="44" s="1"/>
  <c r="S315" i="44"/>
  <c r="P315" i="44"/>
  <c r="N315" i="44"/>
  <c r="AM314" i="44"/>
  <c r="AL314" i="44"/>
  <c r="AK314" i="44"/>
  <c r="AJ314" i="44"/>
  <c r="W314" i="44"/>
  <c r="X314" i="44" s="1"/>
  <c r="S314" i="44"/>
  <c r="P314" i="44"/>
  <c r="N314" i="44"/>
  <c r="AM312" i="44"/>
  <c r="AL312" i="44"/>
  <c r="AK312" i="44"/>
  <c r="AJ312" i="44"/>
  <c r="W312" i="44"/>
  <c r="X312" i="44" s="1"/>
  <c r="S312" i="44"/>
  <c r="P312" i="44"/>
  <c r="N312" i="44"/>
  <c r="AM311" i="44"/>
  <c r="AL311" i="44"/>
  <c r="AK311" i="44"/>
  <c r="AJ311" i="44"/>
  <c r="W311" i="44"/>
  <c r="X311" i="44" s="1"/>
  <c r="S311" i="44"/>
  <c r="P311" i="44"/>
  <c r="N311" i="44"/>
  <c r="AM310" i="44"/>
  <c r="AL310" i="44"/>
  <c r="AK310" i="44"/>
  <c r="AJ310" i="44"/>
  <c r="W310" i="44"/>
  <c r="X310" i="44" s="1"/>
  <c r="S310" i="44"/>
  <c r="P310" i="44"/>
  <c r="N310" i="44"/>
  <c r="AM308" i="44"/>
  <c r="AL308" i="44"/>
  <c r="AK308" i="44"/>
  <c r="AJ308" i="44"/>
  <c r="W308" i="44"/>
  <c r="X308" i="44" s="1"/>
  <c r="S308" i="44"/>
  <c r="P308" i="44"/>
  <c r="N308" i="44"/>
  <c r="AM307" i="44"/>
  <c r="AL307" i="44"/>
  <c r="AK307" i="44"/>
  <c r="AJ307" i="44"/>
  <c r="W307" i="44"/>
  <c r="X307" i="44" s="1"/>
  <c r="S307" i="44"/>
  <c r="P307" i="44"/>
  <c r="N307" i="44"/>
  <c r="AM302" i="44"/>
  <c r="AL302" i="44"/>
  <c r="AK302" i="44"/>
  <c r="AJ302" i="44"/>
  <c r="W302" i="44"/>
  <c r="X302" i="44" s="1"/>
  <c r="S302" i="44"/>
  <c r="P302" i="44"/>
  <c r="N302" i="44"/>
  <c r="AM301" i="44"/>
  <c r="AL301" i="44"/>
  <c r="AK301" i="44"/>
  <c r="AJ301" i="44"/>
  <c r="W301" i="44"/>
  <c r="X301" i="44" s="1"/>
  <c r="S301" i="44"/>
  <c r="P301" i="44"/>
  <c r="N301" i="44"/>
  <c r="AM299" i="44"/>
  <c r="AL299" i="44"/>
  <c r="AK299" i="44"/>
  <c r="AJ299" i="44"/>
  <c r="W299" i="44"/>
  <c r="X299" i="44" s="1"/>
  <c r="S299" i="44"/>
  <c r="P299" i="44"/>
  <c r="N299" i="44"/>
  <c r="AM298" i="44"/>
  <c r="AL298" i="44"/>
  <c r="AK298" i="44"/>
  <c r="AJ298" i="44"/>
  <c r="W298" i="44"/>
  <c r="X298" i="44" s="1"/>
  <c r="S298" i="44"/>
  <c r="P298" i="44"/>
  <c r="N298" i="44"/>
  <c r="AM297" i="44"/>
  <c r="AL297" i="44"/>
  <c r="AK297" i="44"/>
  <c r="AJ297" i="44"/>
  <c r="W297" i="44"/>
  <c r="X297" i="44" s="1"/>
  <c r="S297" i="44"/>
  <c r="P297" i="44"/>
  <c r="N297" i="44"/>
  <c r="AM295" i="44"/>
  <c r="AL295" i="44"/>
  <c r="AK295" i="44"/>
  <c r="AJ295" i="44"/>
  <c r="W295" i="44"/>
  <c r="X295" i="44" s="1"/>
  <c r="S295" i="44"/>
  <c r="P295" i="44"/>
  <c r="N295" i="44"/>
  <c r="N292" i="44"/>
  <c r="N291" i="44"/>
  <c r="N290" i="44"/>
  <c r="AM288" i="44"/>
  <c r="AL288" i="44"/>
  <c r="AK288" i="44"/>
  <c r="AJ288" i="44"/>
  <c r="AI288" i="44"/>
  <c r="W288" i="44"/>
  <c r="X288" i="44" s="1"/>
  <c r="S288" i="44"/>
  <c r="P288" i="44"/>
  <c r="N288" i="44"/>
  <c r="AM287" i="44"/>
  <c r="AL287" i="44"/>
  <c r="AK287" i="44"/>
  <c r="AJ287" i="44"/>
  <c r="AI287" i="44"/>
  <c r="W287" i="44"/>
  <c r="X287" i="44" s="1"/>
  <c r="S287" i="44"/>
  <c r="P287" i="44"/>
  <c r="N287" i="44"/>
  <c r="AM286" i="44"/>
  <c r="AL286" i="44"/>
  <c r="AK286" i="44"/>
  <c r="AJ286" i="44"/>
  <c r="AI286" i="44"/>
  <c r="W286" i="44"/>
  <c r="X286" i="44" s="1"/>
  <c r="S286" i="44"/>
  <c r="P286" i="44"/>
  <c r="N286" i="44"/>
  <c r="AM285" i="44"/>
  <c r="AL285" i="44"/>
  <c r="AK285" i="44"/>
  <c r="AJ285" i="44"/>
  <c r="AI285" i="44"/>
  <c r="W285" i="44"/>
  <c r="X285" i="44" s="1"/>
  <c r="S285" i="44"/>
  <c r="P285" i="44"/>
  <c r="N285" i="44"/>
  <c r="AM284" i="44"/>
  <c r="AL284" i="44"/>
  <c r="AK284" i="44"/>
  <c r="AJ284" i="44"/>
  <c r="AI284" i="44"/>
  <c r="W284" i="44"/>
  <c r="X284" i="44" s="1"/>
  <c r="S284" i="44"/>
  <c r="P284" i="44"/>
  <c r="N284" i="44"/>
  <c r="AM283" i="44"/>
  <c r="AL283" i="44"/>
  <c r="AK283" i="44"/>
  <c r="AJ283" i="44"/>
  <c r="AI283" i="44"/>
  <c r="W283" i="44"/>
  <c r="X283" i="44" s="1"/>
  <c r="S283" i="44"/>
  <c r="P283" i="44"/>
  <c r="N283" i="44"/>
  <c r="AM282" i="44"/>
  <c r="AL282" i="44"/>
  <c r="AK282" i="44"/>
  <c r="AJ282" i="44"/>
  <c r="AI282" i="44"/>
  <c r="W282" i="44"/>
  <c r="X282" i="44" s="1"/>
  <c r="S282" i="44"/>
  <c r="P282" i="44"/>
  <c r="N282" i="44"/>
  <c r="AM281" i="44"/>
  <c r="AL281" i="44"/>
  <c r="AK281" i="44"/>
  <c r="AJ281" i="44"/>
  <c r="AI281" i="44"/>
  <c r="W281" i="44"/>
  <c r="X281" i="44" s="1"/>
  <c r="S281" i="44"/>
  <c r="P281" i="44"/>
  <c r="N281" i="44"/>
  <c r="AM280" i="44"/>
  <c r="AL280" i="44"/>
  <c r="AK280" i="44"/>
  <c r="AJ280" i="44"/>
  <c r="AI280" i="44"/>
  <c r="W280" i="44"/>
  <c r="X280" i="44" s="1"/>
  <c r="S280" i="44"/>
  <c r="P280" i="44"/>
  <c r="N280" i="44"/>
  <c r="AM264" i="44"/>
  <c r="AL264" i="44"/>
  <c r="AK264" i="44"/>
  <c r="AJ264" i="44"/>
  <c r="AI264" i="44"/>
  <c r="W264" i="44"/>
  <c r="X264" i="44" s="1"/>
  <c r="S264" i="44"/>
  <c r="P264" i="44"/>
  <c r="N264" i="44"/>
  <c r="AM263" i="44"/>
  <c r="AL263" i="44"/>
  <c r="AK263" i="44"/>
  <c r="AJ263" i="44"/>
  <c r="AI263" i="44"/>
  <c r="W263" i="44"/>
  <c r="X263" i="44" s="1"/>
  <c r="S263" i="44"/>
  <c r="P263" i="44"/>
  <c r="N263" i="44"/>
  <c r="AM262" i="44"/>
  <c r="AL262" i="44"/>
  <c r="AK262" i="44"/>
  <c r="AJ262" i="44"/>
  <c r="AI262" i="44"/>
  <c r="W262" i="44"/>
  <c r="X262" i="44" s="1"/>
  <c r="S262" i="44"/>
  <c r="P262" i="44"/>
  <c r="N262" i="44"/>
  <c r="AM261" i="44"/>
  <c r="AL261" i="44"/>
  <c r="AK261" i="44"/>
  <c r="AJ261" i="44"/>
  <c r="AI261" i="44"/>
  <c r="W261" i="44"/>
  <c r="X261" i="44" s="1"/>
  <c r="S261" i="44"/>
  <c r="P261" i="44"/>
  <c r="N261" i="44"/>
  <c r="AM260" i="44"/>
  <c r="AL260" i="44"/>
  <c r="AK260" i="44"/>
  <c r="AJ260" i="44"/>
  <c r="AI260" i="44"/>
  <c r="W260" i="44"/>
  <c r="X260" i="44" s="1"/>
  <c r="S260" i="44"/>
  <c r="P260" i="44"/>
  <c r="N260" i="44"/>
  <c r="AM259" i="44"/>
  <c r="AL259" i="44"/>
  <c r="AK259" i="44"/>
  <c r="AJ259" i="44"/>
  <c r="AI259" i="44"/>
  <c r="W259" i="44"/>
  <c r="X259" i="44" s="1"/>
  <c r="S259" i="44"/>
  <c r="P259" i="44"/>
  <c r="N259" i="44"/>
  <c r="AM258" i="44"/>
  <c r="AL258" i="44"/>
  <c r="AK258" i="44"/>
  <c r="AJ258" i="44"/>
  <c r="AI258" i="44"/>
  <c r="W258" i="44"/>
  <c r="X258" i="44" s="1"/>
  <c r="S258" i="44"/>
  <c r="P258" i="44"/>
  <c r="N258" i="44"/>
  <c r="AM257" i="44"/>
  <c r="AL257" i="44"/>
  <c r="AK257" i="44"/>
  <c r="AJ257" i="44"/>
  <c r="AI257" i="44"/>
  <c r="W257" i="44"/>
  <c r="X257" i="44" s="1"/>
  <c r="S257" i="44"/>
  <c r="P257" i="44"/>
  <c r="AM256" i="44"/>
  <c r="AL256" i="44"/>
  <c r="AK256" i="44"/>
  <c r="AJ256" i="44"/>
  <c r="AI256" i="44"/>
  <c r="W256" i="44"/>
  <c r="X256" i="44" s="1"/>
  <c r="S256" i="44"/>
  <c r="P256" i="44"/>
  <c r="N256" i="44"/>
  <c r="AM255" i="44"/>
  <c r="AL255" i="44"/>
  <c r="AK255" i="44"/>
  <c r="AJ255" i="44"/>
  <c r="AI255" i="44"/>
  <c r="W255" i="44"/>
  <c r="X255" i="44" s="1"/>
  <c r="S255" i="44"/>
  <c r="P255" i="44"/>
  <c r="N255" i="44"/>
  <c r="AM254" i="44"/>
  <c r="AL254" i="44"/>
  <c r="AK254" i="44"/>
  <c r="AJ254" i="44"/>
  <c r="AI254" i="44"/>
  <c r="W254" i="44"/>
  <c r="X254" i="44" s="1"/>
  <c r="S254" i="44"/>
  <c r="P254" i="44"/>
  <c r="N254" i="44"/>
  <c r="AM253" i="44"/>
  <c r="AL253" i="44"/>
  <c r="AK253" i="44"/>
  <c r="AJ253" i="44"/>
  <c r="AI253" i="44"/>
  <c r="W253" i="44"/>
  <c r="X253" i="44" s="1"/>
  <c r="S253" i="44"/>
  <c r="P253" i="44"/>
  <c r="N253" i="44"/>
  <c r="AM251" i="44"/>
  <c r="AL251" i="44"/>
  <c r="AK251" i="44"/>
  <c r="AJ251" i="44"/>
  <c r="AI251" i="44"/>
  <c r="W251" i="44"/>
  <c r="X251" i="44" s="1"/>
  <c r="S251" i="44"/>
  <c r="P251" i="44"/>
  <c r="N251" i="44"/>
  <c r="AM249" i="44"/>
  <c r="AL249" i="44"/>
  <c r="AK249" i="44"/>
  <c r="AJ249" i="44"/>
  <c r="AI249" i="44"/>
  <c r="W249" i="44"/>
  <c r="X249" i="44" s="1"/>
  <c r="S249" i="44"/>
  <c r="P249" i="44"/>
  <c r="N249" i="44"/>
  <c r="AM248" i="44"/>
  <c r="AL248" i="44"/>
  <c r="AK248" i="44"/>
  <c r="AJ248" i="44"/>
  <c r="AI248" i="44"/>
  <c r="W248" i="44"/>
  <c r="X248" i="44" s="1"/>
  <c r="S248" i="44"/>
  <c r="P248" i="44"/>
  <c r="N248" i="44"/>
  <c r="AM247" i="44"/>
  <c r="AL247" i="44"/>
  <c r="AK247" i="44"/>
  <c r="AJ247" i="44"/>
  <c r="AI247" i="44"/>
  <c r="W247" i="44"/>
  <c r="X247" i="44" s="1"/>
  <c r="S247" i="44"/>
  <c r="P247" i="44"/>
  <c r="N247" i="44"/>
  <c r="AM237" i="44"/>
  <c r="AL237" i="44"/>
  <c r="AK237" i="44"/>
  <c r="AJ237" i="44"/>
  <c r="AI237" i="44"/>
  <c r="W237" i="44"/>
  <c r="X237" i="44" s="1"/>
  <c r="S237" i="44"/>
  <c r="P237" i="44"/>
  <c r="N237" i="44"/>
  <c r="AM236" i="44"/>
  <c r="AL236" i="44"/>
  <c r="AK236" i="44"/>
  <c r="AJ236" i="44"/>
  <c r="AI236" i="44"/>
  <c r="W236" i="44"/>
  <c r="X236" i="44" s="1"/>
  <c r="S236" i="44"/>
  <c r="P236" i="44"/>
  <c r="N236" i="44"/>
  <c r="AM235" i="44"/>
  <c r="AL235" i="44"/>
  <c r="AK235" i="44"/>
  <c r="AJ235" i="44"/>
  <c r="AI235" i="44"/>
  <c r="W235" i="44"/>
  <c r="X235" i="44" s="1"/>
  <c r="S235" i="44"/>
  <c r="P235" i="44"/>
  <c r="N235" i="44"/>
  <c r="AM234" i="44"/>
  <c r="AL234" i="44"/>
  <c r="AK234" i="44"/>
  <c r="AJ234" i="44"/>
  <c r="AI234" i="44"/>
  <c r="W234" i="44"/>
  <c r="X234" i="44" s="1"/>
  <c r="S234" i="44"/>
  <c r="P234" i="44"/>
  <c r="N234" i="44"/>
  <c r="AM233" i="44"/>
  <c r="AL233" i="44"/>
  <c r="AK233" i="44"/>
  <c r="AJ233" i="44"/>
  <c r="AI233" i="44"/>
  <c r="W233" i="44"/>
  <c r="X233" i="44" s="1"/>
  <c r="S233" i="44"/>
  <c r="P233" i="44"/>
  <c r="N233" i="44"/>
  <c r="AM232" i="44"/>
  <c r="AL232" i="44"/>
  <c r="AK232" i="44"/>
  <c r="AJ232" i="44"/>
  <c r="AI232" i="44"/>
  <c r="W232" i="44"/>
  <c r="X232" i="44" s="1"/>
  <c r="S232" i="44"/>
  <c r="P232" i="44"/>
  <c r="N232" i="44"/>
  <c r="AM231" i="44"/>
  <c r="AL231" i="44"/>
  <c r="AK231" i="44"/>
  <c r="AJ231" i="44"/>
  <c r="AI231" i="44"/>
  <c r="W231" i="44"/>
  <c r="X231" i="44" s="1"/>
  <c r="S231" i="44"/>
  <c r="P231" i="44"/>
  <c r="N231" i="44"/>
  <c r="AM230" i="44"/>
  <c r="AL230" i="44"/>
  <c r="AK230" i="44"/>
  <c r="AJ230" i="44"/>
  <c r="AI230" i="44"/>
  <c r="W230" i="44"/>
  <c r="X230" i="44" s="1"/>
  <c r="S230" i="44"/>
  <c r="P230" i="44"/>
  <c r="AM229" i="44"/>
  <c r="AL229" i="44"/>
  <c r="AK229" i="44"/>
  <c r="AJ229" i="44"/>
  <c r="AI229" i="44"/>
  <c r="W229" i="44"/>
  <c r="X229" i="44" s="1"/>
  <c r="S229" i="44"/>
  <c r="P229" i="44"/>
  <c r="N229" i="44"/>
  <c r="AM228" i="44"/>
  <c r="AL228" i="44"/>
  <c r="AK228" i="44"/>
  <c r="AJ228" i="44"/>
  <c r="AI228" i="44"/>
  <c r="W228" i="44"/>
  <c r="X228" i="44" s="1"/>
  <c r="S228" i="44"/>
  <c r="P228" i="44"/>
  <c r="N228" i="44"/>
  <c r="AM227" i="44"/>
  <c r="AL227" i="44"/>
  <c r="AK227" i="44"/>
  <c r="AJ227" i="44"/>
  <c r="AI227" i="44"/>
  <c r="W227" i="44"/>
  <c r="X227" i="44" s="1"/>
  <c r="S227" i="44"/>
  <c r="P227" i="44"/>
  <c r="N227" i="44"/>
  <c r="AM226" i="44"/>
  <c r="AL226" i="44"/>
  <c r="AK226" i="44"/>
  <c r="AJ226" i="44"/>
  <c r="AI226" i="44"/>
  <c r="W226" i="44"/>
  <c r="X226" i="44" s="1"/>
  <c r="S226" i="44"/>
  <c r="P226" i="44"/>
  <c r="N226" i="44"/>
  <c r="AM225" i="44"/>
  <c r="AL225" i="44"/>
  <c r="AK225" i="44"/>
  <c r="AJ225" i="44"/>
  <c r="AI225" i="44"/>
  <c r="W225" i="44"/>
  <c r="X225" i="44" s="1"/>
  <c r="S225" i="44"/>
  <c r="P225" i="44"/>
  <c r="N225" i="44"/>
  <c r="AM224" i="44"/>
  <c r="AL224" i="44"/>
  <c r="AK224" i="44"/>
  <c r="AJ224" i="44"/>
  <c r="AI224" i="44"/>
  <c r="W224" i="44"/>
  <c r="X224" i="44" s="1"/>
  <c r="S224" i="44"/>
  <c r="P224" i="44"/>
  <c r="N224" i="44"/>
  <c r="AM223" i="44"/>
  <c r="AL223" i="44"/>
  <c r="AK223" i="44"/>
  <c r="AJ223" i="44"/>
  <c r="AI223" i="44"/>
  <c r="W223" i="44"/>
  <c r="X223" i="44" s="1"/>
  <c r="S223" i="44"/>
  <c r="P223" i="44"/>
  <c r="N223" i="44"/>
  <c r="AM222" i="44"/>
  <c r="AL222" i="44"/>
  <c r="AK222" i="44"/>
  <c r="AJ222" i="44"/>
  <c r="AI222" i="44"/>
  <c r="S222" i="44"/>
  <c r="P222" i="44"/>
  <c r="N222" i="44"/>
  <c r="AM221" i="44"/>
  <c r="AL221" i="44"/>
  <c r="AK221" i="44"/>
  <c r="AJ221" i="44"/>
  <c r="AI221" i="44"/>
  <c r="W221" i="44"/>
  <c r="X221" i="44" s="1"/>
  <c r="S221" i="44"/>
  <c r="P221" i="44"/>
  <c r="N221" i="44"/>
  <c r="AM220" i="44"/>
  <c r="AL220" i="44"/>
  <c r="AK220" i="44"/>
  <c r="AJ220" i="44"/>
  <c r="AI220" i="44"/>
  <c r="W220" i="44"/>
  <c r="X220" i="44" s="1"/>
  <c r="S220" i="44"/>
  <c r="P220" i="44"/>
  <c r="N220" i="44"/>
  <c r="AM219" i="44"/>
  <c r="AL219" i="44"/>
  <c r="AK219" i="44"/>
  <c r="AJ219" i="44"/>
  <c r="AI219" i="44"/>
  <c r="W219" i="44"/>
  <c r="X219" i="44" s="1"/>
  <c r="S219" i="44"/>
  <c r="P219" i="44"/>
  <c r="N219" i="44"/>
  <c r="AM218" i="44"/>
  <c r="AL218" i="44"/>
  <c r="AK218" i="44"/>
  <c r="AJ218" i="44"/>
  <c r="AI218" i="44"/>
  <c r="S218" i="44"/>
  <c r="P218" i="44"/>
  <c r="N218" i="44"/>
  <c r="AM217" i="44"/>
  <c r="AL217" i="44"/>
  <c r="AK217" i="44"/>
  <c r="AJ217" i="44"/>
  <c r="AI217" i="44"/>
  <c r="W217" i="44"/>
  <c r="X217" i="44" s="1"/>
  <c r="S217" i="44"/>
  <c r="P217" i="44"/>
  <c r="N217" i="44"/>
  <c r="AM216" i="44"/>
  <c r="AL216" i="44"/>
  <c r="AK216" i="44"/>
  <c r="AJ216" i="44"/>
  <c r="AI216" i="44"/>
  <c r="W216" i="44"/>
  <c r="X216" i="44" s="1"/>
  <c r="S216" i="44"/>
  <c r="P216" i="44"/>
  <c r="N216" i="44"/>
  <c r="AM214" i="44"/>
  <c r="AL214" i="44"/>
  <c r="AK214" i="44"/>
  <c r="AJ214" i="44"/>
  <c r="AI214" i="44"/>
  <c r="W214" i="44"/>
  <c r="X214" i="44" s="1"/>
  <c r="S214" i="44"/>
  <c r="P214" i="44"/>
  <c r="N214" i="44"/>
  <c r="AM213" i="44"/>
  <c r="AL213" i="44"/>
  <c r="AK213" i="44"/>
  <c r="AJ213" i="44"/>
  <c r="AI213" i="44"/>
  <c r="W213" i="44"/>
  <c r="X213" i="44" s="1"/>
  <c r="S213" i="44"/>
  <c r="P213" i="44"/>
  <c r="N213" i="44"/>
  <c r="AM212" i="44"/>
  <c r="AL212" i="44"/>
  <c r="AK212" i="44"/>
  <c r="AJ212" i="44"/>
  <c r="AI212" i="44"/>
  <c r="W212" i="44"/>
  <c r="X212" i="44" s="1"/>
  <c r="S212" i="44"/>
  <c r="P212" i="44"/>
  <c r="N212" i="44"/>
  <c r="AM211" i="44"/>
  <c r="AL211" i="44"/>
  <c r="AK211" i="44"/>
  <c r="AJ211" i="44"/>
  <c r="AI211" i="44"/>
  <c r="W211" i="44"/>
  <c r="X211" i="44" s="1"/>
  <c r="S211" i="44"/>
  <c r="P211" i="44"/>
  <c r="N211" i="44"/>
  <c r="AM210" i="44"/>
  <c r="AL210" i="44"/>
  <c r="AK210" i="44"/>
  <c r="AJ210" i="44"/>
  <c r="AI210" i="44"/>
  <c r="W210" i="44"/>
  <c r="X210" i="44" s="1"/>
  <c r="S210" i="44"/>
  <c r="P210" i="44"/>
  <c r="N210" i="44"/>
  <c r="AM209" i="44"/>
  <c r="AL209" i="44"/>
  <c r="AK209" i="44"/>
  <c r="AJ209" i="44"/>
  <c r="AI209" i="44"/>
  <c r="W209" i="44"/>
  <c r="X209" i="44" s="1"/>
  <c r="S209" i="44"/>
  <c r="P209" i="44"/>
  <c r="N209" i="44"/>
  <c r="AM208" i="44"/>
  <c r="AL208" i="44"/>
  <c r="AK208" i="44"/>
  <c r="AJ208" i="44"/>
  <c r="AI208" i="44"/>
  <c r="W208" i="44"/>
  <c r="X208" i="44" s="1"/>
  <c r="S208" i="44"/>
  <c r="P208" i="44"/>
  <c r="N208" i="44"/>
  <c r="AM200" i="44"/>
  <c r="AL200" i="44"/>
  <c r="AK200" i="44"/>
  <c r="AJ200" i="44"/>
  <c r="AI200" i="44"/>
  <c r="W200" i="44"/>
  <c r="X200" i="44" s="1"/>
  <c r="S200" i="44"/>
  <c r="P200" i="44"/>
  <c r="N200" i="44"/>
  <c r="AM199" i="44"/>
  <c r="AL199" i="44"/>
  <c r="AK199" i="44"/>
  <c r="AJ199" i="44"/>
  <c r="AI199" i="44"/>
  <c r="W199" i="44"/>
  <c r="X199" i="44" s="1"/>
  <c r="S199" i="44"/>
  <c r="P199" i="44"/>
  <c r="N199" i="44"/>
  <c r="AM198" i="44"/>
  <c r="AL198" i="44"/>
  <c r="AK198" i="44"/>
  <c r="AJ198" i="44"/>
  <c r="AI198" i="44"/>
  <c r="W198" i="44"/>
  <c r="X198" i="44" s="1"/>
  <c r="S198" i="44"/>
  <c r="P198" i="44"/>
  <c r="N198" i="44"/>
  <c r="AM197" i="44"/>
  <c r="AL197" i="44"/>
  <c r="AK197" i="44"/>
  <c r="AJ197" i="44"/>
  <c r="AI197" i="44"/>
  <c r="W197" i="44"/>
  <c r="X197" i="44" s="1"/>
  <c r="S197" i="44"/>
  <c r="P197" i="44"/>
  <c r="N197" i="44"/>
  <c r="AM196" i="44"/>
  <c r="AL196" i="44"/>
  <c r="AK196" i="44"/>
  <c r="AJ196" i="44"/>
  <c r="AI196" i="44"/>
  <c r="W196" i="44"/>
  <c r="X196" i="44" s="1"/>
  <c r="S196" i="44"/>
  <c r="P196" i="44"/>
  <c r="N196" i="44"/>
  <c r="AM195" i="44"/>
  <c r="AL195" i="44"/>
  <c r="AK195" i="44"/>
  <c r="AJ195" i="44"/>
  <c r="AI195" i="44"/>
  <c r="W195" i="44"/>
  <c r="X195" i="44" s="1"/>
  <c r="S195" i="44"/>
  <c r="P195" i="44"/>
  <c r="N195" i="44"/>
  <c r="AM193" i="44"/>
  <c r="AL193" i="44"/>
  <c r="AK193" i="44"/>
  <c r="AJ193" i="44"/>
  <c r="AI193" i="44"/>
  <c r="W193" i="44"/>
  <c r="X193" i="44" s="1"/>
  <c r="S193" i="44"/>
  <c r="P193" i="44"/>
  <c r="N193" i="44"/>
  <c r="AM191" i="44"/>
  <c r="AL191" i="44"/>
  <c r="AK191" i="44"/>
  <c r="AJ191" i="44"/>
  <c r="AI191" i="44"/>
  <c r="W191" i="44"/>
  <c r="X191" i="44" s="1"/>
  <c r="S191" i="44"/>
  <c r="P191" i="44"/>
  <c r="N191" i="44"/>
  <c r="AM189" i="44"/>
  <c r="AL189" i="44"/>
  <c r="AK189" i="44"/>
  <c r="AJ189" i="44"/>
  <c r="AI189" i="44"/>
  <c r="W189" i="44"/>
  <c r="X189" i="44" s="1"/>
  <c r="S189" i="44"/>
  <c r="P189" i="44"/>
  <c r="N189" i="44"/>
  <c r="AM188" i="44"/>
  <c r="AL188" i="44"/>
  <c r="AK188" i="44"/>
  <c r="AJ188" i="44"/>
  <c r="AI188" i="44"/>
  <c r="W188" i="44"/>
  <c r="X188" i="44" s="1"/>
  <c r="S188" i="44"/>
  <c r="P188" i="44"/>
  <c r="N188" i="44"/>
  <c r="AH20" i="50" l="1"/>
  <c r="AH22" i="50" s="1"/>
  <c r="AH27" i="50" s="1"/>
  <c r="AH33" i="50" s="1"/>
  <c r="K20" i="50"/>
  <c r="K22" i="50" s="1"/>
  <c r="K27" i="50" s="1"/>
  <c r="K33" i="50" s="1"/>
  <c r="L20" i="50"/>
  <c r="L22" i="50" s="1"/>
  <c r="L27" i="50" s="1"/>
  <c r="L33" i="50" s="1"/>
  <c r="R20" i="50"/>
  <c r="R22" i="50" s="1"/>
  <c r="R27" i="50" s="1"/>
  <c r="R31" i="50" s="1"/>
  <c r="M20" i="50"/>
  <c r="M22" i="50" s="1"/>
  <c r="M27" i="50" s="1"/>
  <c r="M33" i="50" s="1"/>
  <c r="AJ40" i="50"/>
  <c r="AJ48" i="50" s="1"/>
  <c r="AJ50" i="50" s="1"/>
  <c r="AJ52" i="50" s="1"/>
  <c r="AJ54" i="50" s="1"/>
  <c r="AK40" i="50"/>
  <c r="AK48" i="50" s="1"/>
  <c r="AK50" i="50" s="1"/>
  <c r="AK52" i="50" s="1"/>
  <c r="AK54" i="50" s="1"/>
  <c r="O208" i="44"/>
  <c r="O218" i="44"/>
  <c r="O196" i="44"/>
  <c r="O227" i="44"/>
  <c r="O231" i="44"/>
  <c r="O251" i="44"/>
  <c r="O188" i="44"/>
  <c r="O260" i="44"/>
  <c r="O299" i="44"/>
  <c r="O211" i="44"/>
  <c r="O217" i="44"/>
  <c r="O195" i="44"/>
  <c r="O230" i="44"/>
  <c r="O249" i="44"/>
  <c r="O216" i="44"/>
  <c r="O259" i="44"/>
  <c r="O220" i="44"/>
  <c r="O210" i="44"/>
  <c r="O193" i="44"/>
  <c r="O198" i="44"/>
  <c r="O229" i="44"/>
  <c r="O248" i="44"/>
  <c r="O308" i="44"/>
  <c r="O219" i="44"/>
  <c r="O209" i="44"/>
  <c r="O258" i="44"/>
  <c r="O295" i="44"/>
  <c r="O312" i="44"/>
  <c r="O191" i="44"/>
  <c r="O197" i="44"/>
  <c r="O228" i="44"/>
  <c r="O247" i="44"/>
  <c r="O253" i="44"/>
  <c r="O261" i="44"/>
  <c r="AE40" i="50"/>
  <c r="AE48" i="50" s="1"/>
  <c r="AE50" i="50" s="1"/>
  <c r="AE52" i="50" s="1"/>
  <c r="AE54" i="50" s="1"/>
  <c r="X423" i="44"/>
  <c r="AF40" i="50"/>
  <c r="AF48" i="50" s="1"/>
  <c r="AF50" i="50" s="1"/>
  <c r="AF52" i="50" s="1"/>
  <c r="AF54" i="50" s="1"/>
  <c r="AC40" i="50"/>
  <c r="AD40" i="50"/>
  <c r="AG40" i="50"/>
  <c r="T20" i="50"/>
  <c r="T22" i="50" s="1"/>
  <c r="T27" i="50" s="1"/>
  <c r="T33" i="50" s="1"/>
  <c r="AF20" i="50"/>
  <c r="AF22" i="50" s="1"/>
  <c r="AF27" i="50" s="1"/>
  <c r="AF33" i="50" s="1"/>
  <c r="E40" i="50"/>
  <c r="J40" i="50"/>
  <c r="I40" i="50"/>
  <c r="N40" i="50"/>
  <c r="W40" i="50"/>
  <c r="V40" i="50"/>
  <c r="G40" i="50"/>
  <c r="F40" i="50"/>
  <c r="AW20" i="50"/>
  <c r="AW22" i="50" s="1"/>
  <c r="AW27" i="50" s="1"/>
  <c r="AW33" i="50" s="1"/>
  <c r="AU20" i="50"/>
  <c r="AU22" i="50" s="1"/>
  <c r="AU27" i="50" s="1"/>
  <c r="AU33" i="50" s="1"/>
  <c r="AB20" i="50"/>
  <c r="AB22" i="50" s="1"/>
  <c r="AB27" i="50" s="1"/>
  <c r="AB31" i="50" s="1"/>
  <c r="AD20" i="50"/>
  <c r="AD22" i="50" s="1"/>
  <c r="AD27" i="50" s="1"/>
  <c r="AD31" i="50" s="1"/>
  <c r="S20" i="50"/>
  <c r="S22" i="50" s="1"/>
  <c r="S27" i="50" s="1"/>
  <c r="S33" i="50" s="1"/>
  <c r="W20" i="50"/>
  <c r="W22" i="50" s="1"/>
  <c r="W27" i="50" s="1"/>
  <c r="AS20" i="50"/>
  <c r="AS22" i="50" s="1"/>
  <c r="AS27" i="50" s="1"/>
  <c r="AS31" i="50" s="1"/>
  <c r="P20" i="50"/>
  <c r="P22" i="50" s="1"/>
  <c r="P27" i="50" s="1"/>
  <c r="Q20" i="50"/>
  <c r="Q22" i="50" s="1"/>
  <c r="Q27" i="50" s="1"/>
  <c r="Q29" i="50" s="1"/>
  <c r="V20" i="50"/>
  <c r="V22" i="50" s="1"/>
  <c r="V27" i="50" s="1"/>
  <c r="G20" i="50"/>
  <c r="G22" i="50" s="1"/>
  <c r="G27" i="50" s="1"/>
  <c r="G29" i="50" s="1"/>
  <c r="AC20" i="50"/>
  <c r="AC22" i="50" s="1"/>
  <c r="AC27" i="50" s="1"/>
  <c r="AC29" i="50" s="1"/>
  <c r="F20" i="50"/>
  <c r="F22" i="50" s="1"/>
  <c r="F27" i="50" s="1"/>
  <c r="F29" i="50" s="1"/>
  <c r="I20" i="50"/>
  <c r="I22" i="50" s="1"/>
  <c r="I27" i="50" s="1"/>
  <c r="I29" i="50" s="1"/>
  <c r="J20" i="50"/>
  <c r="J22" i="50" s="1"/>
  <c r="J27" i="50" s="1"/>
  <c r="N20" i="50"/>
  <c r="N22" i="50" s="1"/>
  <c r="N27" i="50" s="1"/>
  <c r="AB193" i="44"/>
  <c r="Z357" i="44"/>
  <c r="AB359" i="44"/>
  <c r="AA360" i="44"/>
  <c r="Z361" i="44"/>
  <c r="Z363" i="44"/>
  <c r="AB366" i="44"/>
  <c r="AB255" i="44"/>
  <c r="Z256" i="44"/>
  <c r="AA191" i="44"/>
  <c r="AB210" i="44"/>
  <c r="AA218" i="44"/>
  <c r="AB228" i="44"/>
  <c r="AB260" i="44"/>
  <c r="AA419" i="44"/>
  <c r="Z421" i="44"/>
  <c r="AA422" i="44"/>
  <c r="Z424" i="44"/>
  <c r="AB428" i="44"/>
  <c r="Z429" i="44"/>
  <c r="AB430" i="44"/>
  <c r="AA434" i="44"/>
  <c r="AB437" i="44"/>
  <c r="AA439" i="44"/>
  <c r="Z441" i="44"/>
  <c r="AB442" i="44"/>
  <c r="AB248" i="44"/>
  <c r="AB354" i="44"/>
  <c r="AB282" i="44"/>
  <c r="AB286" i="44"/>
  <c r="Z259" i="44"/>
  <c r="Z308" i="44"/>
  <c r="AA221" i="44"/>
  <c r="AB223" i="44"/>
  <c r="AB211" i="44"/>
  <c r="AB229" i="44"/>
  <c r="AA261" i="44"/>
  <c r="AA295" i="44"/>
  <c r="AB348" i="44"/>
  <c r="AA232" i="44"/>
  <c r="AB237" i="44"/>
  <c r="Z284" i="44"/>
  <c r="AB231" i="44"/>
  <c r="AB251" i="44"/>
  <c r="Z219" i="44"/>
  <c r="AA352" i="44"/>
  <c r="AB189" i="44"/>
  <c r="AB235" i="44"/>
  <c r="Z353" i="44"/>
  <c r="AA217" i="44"/>
  <c r="AA195" i="44"/>
  <c r="AB208" i="44"/>
  <c r="AB220" i="44"/>
  <c r="AB230" i="44"/>
  <c r="AB258" i="44"/>
  <c r="AA299" i="44"/>
  <c r="Z233" i="44"/>
  <c r="AA283" i="44"/>
  <c r="Z285" i="44"/>
  <c r="AB287" i="44"/>
  <c r="AA188" i="44"/>
  <c r="AB209" i="44"/>
  <c r="AA222" i="44"/>
  <c r="AA226" i="44"/>
  <c r="AA302" i="44"/>
  <c r="Z199" i="44"/>
  <c r="Z200" i="44"/>
  <c r="AB213" i="44"/>
  <c r="AA214" i="44"/>
  <c r="AA264" i="44"/>
  <c r="Z297" i="44"/>
  <c r="AN420" i="44"/>
  <c r="AN432" i="44"/>
  <c r="AN419" i="44"/>
  <c r="AN425" i="44"/>
  <c r="AN437" i="44"/>
  <c r="AN222" i="44"/>
  <c r="AN264" i="44"/>
  <c r="AN198" i="44"/>
  <c r="AN219" i="44"/>
  <c r="AN224" i="44"/>
  <c r="AN353" i="44"/>
  <c r="AN256" i="44"/>
  <c r="AN257" i="44"/>
  <c r="AN261" i="44"/>
  <c r="AN288" i="44"/>
  <c r="AN358" i="44"/>
  <c r="AA353" i="44"/>
  <c r="AN442" i="44"/>
  <c r="AB353" i="44"/>
  <c r="AN314" i="44"/>
  <c r="AN287" i="44"/>
  <c r="AN232" i="44"/>
  <c r="AN234" i="44"/>
  <c r="AN230" i="44"/>
  <c r="AB218" i="44"/>
  <c r="AN211" i="44"/>
  <c r="AN213" i="44"/>
  <c r="Z208" i="44"/>
  <c r="AA208" i="44"/>
  <c r="AN356" i="44"/>
  <c r="AN422" i="44"/>
  <c r="AN434" i="44"/>
  <c r="AN440" i="44"/>
  <c r="AN226" i="44"/>
  <c r="AN189" i="44"/>
  <c r="AN297" i="44"/>
  <c r="AN197" i="44"/>
  <c r="AN208" i="44"/>
  <c r="AN233" i="44"/>
  <c r="AN280" i="44"/>
  <c r="AN295" i="44"/>
  <c r="AN302" i="44"/>
  <c r="Z251" i="44"/>
  <c r="AA251" i="44"/>
  <c r="AN196" i="44"/>
  <c r="AN212" i="44"/>
  <c r="Z228" i="44"/>
  <c r="AA228" i="44"/>
  <c r="AN236" i="44"/>
  <c r="AB217" i="44"/>
  <c r="AN225" i="44"/>
  <c r="AN237" i="44"/>
  <c r="AN248" i="44"/>
  <c r="AN286" i="44"/>
  <c r="AB299" i="44"/>
  <c r="Z362" i="44"/>
  <c r="AA424" i="44"/>
  <c r="AN301" i="44"/>
  <c r="AA362" i="44"/>
  <c r="AB424" i="44"/>
  <c r="AA428" i="44"/>
  <c r="AB362" i="44"/>
  <c r="AA284" i="44"/>
  <c r="AB363" i="44"/>
  <c r="AA436" i="44"/>
  <c r="AA363" i="44"/>
  <c r="Z436" i="44"/>
  <c r="AN307" i="44"/>
  <c r="AN426" i="44"/>
  <c r="AN431" i="44"/>
  <c r="AB436" i="44"/>
  <c r="AN441" i="44"/>
  <c r="Z253" i="44"/>
  <c r="AA200" i="44"/>
  <c r="Z227" i="44"/>
  <c r="AB247" i="44"/>
  <c r="AB364" i="44"/>
  <c r="AN367" i="44"/>
  <c r="Z425" i="44"/>
  <c r="Z432" i="44"/>
  <c r="AN188" i="44"/>
  <c r="AA189" i="44"/>
  <c r="AN200" i="44"/>
  <c r="AA227" i="44"/>
  <c r="AN231" i="44"/>
  <c r="AA233" i="44"/>
  <c r="Z255" i="44"/>
  <c r="AN260" i="44"/>
  <c r="AB264" i="44"/>
  <c r="AN283" i="44"/>
  <c r="AB302" i="44"/>
  <c r="AN308" i="44"/>
  <c r="AN315" i="44"/>
  <c r="AB419" i="44"/>
  <c r="AA425" i="44"/>
  <c r="AA432" i="44"/>
  <c r="AN435" i="44"/>
  <c r="Z295" i="44"/>
  <c r="AA263" i="44"/>
  <c r="AN347" i="44"/>
  <c r="AA361" i="44"/>
  <c r="AA427" i="44"/>
  <c r="AA211" i="44"/>
  <c r="AN218" i="44"/>
  <c r="AA247" i="44"/>
  <c r="AB263" i="44"/>
  <c r="AB361" i="44"/>
  <c r="AB227" i="44"/>
  <c r="AA255" i="44"/>
  <c r="AB432" i="44"/>
  <c r="AN195" i="44"/>
  <c r="AN193" i="44"/>
  <c r="AB214" i="44"/>
  <c r="AN258" i="44"/>
  <c r="AN285" i="44"/>
  <c r="Z347" i="44"/>
  <c r="AN355" i="44"/>
  <c r="Z420" i="44"/>
  <c r="AA426" i="44"/>
  <c r="Z263" i="44"/>
  <c r="Z247" i="44"/>
  <c r="AA253" i="44"/>
  <c r="AB253" i="44"/>
  <c r="Z364" i="44"/>
  <c r="Z189" i="44"/>
  <c r="AN191" i="44"/>
  <c r="Z218" i="44"/>
  <c r="AN220" i="44"/>
  <c r="AN221" i="44"/>
  <c r="AB222" i="44"/>
  <c r="Z286" i="44"/>
  <c r="Z299" i="44"/>
  <c r="AA347" i="44"/>
  <c r="Z352" i="44"/>
  <c r="Z360" i="44"/>
  <c r="AN362" i="44"/>
  <c r="AA366" i="44"/>
  <c r="AA420" i="44"/>
  <c r="AB426" i="44"/>
  <c r="AB295" i="44"/>
  <c r="AA421" i="44"/>
  <c r="AB200" i="44"/>
  <c r="AB421" i="44"/>
  <c r="AB427" i="44"/>
  <c r="AB435" i="44"/>
  <c r="AN438" i="44"/>
  <c r="AB233" i="44"/>
  <c r="AB425" i="44"/>
  <c r="AN259" i="44"/>
  <c r="AB221" i="44"/>
  <c r="AA286" i="44"/>
  <c r="AB347" i="44"/>
  <c r="AB352" i="44"/>
  <c r="AB360" i="44"/>
  <c r="AB420" i="44"/>
  <c r="AN423" i="44"/>
  <c r="AN354" i="44"/>
  <c r="AA355" i="44"/>
  <c r="AB355" i="44"/>
  <c r="Z355" i="44"/>
  <c r="AB198" i="44"/>
  <c r="AA198" i="44"/>
  <c r="Z198" i="44"/>
  <c r="AN235" i="44"/>
  <c r="Z433" i="44"/>
  <c r="AB433" i="44"/>
  <c r="AA433" i="44"/>
  <c r="Z365" i="44"/>
  <c r="AA365" i="44"/>
  <c r="Z196" i="44"/>
  <c r="AB196" i="44"/>
  <c r="AN216" i="44"/>
  <c r="AN312" i="44"/>
  <c r="AB438" i="44"/>
  <c r="AA438" i="44"/>
  <c r="AA196" i="44"/>
  <c r="AN348" i="44"/>
  <c r="AN357" i="44"/>
  <c r="AB358" i="44"/>
  <c r="AA358" i="44"/>
  <c r="Z358" i="44"/>
  <c r="AA254" i="44"/>
  <c r="AB254" i="44"/>
  <c r="Z254" i="44"/>
  <c r="AB288" i="44"/>
  <c r="Z288" i="44"/>
  <c r="AA288" i="44"/>
  <c r="AN227" i="44"/>
  <c r="AN214" i="44"/>
  <c r="AN228" i="44"/>
  <c r="Z234" i="44"/>
  <c r="AN253" i="44"/>
  <c r="Z264" i="44"/>
  <c r="AN281" i="44"/>
  <c r="Z282" i="44"/>
  <c r="AB285" i="44"/>
  <c r="AN352" i="44"/>
  <c r="AN360" i="44"/>
  <c r="AN427" i="44"/>
  <c r="AN430" i="44"/>
  <c r="Z211" i="44"/>
  <c r="AN223" i="44"/>
  <c r="AB234" i="44"/>
  <c r="AA282" i="44"/>
  <c r="AA297" i="44"/>
  <c r="AN299" i="44"/>
  <c r="AN365" i="44"/>
  <c r="AN418" i="44"/>
  <c r="Z426" i="44"/>
  <c r="Z428" i="44"/>
  <c r="Z248" i="44"/>
  <c r="AB439" i="44"/>
  <c r="AA259" i="44"/>
  <c r="AN282" i="44"/>
  <c r="AN310" i="44"/>
  <c r="AB199" i="44"/>
  <c r="AN209" i="44"/>
  <c r="AA216" i="44"/>
  <c r="Z235" i="44"/>
  <c r="AA248" i="44"/>
  <c r="Z249" i="44"/>
  <c r="AB259" i="44"/>
  <c r="AA260" i="44"/>
  <c r="Z261" i="44"/>
  <c r="Z283" i="44"/>
  <c r="AB298" i="44"/>
  <c r="AA348" i="44"/>
  <c r="Z354" i="44"/>
  <c r="AN363" i="44"/>
  <c r="AN366" i="44"/>
  <c r="AN424" i="44"/>
  <c r="Z216" i="44"/>
  <c r="Z260" i="44"/>
  <c r="Z298" i="44"/>
  <c r="Z348" i="44"/>
  <c r="AB216" i="44"/>
  <c r="Z217" i="44"/>
  <c r="AA235" i="44"/>
  <c r="AN247" i="44"/>
  <c r="AA249" i="44"/>
  <c r="AB261" i="44"/>
  <c r="AB283" i="44"/>
  <c r="Z302" i="44"/>
  <c r="AA354" i="44"/>
  <c r="AA199" i="44"/>
  <c r="AN210" i="44"/>
  <c r="AN199" i="44"/>
  <c r="AB249" i="44"/>
  <c r="AN255" i="44"/>
  <c r="AN359" i="44"/>
  <c r="Z427" i="44"/>
  <c r="AN429" i="44"/>
  <c r="AA435" i="44"/>
  <c r="AN436" i="44"/>
  <c r="AN439" i="44"/>
  <c r="AB314" i="44"/>
  <c r="AA314" i="44"/>
  <c r="Z314" i="44"/>
  <c r="Z226" i="44"/>
  <c r="AN229" i="44"/>
  <c r="AN263" i="44"/>
  <c r="AB307" i="44"/>
  <c r="AA307" i="44"/>
  <c r="Z307" i="44"/>
  <c r="Z262" i="44"/>
  <c r="AA262" i="44"/>
  <c r="AA213" i="44"/>
  <c r="Z213" i="44"/>
  <c r="AB226" i="44"/>
  <c r="AN251" i="44"/>
  <c r="AB262" i="44"/>
  <c r="AB212" i="44"/>
  <c r="AA212" i="44"/>
  <c r="AA225" i="44"/>
  <c r="Z225" i="44"/>
  <c r="AB257" i="44"/>
  <c r="Z257" i="44"/>
  <c r="AA301" i="44"/>
  <c r="Z301" i="44"/>
  <c r="AB311" i="44"/>
  <c r="AA311" i="44"/>
  <c r="Z311" i="44"/>
  <c r="Z197" i="44"/>
  <c r="AA234" i="44"/>
  <c r="AN254" i="44"/>
  <c r="AB301" i="44"/>
  <c r="AA280" i="44"/>
  <c r="Z280" i="44"/>
  <c r="AB280" i="44"/>
  <c r="Z212" i="44"/>
  <c r="AB224" i="44"/>
  <c r="AA224" i="44"/>
  <c r="AB225" i="44"/>
  <c r="AA257" i="44"/>
  <c r="AB423" i="44"/>
  <c r="AA423" i="44"/>
  <c r="Z423" i="44"/>
  <c r="AA237" i="44"/>
  <c r="Z237" i="44"/>
  <c r="AN249" i="44"/>
  <c r="AA287" i="44"/>
  <c r="Z287" i="44"/>
  <c r="AN298" i="44"/>
  <c r="AA258" i="44"/>
  <c r="Z258" i="44"/>
  <c r="AB188" i="44"/>
  <c r="Z191" i="44"/>
  <c r="Z210" i="44"/>
  <c r="Z224" i="44"/>
  <c r="Z188" i="44"/>
  <c r="AA197" i="44"/>
  <c r="Z231" i="44"/>
  <c r="Z232" i="44"/>
  <c r="AB195" i="44"/>
  <c r="AA209" i="44"/>
  <c r="AA210" i="44"/>
  <c r="AA219" i="44"/>
  <c r="Z220" i="44"/>
  <c r="Z223" i="44"/>
  <c r="Z229" i="44"/>
  <c r="AA230" i="44"/>
  <c r="AA231" i="44"/>
  <c r="AB232" i="44"/>
  <c r="AB236" i="44"/>
  <c r="AA236" i="44"/>
  <c r="Z236" i="44"/>
  <c r="AA256" i="44"/>
  <c r="Z281" i="44"/>
  <c r="AB281" i="44"/>
  <c r="AB197" i="44"/>
  <c r="Z195" i="44"/>
  <c r="Z209" i="44"/>
  <c r="Z230" i="44"/>
  <c r="AA193" i="44"/>
  <c r="AB191" i="44"/>
  <c r="AB219" i="44"/>
  <c r="AA220" i="44"/>
  <c r="Z221" i="44"/>
  <c r="Z222" i="44"/>
  <c r="AA223" i="44"/>
  <c r="AA229" i="44"/>
  <c r="AB256" i="44"/>
  <c r="AA281" i="44"/>
  <c r="Z193" i="44"/>
  <c r="Z214" i="44"/>
  <c r="AN217" i="44"/>
  <c r="AN284" i="44"/>
  <c r="AB310" i="44"/>
  <c r="AA310" i="44"/>
  <c r="Z310" i="44"/>
  <c r="AB312" i="44"/>
  <c r="AA312" i="44"/>
  <c r="Z312" i="44"/>
  <c r="AB357" i="44"/>
  <c r="AA357" i="44"/>
  <c r="AN428" i="44"/>
  <c r="AA315" i="44"/>
  <c r="AB315" i="44"/>
  <c r="Z315" i="44"/>
  <c r="AN364" i="44"/>
  <c r="AN262" i="44"/>
  <c r="AA285" i="44"/>
  <c r="AB308" i="44"/>
  <c r="AA308" i="44"/>
  <c r="AN361" i="44"/>
  <c r="Z356" i="44"/>
  <c r="AB356" i="44"/>
  <c r="AA356" i="44"/>
  <c r="Z359" i="44"/>
  <c r="AA359" i="44"/>
  <c r="AA430" i="44"/>
  <c r="Z430" i="44"/>
  <c r="AA442" i="44"/>
  <c r="Z442" i="44"/>
  <c r="AB284" i="44"/>
  <c r="AB297" i="44"/>
  <c r="AA298" i="44"/>
  <c r="AA364" i="44"/>
  <c r="AB365" i="44"/>
  <c r="Z439" i="44"/>
  <c r="AA367" i="44"/>
  <c r="AB367" i="44"/>
  <c r="AN311" i="44"/>
  <c r="Z366" i="44"/>
  <c r="Z367" i="44"/>
  <c r="AB441" i="44"/>
  <c r="AA441" i="44"/>
  <c r="Z422" i="44"/>
  <c r="AB422" i="44"/>
  <c r="AB429" i="44"/>
  <c r="AA429" i="44"/>
  <c r="AN433" i="44"/>
  <c r="Z438" i="44"/>
  <c r="Z431" i="44"/>
  <c r="AB431" i="44"/>
  <c r="AA418" i="44"/>
  <c r="Z418" i="44"/>
  <c r="AA431" i="44"/>
  <c r="AB440" i="44"/>
  <c r="AA440" i="44"/>
  <c r="Z440" i="44"/>
  <c r="Z434" i="44"/>
  <c r="AB434" i="44"/>
  <c r="Z437" i="44"/>
  <c r="AB418" i="44"/>
  <c r="AA437" i="44"/>
  <c r="Z435" i="44"/>
  <c r="Z419" i="44"/>
  <c r="AN421" i="44"/>
  <c r="AT193" i="44" l="1"/>
  <c r="AT191" i="44"/>
  <c r="AU40" i="50"/>
  <c r="AR40" i="50"/>
  <c r="AR48" i="50" s="1"/>
  <c r="AR50" i="50" s="1"/>
  <c r="AR52" i="50" s="1"/>
  <c r="AR54" i="50" s="1"/>
  <c r="AW40" i="50"/>
  <c r="AT40" i="50"/>
  <c r="AO363" i="44"/>
  <c r="AO199" i="44"/>
  <c r="AP199" i="44" s="1"/>
  <c r="AO441" i="44"/>
  <c r="AO200" i="44"/>
  <c r="AO421" i="44"/>
  <c r="AP421" i="44" s="1"/>
  <c r="AW421" i="44" s="1"/>
  <c r="AO420" i="44"/>
  <c r="AP420" i="44" s="1"/>
  <c r="AW420" i="44" s="1"/>
  <c r="AO361" i="44"/>
  <c r="AO308" i="44"/>
  <c r="AO297" i="44"/>
  <c r="AO285" i="44"/>
  <c r="AO429" i="44"/>
  <c r="AO353" i="44"/>
  <c r="AO233" i="44"/>
  <c r="AO284" i="44"/>
  <c r="AO256" i="44"/>
  <c r="AO357" i="44"/>
  <c r="AO219" i="44"/>
  <c r="AO259" i="44"/>
  <c r="AP259" i="44" s="1"/>
  <c r="AW259" i="44" s="1"/>
  <c r="AO424" i="44"/>
  <c r="AP424" i="44" s="1"/>
  <c r="AW424" i="44" s="1"/>
  <c r="AO432" i="44"/>
  <c r="AP432" i="44" s="1"/>
  <c r="AW432" i="44" s="1"/>
  <c r="AO419" i="44"/>
  <c r="AP419" i="44" s="1"/>
  <c r="AW419" i="44" s="1"/>
  <c r="AO188" i="44"/>
  <c r="AO257" i="44"/>
  <c r="AO264" i="44"/>
  <c r="AO442" i="44"/>
  <c r="AP442" i="44" s="1"/>
  <c r="AW442" i="44" s="1"/>
  <c r="AO437" i="44"/>
  <c r="AP437" i="44" s="1"/>
  <c r="AW437" i="44" s="1"/>
  <c r="AO224" i="44"/>
  <c r="AO425" i="44"/>
  <c r="AP425" i="44" s="1"/>
  <c r="AW425" i="44" s="1"/>
  <c r="AO236" i="44"/>
  <c r="AO261" i="44"/>
  <c r="AO222" i="44"/>
  <c r="AO198" i="44"/>
  <c r="AO226" i="44"/>
  <c r="AO247" i="44"/>
  <c r="AO213" i="44"/>
  <c r="AO282" i="44"/>
  <c r="AO440" i="44"/>
  <c r="AP440" i="44" s="1"/>
  <c r="AW440" i="44" s="1"/>
  <c r="AO221" i="44"/>
  <c r="AO367" i="44"/>
  <c r="AO195" i="44"/>
  <c r="AO251" i="44"/>
  <c r="AO301" i="44"/>
  <c r="AO218" i="44"/>
  <c r="AO232" i="44"/>
  <c r="AO228" i="44"/>
  <c r="AO281" i="44"/>
  <c r="AO431" i="44"/>
  <c r="AP431" i="44" s="1"/>
  <c r="AW431" i="44" s="1"/>
  <c r="AO288" i="44"/>
  <c r="AO217" i="44"/>
  <c r="AO216" i="44"/>
  <c r="AO314" i="44"/>
  <c r="AO234" i="44"/>
  <c r="AO356" i="44"/>
  <c r="AO208" i="44"/>
  <c r="AO426" i="44"/>
  <c r="AP426" i="44" s="1"/>
  <c r="AW426" i="44" s="1"/>
  <c r="AO422" i="44"/>
  <c r="AP422" i="44" s="1"/>
  <c r="AW422" i="44" s="1"/>
  <c r="AO434" i="44"/>
  <c r="AP434" i="44" s="1"/>
  <c r="AW434" i="44" s="1"/>
  <c r="AO230" i="44"/>
  <c r="AO287" i="44"/>
  <c r="AO280" i="44"/>
  <c r="AO211" i="44"/>
  <c r="AO358" i="44"/>
  <c r="AO435" i="44"/>
  <c r="AP435" i="44" s="1"/>
  <c r="AW435" i="44" s="1"/>
  <c r="AO362" i="44"/>
  <c r="AO299" i="44"/>
  <c r="AO310" i="44"/>
  <c r="AO302" i="44"/>
  <c r="AO262" i="44"/>
  <c r="AO248" i="44"/>
  <c r="AO212" i="44"/>
  <c r="AO209" i="44"/>
  <c r="AO191" i="44"/>
  <c r="AO260" i="44"/>
  <c r="AO295" i="44"/>
  <c r="AO229" i="44"/>
  <c r="AO197" i="44"/>
  <c r="AO286" i="44"/>
  <c r="AO249" i="44"/>
  <c r="AO189" i="44"/>
  <c r="AO283" i="44"/>
  <c r="AO255" i="44"/>
  <c r="AO433" i="44"/>
  <c r="AP433" i="44" s="1"/>
  <c r="AW433" i="44" s="1"/>
  <c r="AO237" i="44"/>
  <c r="AO423" i="44"/>
  <c r="AP423" i="44" s="1"/>
  <c r="AW423" i="44" s="1"/>
  <c r="AO223" i="44"/>
  <c r="AO196" i="44"/>
  <c r="AO347" i="44"/>
  <c r="AO253" i="44"/>
  <c r="AO220" i="44"/>
  <c r="AO436" i="44"/>
  <c r="AP436" i="44" s="1"/>
  <c r="AW436" i="44" s="1"/>
  <c r="AO225" i="44"/>
  <c r="AO360" i="44"/>
  <c r="AO365" i="44"/>
  <c r="AO355" i="44"/>
  <c r="AO359" i="44"/>
  <c r="AO428" i="44"/>
  <c r="AP428" i="44" s="1"/>
  <c r="AW428" i="44" s="1"/>
  <c r="AO307" i="44"/>
  <c r="AP307" i="44" s="1"/>
  <c r="AO418" i="44"/>
  <c r="AP418" i="44" s="1"/>
  <c r="AW418" i="44" s="1"/>
  <c r="AO258" i="44"/>
  <c r="AO210" i="44"/>
  <c r="AO263" i="44"/>
  <c r="AO298" i="44"/>
  <c r="AO227" i="44"/>
  <c r="AO366" i="44"/>
  <c r="AO364" i="44"/>
  <c r="AO312" i="44"/>
  <c r="AO193" i="44"/>
  <c r="AO231" i="44"/>
  <c r="AO235" i="44"/>
  <c r="AO438" i="44"/>
  <c r="AP438" i="44" s="1"/>
  <c r="AW438" i="44" s="1"/>
  <c r="AO315" i="44"/>
  <c r="AO430" i="44"/>
  <c r="AP430" i="44" s="1"/>
  <c r="AW430" i="44" s="1"/>
  <c r="AO348" i="44"/>
  <c r="AO254" i="44"/>
  <c r="AO439" i="44"/>
  <c r="AP439" i="44" s="1"/>
  <c r="AW439" i="44" s="1"/>
  <c r="AO352" i="44"/>
  <c r="AO214" i="44"/>
  <c r="AO427" i="44"/>
  <c r="AP427" i="44" s="1"/>
  <c r="AW427" i="44" s="1"/>
  <c r="AO354" i="44"/>
  <c r="AO311" i="44"/>
  <c r="AP311" i="44" s="1"/>
  <c r="AW311" i="44" s="1"/>
  <c r="AV199" i="44" l="1"/>
  <c r="AW199" i="44"/>
  <c r="AT259" i="44"/>
  <c r="AV259" i="44"/>
  <c r="AP298" i="44"/>
  <c r="AW298" i="44" s="1"/>
  <c r="AP222" i="44"/>
  <c r="AP357" i="44"/>
  <c r="AW357" i="44" s="1"/>
  <c r="AP302" i="44"/>
  <c r="AW302" i="44" s="1"/>
  <c r="AP354" i="44"/>
  <c r="AW354" i="44" s="1"/>
  <c r="AP263" i="44"/>
  <c r="AW263" i="44" s="1"/>
  <c r="AP225" i="44"/>
  <c r="AP310" i="44"/>
  <c r="AW310" i="44" s="1"/>
  <c r="AP287" i="44"/>
  <c r="AP216" i="44"/>
  <c r="AP261" i="44"/>
  <c r="AP264" i="44"/>
  <c r="AP219" i="44"/>
  <c r="AP353" i="44"/>
  <c r="AW353" i="44" s="1"/>
  <c r="AP315" i="44"/>
  <c r="AW315" i="44" s="1"/>
  <c r="AP196" i="44"/>
  <c r="AP189" i="44"/>
  <c r="AP217" i="44"/>
  <c r="AP235" i="44"/>
  <c r="AP210" i="44"/>
  <c r="AP362" i="44"/>
  <c r="AW362" i="44" s="1"/>
  <c r="AP230" i="44"/>
  <c r="AP195" i="44"/>
  <c r="AP236" i="44"/>
  <c r="AP429" i="44"/>
  <c r="AW429" i="44" s="1"/>
  <c r="AP258" i="44"/>
  <c r="AP314" i="44"/>
  <c r="AW314" i="44" s="1"/>
  <c r="AP352" i="44"/>
  <c r="AW352" i="44" s="1"/>
  <c r="AP209" i="44"/>
  <c r="AP221" i="44"/>
  <c r="AP254" i="44"/>
  <c r="AP312" i="44"/>
  <c r="AW312" i="44" s="1"/>
  <c r="AP355" i="44"/>
  <c r="AW355" i="44" s="1"/>
  <c r="AP212" i="44"/>
  <c r="AP281" i="44"/>
  <c r="AP188" i="44"/>
  <c r="AP256" i="44"/>
  <c r="AW256" i="44" s="1"/>
  <c r="AP285" i="44"/>
  <c r="AP363" i="44"/>
  <c r="AW363" i="44" s="1"/>
  <c r="AP229" i="44"/>
  <c r="AP228" i="44"/>
  <c r="AP247" i="44"/>
  <c r="AP284" i="44"/>
  <c r="AP297" i="44"/>
  <c r="AW297" i="44" s="1"/>
  <c r="AP441" i="44"/>
  <c r="AP360" i="44"/>
  <c r="AW360" i="44" s="1"/>
  <c r="AP299" i="44"/>
  <c r="AW299" i="44" s="1"/>
  <c r="AP214" i="44"/>
  <c r="AP197" i="44"/>
  <c r="AP224" i="44"/>
  <c r="AP364" i="44"/>
  <c r="AW364" i="44" s="1"/>
  <c r="AP348" i="44"/>
  <c r="AW348" i="44" s="1"/>
  <c r="AP366" i="44"/>
  <c r="AW366" i="44" s="1"/>
  <c r="AW307" i="44"/>
  <c r="AP365" i="44"/>
  <c r="AW365" i="44" s="1"/>
  <c r="AP253" i="44"/>
  <c r="AP255" i="44"/>
  <c r="AP208" i="44"/>
  <c r="AP232" i="44"/>
  <c r="AP226" i="44"/>
  <c r="AP359" i="44"/>
  <c r="AW359" i="44" s="1"/>
  <c r="AP288" i="44"/>
  <c r="AP237" i="44"/>
  <c r="AW237" i="44" s="1"/>
  <c r="AP280" i="44"/>
  <c r="AP220" i="44"/>
  <c r="AP367" i="44"/>
  <c r="AW367" i="44" s="1"/>
  <c r="AQ193" i="44"/>
  <c r="AP257" i="44"/>
  <c r="AP200" i="44"/>
  <c r="AW200" i="44" s="1"/>
  <c r="AP248" i="44"/>
  <c r="AP282" i="44"/>
  <c r="AP262" i="44"/>
  <c r="AP218" i="44"/>
  <c r="AP233" i="44"/>
  <c r="AP361" i="44"/>
  <c r="AW361" i="44" s="1"/>
  <c r="AP223" i="44"/>
  <c r="AW223" i="44" s="1"/>
  <c r="AP231" i="44"/>
  <c r="AP286" i="44"/>
  <c r="AP213" i="44"/>
  <c r="AP347" i="44"/>
  <c r="AW347" i="44" s="1"/>
  <c r="AP295" i="44"/>
  <c r="AW295" i="44" s="1"/>
  <c r="AP356" i="44"/>
  <c r="AW356" i="44" s="1"/>
  <c r="AP198" i="44"/>
  <c r="AP308" i="44"/>
  <c r="AW308" i="44" s="1"/>
  <c r="AP358" i="44"/>
  <c r="AW358" i="44" s="1"/>
  <c r="AP227" i="44"/>
  <c r="AP283" i="44"/>
  <c r="AP260" i="44"/>
  <c r="AP211" i="44"/>
  <c r="AP234" i="44"/>
  <c r="AP301" i="44"/>
  <c r="AW301" i="44" s="1"/>
  <c r="AR424" i="44"/>
  <c r="AS424" i="44" s="1"/>
  <c r="AR199" i="44"/>
  <c r="AS199" i="44" s="1"/>
  <c r="AQ199" i="44"/>
  <c r="AR420" i="44"/>
  <c r="AS420" i="44" s="1"/>
  <c r="AX420" i="44"/>
  <c r="AV420" i="44"/>
  <c r="AQ420" i="44"/>
  <c r="AU423" i="44"/>
  <c r="AU422" i="44"/>
  <c r="AU259" i="44"/>
  <c r="AQ259" i="44"/>
  <c r="AR259" i="44"/>
  <c r="AS259" i="44" s="1"/>
  <c r="AX424" i="44"/>
  <c r="AV424" i="44"/>
  <c r="AQ424" i="44"/>
  <c r="AV432" i="44"/>
  <c r="AX432" i="44"/>
  <c r="AQ428" i="44"/>
  <c r="AV428" i="44"/>
  <c r="AX428" i="44"/>
  <c r="AQ437" i="44"/>
  <c r="AV437" i="44"/>
  <c r="AV418" i="44"/>
  <c r="AX418" i="44"/>
  <c r="AV434" i="44"/>
  <c r="AX434" i="44"/>
  <c r="AV430" i="44"/>
  <c r="AX430" i="44"/>
  <c r="AV436" i="44"/>
  <c r="AX436" i="44"/>
  <c r="AR431" i="44"/>
  <c r="AS431" i="44" s="1"/>
  <c r="AV431" i="44"/>
  <c r="AX431" i="44"/>
  <c r="AV419" i="44"/>
  <c r="AX419" i="44"/>
  <c r="AV440" i="44"/>
  <c r="AX440" i="44"/>
  <c r="AR426" i="44"/>
  <c r="AS426" i="44" s="1"/>
  <c r="AV426" i="44"/>
  <c r="AX426" i="44"/>
  <c r="AQ439" i="44"/>
  <c r="AV439" i="44"/>
  <c r="AX439" i="44"/>
  <c r="AR435" i="44"/>
  <c r="AS435" i="44" s="1"/>
  <c r="AV435" i="44"/>
  <c r="AX435" i="44"/>
  <c r="AQ433" i="44"/>
  <c r="AV433" i="44"/>
  <c r="AX433" i="44"/>
  <c r="AR423" i="44"/>
  <c r="AS423" i="44" s="1"/>
  <c r="AV423" i="44"/>
  <c r="AX423" i="44"/>
  <c r="AV422" i="44"/>
  <c r="AX422" i="44"/>
  <c r="AV438" i="44"/>
  <c r="AX438" i="44"/>
  <c r="AR419" i="44"/>
  <c r="AS419" i="44" s="1"/>
  <c r="AR425" i="44"/>
  <c r="AS425" i="44" s="1"/>
  <c r="AV425" i="44"/>
  <c r="AX425" i="44"/>
  <c r="AV442" i="44"/>
  <c r="AX442" i="44"/>
  <c r="AV421" i="44"/>
  <c r="AX421" i="44"/>
  <c r="AQ419" i="44"/>
  <c r="AQ426" i="44"/>
  <c r="AQ425" i="44"/>
  <c r="AQ431" i="44"/>
  <c r="AQ435" i="44"/>
  <c r="AR430" i="44"/>
  <c r="AS430" i="44" s="1"/>
  <c r="AR438" i="44"/>
  <c r="AS438" i="44" s="1"/>
  <c r="AQ438" i="44"/>
  <c r="AQ423" i="44"/>
  <c r="AQ430" i="44"/>
  <c r="AQ440" i="44"/>
  <c r="AQ442" i="44"/>
  <c r="AR440" i="44"/>
  <c r="AS440" i="44" s="1"/>
  <c r="AR422" i="44"/>
  <c r="AS422" i="44" s="1"/>
  <c r="AR436" i="44"/>
  <c r="AS436" i="44" s="1"/>
  <c r="AR421" i="44"/>
  <c r="AS421" i="44" s="1"/>
  <c r="AQ436" i="44"/>
  <c r="AQ421" i="44"/>
  <c r="AQ434" i="44"/>
  <c r="AR437" i="44"/>
  <c r="AS437" i="44" s="1"/>
  <c r="AR442" i="44"/>
  <c r="AS442" i="44" s="1"/>
  <c r="AR434" i="44"/>
  <c r="AS434" i="44" s="1"/>
  <c r="AR418" i="44"/>
  <c r="AS418" i="44" s="1"/>
  <c r="AR439" i="44"/>
  <c r="AS439" i="44" s="1"/>
  <c r="AQ418" i="44"/>
  <c r="AR428" i="44"/>
  <c r="AS428" i="44" s="1"/>
  <c r="AQ422" i="44"/>
  <c r="AR432" i="44"/>
  <c r="AS432" i="44" s="1"/>
  <c r="AR433" i="44"/>
  <c r="AS433" i="44" s="1"/>
  <c r="AQ432" i="44"/>
  <c r="AV260" i="44" l="1"/>
  <c r="AW260" i="44"/>
  <c r="AV247" i="44"/>
  <c r="AW247" i="44"/>
  <c r="AV220" i="44"/>
  <c r="AW220" i="44"/>
  <c r="AV228" i="44"/>
  <c r="AW228" i="44"/>
  <c r="AV209" i="44"/>
  <c r="AW209" i="44"/>
  <c r="AV235" i="44"/>
  <c r="AW235" i="44"/>
  <c r="AV225" i="44"/>
  <c r="AW225" i="44"/>
  <c r="AV227" i="44"/>
  <c r="AW227" i="44"/>
  <c r="AV280" i="44"/>
  <c r="AW280" i="44"/>
  <c r="AV229" i="44"/>
  <c r="AW229" i="44"/>
  <c r="AV217" i="44"/>
  <c r="AW217" i="44"/>
  <c r="AV233" i="44"/>
  <c r="AW233" i="44"/>
  <c r="AV189" i="44"/>
  <c r="AW189" i="44"/>
  <c r="AV258" i="44"/>
  <c r="AW258" i="44"/>
  <c r="AV210" i="44"/>
  <c r="AW210" i="44"/>
  <c r="AV283" i="44"/>
  <c r="AW283" i="44"/>
  <c r="AV285" i="44"/>
  <c r="AW285" i="44"/>
  <c r="AV262" i="44"/>
  <c r="AW262" i="44"/>
  <c r="AV251" i="44"/>
  <c r="AW251" i="44"/>
  <c r="AV231" i="44"/>
  <c r="AW231" i="44"/>
  <c r="AV221" i="44"/>
  <c r="AW221" i="44"/>
  <c r="AV218" i="44"/>
  <c r="AW218" i="44"/>
  <c r="AV288" i="44"/>
  <c r="AW288" i="44"/>
  <c r="AV224" i="44"/>
  <c r="AW224" i="44"/>
  <c r="AV196" i="44"/>
  <c r="AW196" i="44"/>
  <c r="AV197" i="44"/>
  <c r="AW197" i="44"/>
  <c r="AV198" i="44"/>
  <c r="AW198" i="44"/>
  <c r="AV282" i="44"/>
  <c r="AW282" i="44"/>
  <c r="AV226" i="44"/>
  <c r="AW226" i="44"/>
  <c r="AV214" i="44"/>
  <c r="AW214" i="44"/>
  <c r="AV188" i="44"/>
  <c r="AW188" i="44"/>
  <c r="AV222" i="44"/>
  <c r="AW222" i="44"/>
  <c r="AV248" i="44"/>
  <c r="AW248" i="44"/>
  <c r="AV232" i="44"/>
  <c r="AW232" i="44"/>
  <c r="AV281" i="44"/>
  <c r="AW281" i="44"/>
  <c r="AV236" i="44"/>
  <c r="AW236" i="44"/>
  <c r="AV219" i="44"/>
  <c r="AW219" i="44"/>
  <c r="AV208" i="44"/>
  <c r="AW208" i="44"/>
  <c r="AV212" i="44"/>
  <c r="AW212" i="44"/>
  <c r="AV195" i="44"/>
  <c r="AW195" i="44"/>
  <c r="AV264" i="44"/>
  <c r="AW264" i="44"/>
  <c r="AV257" i="44"/>
  <c r="AW257" i="44"/>
  <c r="AV255" i="44"/>
  <c r="AW255" i="44"/>
  <c r="AW441" i="44"/>
  <c r="AV230" i="44"/>
  <c r="AW230" i="44"/>
  <c r="AV261" i="44"/>
  <c r="AW261" i="44"/>
  <c r="AV216" i="44"/>
  <c r="AW216" i="44"/>
  <c r="AV234" i="44"/>
  <c r="AW234" i="44"/>
  <c r="AV213" i="44"/>
  <c r="AW213" i="44"/>
  <c r="AV253" i="44"/>
  <c r="AW253" i="44"/>
  <c r="AV211" i="44"/>
  <c r="AW211" i="44"/>
  <c r="AV286" i="44"/>
  <c r="AW286" i="44"/>
  <c r="AV284" i="44"/>
  <c r="AW284" i="44"/>
  <c r="AV254" i="44"/>
  <c r="AW254" i="44"/>
  <c r="AV249" i="44"/>
  <c r="AW249" i="44"/>
  <c r="AV287" i="44"/>
  <c r="AW287" i="44"/>
  <c r="AR263" i="44"/>
  <c r="AS263" i="44" s="1"/>
  <c r="AV263" i="44"/>
  <c r="AV237" i="44"/>
  <c r="AV256" i="44"/>
  <c r="AV223" i="44"/>
  <c r="AR200" i="44"/>
  <c r="AS200" i="44" s="1"/>
  <c r="AV200" i="44"/>
  <c r="AQ362" i="44"/>
  <c r="AX297" i="44"/>
  <c r="AX367" i="44"/>
  <c r="AQ365" i="44"/>
  <c r="AX284" i="44"/>
  <c r="AX287" i="44"/>
  <c r="AQ310" i="44"/>
  <c r="AX301" i="44"/>
  <c r="AR361" i="44"/>
  <c r="AS361" i="44" s="1"/>
  <c r="AR348" i="44"/>
  <c r="AS348" i="44" s="1"/>
  <c r="AX358" i="44"/>
  <c r="AX363" i="44"/>
  <c r="AX354" i="44"/>
  <c r="AX224" i="44"/>
  <c r="AX302" i="44"/>
  <c r="AX283" i="44"/>
  <c r="AX285" i="44"/>
  <c r="AT251" i="44"/>
  <c r="AU251" i="44" s="1"/>
  <c r="AX357" i="44"/>
  <c r="AV355" i="44"/>
  <c r="AX282" i="44"/>
  <c r="AR353" i="44"/>
  <c r="AS353" i="44" s="1"/>
  <c r="AX235" i="44"/>
  <c r="AX356" i="44"/>
  <c r="AX298" i="44"/>
  <c r="AV315" i="44"/>
  <c r="AQ247" i="44"/>
  <c r="AT247" i="44"/>
  <c r="AU247" i="44" s="1"/>
  <c r="AT195" i="44"/>
  <c r="AU195" i="44" s="1"/>
  <c r="AT198" i="44"/>
  <c r="AU198" i="44" s="1"/>
  <c r="AX257" i="44"/>
  <c r="AT257" i="44"/>
  <c r="AU257" i="44" s="1"/>
  <c r="AX228" i="44"/>
  <c r="AT228" i="44"/>
  <c r="AU228" i="44" s="1"/>
  <c r="AT230" i="44"/>
  <c r="AU230" i="44" s="1"/>
  <c r="AX261" i="44"/>
  <c r="AT261" i="44"/>
  <c r="AU261" i="44" s="1"/>
  <c r="AQ229" i="44"/>
  <c r="AT229" i="44"/>
  <c r="AU229" i="44" s="1"/>
  <c r="AT209" i="44"/>
  <c r="AU209" i="44" s="1"/>
  <c r="AT216" i="44"/>
  <c r="AU216" i="44" s="1"/>
  <c r="AX295" i="44"/>
  <c r="AT295" i="44"/>
  <c r="AU295" i="44" s="1"/>
  <c r="AT197" i="44"/>
  <c r="AU197" i="44" s="1"/>
  <c r="AQ249" i="44"/>
  <c r="AT249" i="44"/>
  <c r="AU249" i="44" s="1"/>
  <c r="AT211" i="44"/>
  <c r="AU211" i="44" s="1"/>
  <c r="AT220" i="44"/>
  <c r="AU220" i="44" s="1"/>
  <c r="AT299" i="44"/>
  <c r="AU299" i="44" s="1"/>
  <c r="AT258" i="44"/>
  <c r="AU258" i="44" s="1"/>
  <c r="AQ208" i="44"/>
  <c r="AT208" i="44"/>
  <c r="AU208" i="44" s="1"/>
  <c r="AT260" i="44"/>
  <c r="AU260" i="44" s="1"/>
  <c r="AT218" i="44"/>
  <c r="AU218" i="44" s="1"/>
  <c r="AT217" i="44"/>
  <c r="AU217" i="44" s="1"/>
  <c r="AX253" i="44"/>
  <c r="AT253" i="44"/>
  <c r="AU253" i="44" s="1"/>
  <c r="AT188" i="44"/>
  <c r="AU188" i="44" s="1"/>
  <c r="AT227" i="44"/>
  <c r="AU227" i="44" s="1"/>
  <c r="AT196" i="44"/>
  <c r="AU196" i="44" s="1"/>
  <c r="AT210" i="44"/>
  <c r="AU210" i="44" s="1"/>
  <c r="AT248" i="44"/>
  <c r="AU248" i="44" s="1"/>
  <c r="AV308" i="44"/>
  <c r="AT308" i="44"/>
  <c r="AU308" i="44" s="1"/>
  <c r="AX231" i="44"/>
  <c r="AT231" i="44"/>
  <c r="AU231" i="44" s="1"/>
  <c r="AT312" i="44"/>
  <c r="AU312" i="44" s="1"/>
  <c r="AR219" i="44"/>
  <c r="AS219" i="44" s="1"/>
  <c r="AT219" i="44"/>
  <c r="AU219" i="44" s="1"/>
  <c r="AV307" i="44"/>
  <c r="AR315" i="44"/>
  <c r="AS315" i="44" s="1"/>
  <c r="AR307" i="44"/>
  <c r="AS307" i="44" s="1"/>
  <c r="AR357" i="44"/>
  <c r="AS357" i="44" s="1"/>
  <c r="AQ357" i="44"/>
  <c r="AQ307" i="44"/>
  <c r="AV357" i="44"/>
  <c r="AQ315" i="44"/>
  <c r="AQ222" i="44"/>
  <c r="AR222" i="44"/>
  <c r="AS222" i="44" s="1"/>
  <c r="AQ298" i="44"/>
  <c r="AQ231" i="44"/>
  <c r="AQ353" i="44"/>
  <c r="AQ297" i="44"/>
  <c r="AQ282" i="44"/>
  <c r="AR298" i="44"/>
  <c r="AS298" i="44" s="1"/>
  <c r="AV298" i="44"/>
  <c r="AR231" i="44"/>
  <c r="AS231" i="44" s="1"/>
  <c r="AR196" i="44"/>
  <c r="AS196" i="44" s="1"/>
  <c r="AQ358" i="44"/>
  <c r="AR358" i="44"/>
  <c r="AS358" i="44" s="1"/>
  <c r="AQ288" i="44"/>
  <c r="AR227" i="44"/>
  <c r="AS227" i="44" s="1"/>
  <c r="AQ262" i="44"/>
  <c r="AQ189" i="44"/>
  <c r="AR287" i="44"/>
  <c r="AS287" i="44" s="1"/>
  <c r="AR234" i="44"/>
  <c r="AS234" i="44" s="1"/>
  <c r="AQ191" i="44"/>
  <c r="AQ287" i="44"/>
  <c r="AR352" i="44"/>
  <c r="AS352" i="44" s="1"/>
  <c r="AU191" i="44"/>
  <c r="AR354" i="44"/>
  <c r="AS354" i="44" s="1"/>
  <c r="AQ227" i="44"/>
  <c r="AR188" i="44"/>
  <c r="AS188" i="44" s="1"/>
  <c r="AQ302" i="44"/>
  <c r="AR297" i="44"/>
  <c r="AS297" i="44" s="1"/>
  <c r="AV358" i="44"/>
  <c r="AV297" i="44"/>
  <c r="AR288" i="44"/>
  <c r="AS288" i="44" s="1"/>
  <c r="AV363" i="44"/>
  <c r="AV302" i="44"/>
  <c r="AR302" i="44"/>
  <c r="AS302" i="44" s="1"/>
  <c r="AQ196" i="44"/>
  <c r="AR282" i="44"/>
  <c r="AS282" i="44" s="1"/>
  <c r="AQ188" i="44"/>
  <c r="AR262" i="44"/>
  <c r="AS262" i="44" s="1"/>
  <c r="AQ234" i="44"/>
  <c r="AV352" i="44"/>
  <c r="AR189" i="44"/>
  <c r="AS189" i="44" s="1"/>
  <c r="AV441" i="44"/>
  <c r="AQ253" i="44"/>
  <c r="AR191" i="44"/>
  <c r="AS191" i="44" s="1"/>
  <c r="AR213" i="44"/>
  <c r="AS213" i="44" s="1"/>
  <c r="AR363" i="44"/>
  <c r="AS363" i="44" s="1"/>
  <c r="AQ210" i="44"/>
  <c r="AR220" i="44"/>
  <c r="AS220" i="44" s="1"/>
  <c r="AQ363" i="44"/>
  <c r="AR210" i="44"/>
  <c r="AS210" i="44" s="1"/>
  <c r="AV314" i="44"/>
  <c r="AQ314" i="44"/>
  <c r="AR314" i="44"/>
  <c r="AS314" i="44" s="1"/>
  <c r="AR214" i="44"/>
  <c r="AS214" i="44" s="1"/>
  <c r="AQ214" i="44"/>
  <c r="AQ213" i="44"/>
  <c r="AQ230" i="44"/>
  <c r="AQ261" i="44"/>
  <c r="AR230" i="44"/>
  <c r="AS230" i="44" s="1"/>
  <c r="AR261" i="44"/>
  <c r="AS261" i="44" s="1"/>
  <c r="AR228" i="44"/>
  <c r="AS228" i="44" s="1"/>
  <c r="AQ356" i="44"/>
  <c r="AV356" i="44"/>
  <c r="AR356" i="44"/>
  <c r="AS356" i="44" s="1"/>
  <c r="AR209" i="44"/>
  <c r="AS209" i="44" s="1"/>
  <c r="AR280" i="44"/>
  <c r="AS280" i="44" s="1"/>
  <c r="AQ283" i="44"/>
  <c r="AV364" i="44"/>
  <c r="AR283" i="44"/>
  <c r="AS283" i="44" s="1"/>
  <c r="AQ352" i="44"/>
  <c r="AQ263" i="44"/>
  <c r="AV347" i="44"/>
  <c r="AQ257" i="44"/>
  <c r="AR258" i="44"/>
  <c r="AS258" i="44" s="1"/>
  <c r="AQ218" i="44"/>
  <c r="AR198" i="44"/>
  <c r="AS198" i="44" s="1"/>
  <c r="AQ258" i="44"/>
  <c r="AQ198" i="44"/>
  <c r="AV299" i="44"/>
  <c r="AQ225" i="44"/>
  <c r="AQ285" i="44"/>
  <c r="AR285" i="44"/>
  <c r="AS285" i="44" s="1"/>
  <c r="AR257" i="44"/>
  <c r="AS257" i="44" s="1"/>
  <c r="AR367" i="44"/>
  <c r="AS367" i="44" s="1"/>
  <c r="AV367" i="44"/>
  <c r="AX208" i="44"/>
  <c r="AR362" i="44"/>
  <c r="AS362" i="44" s="1"/>
  <c r="AQ216" i="44"/>
  <c r="AQ220" i="44"/>
  <c r="AQ228" i="44"/>
  <c r="AR264" i="44"/>
  <c r="AS264" i="44" s="1"/>
  <c r="AQ224" i="44"/>
  <c r="AQ197" i="44"/>
  <c r="AQ209" i="44"/>
  <c r="AR254" i="44"/>
  <c r="AS254" i="44" s="1"/>
  <c r="AR216" i="44"/>
  <c r="AS216" i="44" s="1"/>
  <c r="AR224" i="44"/>
  <c r="AS224" i="44" s="1"/>
  <c r="AQ367" i="44"/>
  <c r="AR208" i="44"/>
  <c r="AS208" i="44" s="1"/>
  <c r="AX359" i="44"/>
  <c r="AQ281" i="44"/>
  <c r="AR253" i="44"/>
  <c r="AS253" i="44" s="1"/>
  <c r="AR193" i="44"/>
  <c r="AS193" i="44" s="1"/>
  <c r="AQ295" i="44"/>
  <c r="AX281" i="44"/>
  <c r="AR281" i="44"/>
  <c r="AS281" i="44" s="1"/>
  <c r="AR299" i="44"/>
  <c r="AS299" i="44" s="1"/>
  <c r="AV295" i="44"/>
  <c r="AR295" i="44"/>
  <c r="AS295" i="44" s="1"/>
  <c r="AQ284" i="44"/>
  <c r="AQ359" i="44"/>
  <c r="AR284" i="44"/>
  <c r="AS284" i="44" s="1"/>
  <c r="AV359" i="44"/>
  <c r="AQ348" i="44"/>
  <c r="AR225" i="44"/>
  <c r="AS225" i="44" s="1"/>
  <c r="AR359" i="44"/>
  <c r="AS359" i="44" s="1"/>
  <c r="AR347" i="44"/>
  <c r="AS347" i="44" s="1"/>
  <c r="AR310" i="44"/>
  <c r="AS310" i="44" s="1"/>
  <c r="AQ347" i="44"/>
  <c r="AX347" i="44"/>
  <c r="AR236" i="44"/>
  <c r="AS236" i="44" s="1"/>
  <c r="AR223" i="44"/>
  <c r="AS223" i="44" s="1"/>
  <c r="AQ260" i="44"/>
  <c r="AQ211" i="44"/>
  <c r="AR211" i="44"/>
  <c r="AS211" i="44" s="1"/>
  <c r="AR237" i="44"/>
  <c r="AS237" i="44" s="1"/>
  <c r="AQ237" i="44"/>
  <c r="AV365" i="44"/>
  <c r="AU193" i="44"/>
  <c r="AX365" i="44"/>
  <c r="AX299" i="44"/>
  <c r="AQ223" i="44"/>
  <c r="AR212" i="44"/>
  <c r="AS212" i="44" s="1"/>
  <c r="AR221" i="44"/>
  <c r="AS221" i="44" s="1"/>
  <c r="AV310" i="44"/>
  <c r="AR248" i="44"/>
  <c r="AS248" i="44" s="1"/>
  <c r="AQ235" i="44"/>
  <c r="AR197" i="44"/>
  <c r="AS197" i="44" s="1"/>
  <c r="AR365" i="44"/>
  <c r="AS365" i="44" s="1"/>
  <c r="AR235" i="44"/>
  <c r="AS235" i="44" s="1"/>
  <c r="AQ221" i="44"/>
  <c r="AQ212" i="44"/>
  <c r="AQ236" i="44"/>
  <c r="AQ299" i="44"/>
  <c r="AX220" i="44"/>
  <c r="AQ280" i="44"/>
  <c r="AR226" i="44"/>
  <c r="AS226" i="44" s="1"/>
  <c r="AQ366" i="44"/>
  <c r="AQ301" i="44"/>
  <c r="AQ226" i="44"/>
  <c r="AR355" i="44"/>
  <c r="AS355" i="44" s="1"/>
  <c r="AV366" i="44"/>
  <c r="AQ354" i="44"/>
  <c r="AV362" i="44"/>
  <c r="AQ219" i="44"/>
  <c r="AQ312" i="44"/>
  <c r="AV429" i="44"/>
  <c r="AR429" i="44"/>
  <c r="AS429" i="44" s="1"/>
  <c r="AX441" i="44"/>
  <c r="AX361" i="44"/>
  <c r="AX366" i="44"/>
  <c r="AX355" i="44"/>
  <c r="AX362" i="44"/>
  <c r="AX353" i="44"/>
  <c r="AR366" i="44"/>
  <c r="AS366" i="44" s="1"/>
  <c r="AV353" i="44"/>
  <c r="AQ441" i="44"/>
  <c r="AX348" i="44"/>
  <c r="AQ248" i="44"/>
  <c r="AR441" i="44"/>
  <c r="AS441" i="44" s="1"/>
  <c r="AQ232" i="44"/>
  <c r="AV361" i="44"/>
  <c r="AR229" i="44"/>
  <c r="AS229" i="44" s="1"/>
  <c r="AR312" i="44"/>
  <c r="AS312" i="44" s="1"/>
  <c r="AQ361" i="44"/>
  <c r="AQ308" i="44"/>
  <c r="AR308" i="44"/>
  <c r="AS308" i="44" s="1"/>
  <c r="AQ355" i="44"/>
  <c r="AV348" i="44"/>
  <c r="AR249" i="44"/>
  <c r="AS249" i="44" s="1"/>
  <c r="AR301" i="44"/>
  <c r="AS301" i="44" s="1"/>
  <c r="AV354" i="44"/>
  <c r="AV312" i="44"/>
  <c r="AQ429" i="44"/>
  <c r="AQ233" i="44"/>
  <c r="AR232" i="44"/>
  <c r="AS232" i="44" s="1"/>
  <c r="AV301" i="44"/>
  <c r="AX429" i="44"/>
  <c r="AR233" i="44"/>
  <c r="AS233" i="44" s="1"/>
  <c r="AR247" i="44"/>
  <c r="AS247" i="44" s="1"/>
  <c r="AQ364" i="44"/>
  <c r="AQ254" i="44"/>
  <c r="AR256" i="44"/>
  <c r="AS256" i="44" s="1"/>
  <c r="AX286" i="44"/>
  <c r="AX364" i="44"/>
  <c r="AX360" i="44"/>
  <c r="AX247" i="44"/>
  <c r="AX217" i="44"/>
  <c r="AR251" i="44"/>
  <c r="AS251" i="44" s="1"/>
  <c r="AQ195" i="44"/>
  <c r="AR195" i="44"/>
  <c r="AS195" i="44" s="1"/>
  <c r="AV360" i="44"/>
  <c r="AQ251" i="44"/>
  <c r="AR260" i="44"/>
  <c r="AS260" i="44" s="1"/>
  <c r="AR364" i="44"/>
  <c r="AS364" i="44" s="1"/>
  <c r="AR360" i="44"/>
  <c r="AS360" i="44" s="1"/>
  <c r="AQ200" i="44"/>
  <c r="AX280" i="44"/>
  <c r="AX193" i="44"/>
  <c r="AX251" i="44"/>
  <c r="AQ360" i="44"/>
  <c r="AR218" i="44"/>
  <c r="AS218" i="44" s="1"/>
  <c r="AQ255" i="44"/>
  <c r="AR255" i="44"/>
  <c r="AS255" i="44" s="1"/>
  <c r="AQ286" i="44"/>
  <c r="AQ264" i="44"/>
  <c r="AQ256" i="44"/>
  <c r="AX249" i="44"/>
  <c r="AR286" i="44"/>
  <c r="AS286" i="44" s="1"/>
  <c r="AR217" i="44"/>
  <c r="AS217" i="44" s="1"/>
  <c r="AX288" i="44"/>
  <c r="AX307" i="44"/>
  <c r="AX352" i="44"/>
  <c r="AX191" i="44"/>
  <c r="AQ217" i="44"/>
  <c r="AP36" i="50"/>
  <c r="AP48" i="50" s="1"/>
  <c r="AP50" i="50" s="1"/>
  <c r="AP52" i="50" s="1"/>
  <c r="AP58" i="50" s="1"/>
  <c r="AP64" i="50" s="1"/>
  <c r="AU36" i="50"/>
  <c r="AU48" i="50" s="1"/>
  <c r="AU50" i="50" s="1"/>
  <c r="AU52" i="50" s="1"/>
  <c r="AW36" i="50"/>
  <c r="AW48" i="50" s="1"/>
  <c r="AW50" i="50" s="1"/>
  <c r="AW52" i="50" s="1"/>
  <c r="AZ36" i="50"/>
  <c r="AZ48" i="50" s="1"/>
  <c r="AZ50" i="50" s="1"/>
  <c r="AZ52" i="50" s="1"/>
  <c r="AQ427" i="44"/>
  <c r="AV427" i="44"/>
  <c r="AX427" i="44"/>
  <c r="AV311" i="44"/>
  <c r="AR427" i="44"/>
  <c r="AS427" i="44" s="1"/>
  <c r="AR311" i="44"/>
  <c r="AS311" i="44" s="1"/>
  <c r="AQ311" i="44"/>
  <c r="AB36" i="50" l="1"/>
  <c r="AB48" i="50" s="1"/>
  <c r="AB50" i="50" s="1"/>
  <c r="AB52" i="50" s="1"/>
  <c r="AC36" i="50"/>
  <c r="AC48" i="50" s="1"/>
  <c r="AC50" i="50" s="1"/>
  <c r="AC52" i="50" s="1"/>
  <c r="AC54" i="50" s="1"/>
  <c r="AT36" i="50"/>
  <c r="AT48" i="50" s="1"/>
  <c r="AT50" i="50" s="1"/>
  <c r="AT52" i="50" s="1"/>
  <c r="AT58" i="50" s="1"/>
  <c r="AT64" i="50" s="1"/>
  <c r="AO36" i="50"/>
  <c r="AO48" i="50" s="1"/>
  <c r="AO50" i="50" s="1"/>
  <c r="AO52" i="50" s="1"/>
  <c r="AO58" i="50" s="1"/>
  <c r="AM36" i="50"/>
  <c r="AM48" i="50" s="1"/>
  <c r="AM50" i="50" s="1"/>
  <c r="AM52" i="50" s="1"/>
  <c r="AM54" i="50" s="1"/>
  <c r="AG36" i="50"/>
  <c r="AG48" i="50" s="1"/>
  <c r="AG50" i="50" s="1"/>
  <c r="AG52" i="50" s="1"/>
  <c r="AG58" i="50" s="1"/>
  <c r="AG64" i="50" s="1"/>
  <c r="AS36" i="50"/>
  <c r="AS48" i="50" s="1"/>
  <c r="AS50" i="50" s="1"/>
  <c r="AS52" i="50" s="1"/>
  <c r="AS56" i="50" s="1"/>
  <c r="E36" i="50"/>
  <c r="E48" i="50" s="1"/>
  <c r="E50" i="50" s="1"/>
  <c r="E52" i="50" s="1"/>
  <c r="E54" i="50" s="1"/>
  <c r="AD64" i="50"/>
  <c r="AQ36" i="50"/>
  <c r="AQ48" i="50" s="1"/>
  <c r="AQ50" i="50" s="1"/>
  <c r="AQ52" i="50" s="1"/>
  <c r="AQ58" i="50" s="1"/>
  <c r="AQ64" i="50" s="1"/>
  <c r="AM187" i="44"/>
  <c r="AL187" i="44"/>
  <c r="AK187" i="44"/>
  <c r="AJ187" i="44"/>
  <c r="AI187" i="44"/>
  <c r="W187" i="44"/>
  <c r="X187" i="44" s="1"/>
  <c r="S187" i="44"/>
  <c r="P187" i="44"/>
  <c r="N187" i="44"/>
  <c r="AM169" i="44"/>
  <c r="AL169" i="44"/>
  <c r="AK169" i="44"/>
  <c r="AJ169" i="44"/>
  <c r="AI169" i="44"/>
  <c r="W169" i="44"/>
  <c r="X169" i="44" s="1"/>
  <c r="S169" i="44"/>
  <c r="P169" i="44"/>
  <c r="N169" i="44"/>
  <c r="AM167" i="44"/>
  <c r="AL167" i="44"/>
  <c r="AK167" i="44"/>
  <c r="AJ167" i="44"/>
  <c r="AI167" i="44"/>
  <c r="W167" i="44"/>
  <c r="X167" i="44" s="1"/>
  <c r="S167" i="44"/>
  <c r="P167" i="44"/>
  <c r="N167" i="44"/>
  <c r="AM166" i="44"/>
  <c r="AL166" i="44"/>
  <c r="AK166" i="44"/>
  <c r="AJ166" i="44"/>
  <c r="AI166" i="44"/>
  <c r="W166" i="44"/>
  <c r="X166" i="44" s="1"/>
  <c r="S166" i="44"/>
  <c r="P166" i="44"/>
  <c r="N166" i="44"/>
  <c r="AM165" i="44"/>
  <c r="AL165" i="44"/>
  <c r="AK165" i="44"/>
  <c r="AJ165" i="44"/>
  <c r="AI165" i="44"/>
  <c r="W165" i="44"/>
  <c r="X165" i="44" s="1"/>
  <c r="S165" i="44"/>
  <c r="P165" i="44"/>
  <c r="N165" i="44"/>
  <c r="N160" i="44"/>
  <c r="N159" i="44"/>
  <c r="AM148" i="44"/>
  <c r="AL148" i="44"/>
  <c r="AK148" i="44"/>
  <c r="AJ148" i="44"/>
  <c r="AI148" i="44"/>
  <c r="W148" i="44"/>
  <c r="S148" i="44"/>
  <c r="P148" i="44"/>
  <c r="N148" i="44"/>
  <c r="AM146" i="44"/>
  <c r="AL146" i="44"/>
  <c r="AK146" i="44"/>
  <c r="AJ146" i="44"/>
  <c r="AI146" i="44"/>
  <c r="W146" i="44"/>
  <c r="X146" i="44" s="1"/>
  <c r="S146" i="44"/>
  <c r="P146" i="44"/>
  <c r="N146" i="44"/>
  <c r="AM145" i="44"/>
  <c r="AL145" i="44"/>
  <c r="AK145" i="44"/>
  <c r="AJ145" i="44"/>
  <c r="AI145" i="44"/>
  <c r="W145" i="44"/>
  <c r="X145" i="44" s="1"/>
  <c r="S145" i="44"/>
  <c r="P145" i="44"/>
  <c r="N145" i="44"/>
  <c r="AM144" i="44"/>
  <c r="AL144" i="44"/>
  <c r="AK144" i="44"/>
  <c r="AJ144" i="44"/>
  <c r="AI144" i="44"/>
  <c r="W144" i="44"/>
  <c r="X144" i="44" s="1"/>
  <c r="S144" i="44"/>
  <c r="P144" i="44"/>
  <c r="N144" i="44"/>
  <c r="AM143" i="44"/>
  <c r="AL143" i="44"/>
  <c r="AK143" i="44"/>
  <c r="AJ143" i="44"/>
  <c r="AI143" i="44"/>
  <c r="W143" i="44"/>
  <c r="X143" i="44" s="1"/>
  <c r="S143" i="44"/>
  <c r="P143" i="44"/>
  <c r="N143" i="44"/>
  <c r="AM142" i="44"/>
  <c r="AL142" i="44"/>
  <c r="AK142" i="44"/>
  <c r="AJ142" i="44"/>
  <c r="AI142" i="44"/>
  <c r="W142" i="44"/>
  <c r="X142" i="44" s="1"/>
  <c r="S142" i="44"/>
  <c r="P142" i="44"/>
  <c r="N142" i="44"/>
  <c r="AM141" i="44"/>
  <c r="AL141" i="44"/>
  <c r="AK141" i="44"/>
  <c r="AJ141" i="44"/>
  <c r="AI141" i="44"/>
  <c r="W141" i="44"/>
  <c r="X141" i="44" s="1"/>
  <c r="S141" i="44"/>
  <c r="P141" i="44"/>
  <c r="N141" i="44"/>
  <c r="AT113" i="44"/>
  <c r="AM113" i="44"/>
  <c r="AL113" i="44"/>
  <c r="AK113" i="44"/>
  <c r="AJ113" i="44"/>
  <c r="AI113" i="44"/>
  <c r="W113" i="44"/>
  <c r="X113" i="44" s="1"/>
  <c r="S113" i="44"/>
  <c r="P113" i="44"/>
  <c r="N113" i="44"/>
  <c r="AM112" i="44"/>
  <c r="AL112" i="44"/>
  <c r="AK112" i="44"/>
  <c r="AJ112" i="44"/>
  <c r="AI112" i="44"/>
  <c r="W112" i="44"/>
  <c r="X112" i="44" s="1"/>
  <c r="S112" i="44"/>
  <c r="P112" i="44"/>
  <c r="N112" i="44"/>
  <c r="AT111" i="44"/>
  <c r="AM111" i="44"/>
  <c r="AL111" i="44"/>
  <c r="AK111" i="44"/>
  <c r="AJ111" i="44"/>
  <c r="AI111" i="44"/>
  <c r="W111" i="44"/>
  <c r="X111" i="44" s="1"/>
  <c r="S111" i="44"/>
  <c r="P111" i="44"/>
  <c r="N111" i="44"/>
  <c r="AM110" i="44"/>
  <c r="AL110" i="44"/>
  <c r="AK110" i="44"/>
  <c r="AJ110" i="44"/>
  <c r="AI110" i="44"/>
  <c r="S110" i="44"/>
  <c r="P110" i="44"/>
  <c r="N110" i="44"/>
  <c r="AM109" i="44"/>
  <c r="AL109" i="44"/>
  <c r="AK109" i="44"/>
  <c r="AJ109" i="44"/>
  <c r="AI109" i="44"/>
  <c r="W109" i="44"/>
  <c r="X109" i="44" s="1"/>
  <c r="S109" i="44"/>
  <c r="P109" i="44"/>
  <c r="N109" i="44"/>
  <c r="AM108" i="44"/>
  <c r="AL108" i="44"/>
  <c r="AK108" i="44"/>
  <c r="AJ108" i="44"/>
  <c r="AI108" i="44"/>
  <c r="W108" i="44"/>
  <c r="X108" i="44" s="1"/>
  <c r="S108" i="44"/>
  <c r="P108" i="44"/>
  <c r="N108" i="44"/>
  <c r="AM95" i="44"/>
  <c r="AL95" i="44"/>
  <c r="AK95" i="44"/>
  <c r="AJ95" i="44"/>
  <c r="AI95" i="44"/>
  <c r="W95" i="44"/>
  <c r="X95" i="44" s="1"/>
  <c r="S95" i="44"/>
  <c r="P95" i="44"/>
  <c r="N95" i="44"/>
  <c r="AT66" i="44"/>
  <c r="AM66" i="44"/>
  <c r="AL66" i="44"/>
  <c r="AK66" i="44"/>
  <c r="AJ66" i="44"/>
  <c r="AI66" i="44"/>
  <c r="W66" i="44"/>
  <c r="X66" i="44" s="1"/>
  <c r="S66" i="44"/>
  <c r="P66" i="44"/>
  <c r="N66" i="44"/>
  <c r="AT65" i="44"/>
  <c r="AM65" i="44"/>
  <c r="AL65" i="44"/>
  <c r="AK65" i="44"/>
  <c r="AJ65" i="44"/>
  <c r="AI65" i="44"/>
  <c r="W65" i="44"/>
  <c r="X65" i="44" s="1"/>
  <c r="S65" i="44"/>
  <c r="P65" i="44"/>
  <c r="N65" i="44"/>
  <c r="AM64" i="44"/>
  <c r="AL64" i="44"/>
  <c r="AK64" i="44"/>
  <c r="AJ64" i="44"/>
  <c r="AI64" i="44"/>
  <c r="W64" i="44"/>
  <c r="X64" i="44" s="1"/>
  <c r="S64" i="44"/>
  <c r="P64" i="44"/>
  <c r="N64" i="44"/>
  <c r="AM63" i="44"/>
  <c r="AL63" i="44"/>
  <c r="AK63" i="44"/>
  <c r="AJ63" i="44"/>
  <c r="AI63" i="44"/>
  <c r="W63" i="44"/>
  <c r="X63" i="44" s="1"/>
  <c r="S63" i="44"/>
  <c r="P63" i="44"/>
  <c r="N63" i="44"/>
  <c r="AM62" i="44"/>
  <c r="AL62" i="44"/>
  <c r="AK62" i="44"/>
  <c r="AJ62" i="44"/>
  <c r="AI62" i="44"/>
  <c r="W62" i="44"/>
  <c r="X62" i="44" s="1"/>
  <c r="S62" i="44"/>
  <c r="P62" i="44"/>
  <c r="N62" i="44"/>
  <c r="AM60" i="44"/>
  <c r="AL60" i="44"/>
  <c r="AK60" i="44"/>
  <c r="AJ60" i="44"/>
  <c r="AI60" i="44"/>
  <c r="W60" i="44"/>
  <c r="X60" i="44" s="1"/>
  <c r="S60" i="44"/>
  <c r="P60" i="44"/>
  <c r="N60" i="44"/>
  <c r="AM59" i="44"/>
  <c r="AL59" i="44"/>
  <c r="AK59" i="44"/>
  <c r="AJ59" i="44"/>
  <c r="AI59" i="44"/>
  <c r="W59" i="44"/>
  <c r="X59" i="44" s="1"/>
  <c r="S59" i="44"/>
  <c r="P59" i="44"/>
  <c r="N59" i="44"/>
  <c r="AM45" i="44"/>
  <c r="AL45" i="44"/>
  <c r="AK45" i="44"/>
  <c r="AJ45" i="44"/>
  <c r="AI45" i="44"/>
  <c r="W45" i="44"/>
  <c r="X45" i="44" s="1"/>
  <c r="S45" i="44"/>
  <c r="P45" i="44"/>
  <c r="N45" i="44"/>
  <c r="AM44" i="44"/>
  <c r="AL44" i="44"/>
  <c r="AK44" i="44"/>
  <c r="AJ44" i="44"/>
  <c r="AI44" i="44"/>
  <c r="W44" i="44"/>
  <c r="X44" i="44" s="1"/>
  <c r="S44" i="44"/>
  <c r="P44" i="44"/>
  <c r="N44" i="44"/>
  <c r="AT42" i="44"/>
  <c r="AM42" i="44"/>
  <c r="AL42" i="44"/>
  <c r="AK42" i="44"/>
  <c r="AJ42" i="44"/>
  <c r="AI42" i="44"/>
  <c r="W42" i="44"/>
  <c r="X42" i="44" s="1"/>
  <c r="S42" i="44"/>
  <c r="P42" i="44"/>
  <c r="N42" i="44"/>
  <c r="AM41" i="44"/>
  <c r="AL41" i="44"/>
  <c r="AK41" i="44"/>
  <c r="AJ41" i="44"/>
  <c r="AI41" i="44"/>
  <c r="W41" i="44"/>
  <c r="X41" i="44" s="1"/>
  <c r="S41" i="44"/>
  <c r="P41" i="44"/>
  <c r="N41" i="44"/>
  <c r="AM40" i="44"/>
  <c r="AL40" i="44"/>
  <c r="AK40" i="44"/>
  <c r="AJ40" i="44"/>
  <c r="AI40" i="44"/>
  <c r="W40" i="44"/>
  <c r="X40" i="44" s="1"/>
  <c r="S40" i="44"/>
  <c r="P40" i="44"/>
  <c r="N40" i="44"/>
  <c r="AM39" i="44"/>
  <c r="AL39" i="44"/>
  <c r="AK39" i="44"/>
  <c r="AJ39" i="44"/>
  <c r="AI39" i="44"/>
  <c r="W39" i="44"/>
  <c r="X39" i="44" s="1"/>
  <c r="S39" i="44"/>
  <c r="P39" i="44"/>
  <c r="N39" i="44"/>
  <c r="AM38" i="44"/>
  <c r="AL38" i="44"/>
  <c r="AK38" i="44"/>
  <c r="AJ38" i="44"/>
  <c r="AI38" i="44"/>
  <c r="W38" i="44"/>
  <c r="X38" i="44" s="1"/>
  <c r="S38" i="44"/>
  <c r="P38" i="44"/>
  <c r="N38" i="44"/>
  <c r="AM30" i="44"/>
  <c r="AL30" i="44"/>
  <c r="AK30" i="44"/>
  <c r="AJ30" i="44"/>
  <c r="AI30" i="44"/>
  <c r="W30" i="44"/>
  <c r="X30" i="44" s="1"/>
  <c r="S30" i="44"/>
  <c r="P30" i="44"/>
  <c r="N30" i="44"/>
  <c r="AM29" i="44"/>
  <c r="AL29" i="44"/>
  <c r="AK29" i="44"/>
  <c r="AJ29" i="44"/>
  <c r="AI29" i="44"/>
  <c r="W29" i="44"/>
  <c r="X29" i="44" s="1"/>
  <c r="S29" i="44"/>
  <c r="P29" i="44"/>
  <c r="N29" i="44"/>
  <c r="AM27" i="44"/>
  <c r="AL27" i="44"/>
  <c r="AK27" i="44"/>
  <c r="AJ27" i="44"/>
  <c r="AI27" i="44"/>
  <c r="Z27" i="44"/>
  <c r="S27" i="44"/>
  <c r="P27" i="44"/>
  <c r="N27" i="44"/>
  <c r="AM25" i="44"/>
  <c r="AL25" i="44"/>
  <c r="AK25" i="44"/>
  <c r="AJ25" i="44"/>
  <c r="AI25" i="44"/>
  <c r="AA25" i="44"/>
  <c r="S25" i="44"/>
  <c r="P25" i="44"/>
  <c r="N25" i="44"/>
  <c r="AM23" i="44"/>
  <c r="AL23" i="44"/>
  <c r="AK23" i="44"/>
  <c r="AJ23" i="44"/>
  <c r="AI23" i="44"/>
  <c r="AB23" i="44"/>
  <c r="S23" i="44"/>
  <c r="P23" i="44"/>
  <c r="N23" i="44"/>
  <c r="AM20" i="44"/>
  <c r="AL20" i="44"/>
  <c r="AK20" i="44"/>
  <c r="AJ20" i="44"/>
  <c r="AI20" i="44"/>
  <c r="W20" i="44"/>
  <c r="X20" i="44" s="1"/>
  <c r="S20" i="44"/>
  <c r="P20" i="44"/>
  <c r="N20" i="44"/>
  <c r="AM19" i="44"/>
  <c r="AL19" i="44"/>
  <c r="AK19" i="44"/>
  <c r="AJ19" i="44"/>
  <c r="AI19" i="44"/>
  <c r="W19" i="44"/>
  <c r="X19" i="44" s="1"/>
  <c r="S19" i="44"/>
  <c r="P19" i="44"/>
  <c r="N19" i="44"/>
  <c r="AM18" i="44"/>
  <c r="AL18" i="44"/>
  <c r="AK18" i="44"/>
  <c r="AJ18" i="44"/>
  <c r="AI18" i="44"/>
  <c r="W18" i="44"/>
  <c r="X18" i="44" s="1"/>
  <c r="S18" i="44"/>
  <c r="P18" i="44"/>
  <c r="N18" i="44"/>
  <c r="AM17" i="44"/>
  <c r="AL17" i="44"/>
  <c r="AK17" i="44"/>
  <c r="AJ17" i="44"/>
  <c r="AI17" i="44"/>
  <c r="W17" i="44"/>
  <c r="X17" i="44" s="1"/>
  <c r="S17" i="44"/>
  <c r="P17" i="44"/>
  <c r="N17" i="44"/>
  <c r="AM16" i="44"/>
  <c r="AL16" i="44"/>
  <c r="AK16" i="44"/>
  <c r="AJ16" i="44"/>
  <c r="AI16" i="44"/>
  <c r="W16" i="44"/>
  <c r="X16" i="44" s="1"/>
  <c r="S16" i="44"/>
  <c r="P16" i="44"/>
  <c r="N16" i="44"/>
  <c r="AM15" i="44"/>
  <c r="AL15" i="44"/>
  <c r="AK15" i="44"/>
  <c r="AJ15" i="44"/>
  <c r="AI15" i="44"/>
  <c r="W15" i="44"/>
  <c r="X15" i="44" s="1"/>
  <c r="S15" i="44"/>
  <c r="P15" i="44"/>
  <c r="N15" i="44"/>
  <c r="AM14" i="44"/>
  <c r="AL14" i="44"/>
  <c r="AK14" i="44"/>
  <c r="AJ14" i="44"/>
  <c r="AI14" i="44"/>
  <c r="W14" i="44"/>
  <c r="X14" i="44" s="1"/>
  <c r="S14" i="44"/>
  <c r="P14" i="44"/>
  <c r="N14" i="44"/>
  <c r="AM13" i="44"/>
  <c r="AL13" i="44"/>
  <c r="AK13" i="44"/>
  <c r="AJ13" i="44"/>
  <c r="AI13" i="44"/>
  <c r="W13" i="44"/>
  <c r="X13" i="44" s="1"/>
  <c r="S13" i="44"/>
  <c r="P13" i="44"/>
  <c r="N13" i="44"/>
  <c r="O13" i="44" s="1"/>
  <c r="AM12" i="44"/>
  <c r="AL12" i="44"/>
  <c r="AK12" i="44"/>
  <c r="AJ12" i="44"/>
  <c r="AI12" i="44"/>
  <c r="W12" i="44"/>
  <c r="X12" i="44" s="1"/>
  <c r="S12" i="44"/>
  <c r="P12" i="44"/>
  <c r="N12" i="44"/>
  <c r="AM11" i="44"/>
  <c r="AL11" i="44"/>
  <c r="AK11" i="44"/>
  <c r="AJ11" i="44"/>
  <c r="AI11" i="44"/>
  <c r="W11" i="44"/>
  <c r="X11" i="44" s="1"/>
  <c r="S11" i="44"/>
  <c r="P11" i="44"/>
  <c r="N11" i="44"/>
  <c r="AM10" i="44"/>
  <c r="AL10" i="44"/>
  <c r="AK10" i="44"/>
  <c r="AJ10" i="44"/>
  <c r="AI10" i="44"/>
  <c r="S10" i="44"/>
  <c r="P10" i="44"/>
  <c r="N10" i="44"/>
  <c r="AM9" i="44"/>
  <c r="AL9" i="44"/>
  <c r="AK9" i="44"/>
  <c r="AJ9" i="44"/>
  <c r="AI9" i="44"/>
  <c r="S9" i="44"/>
  <c r="P9" i="44"/>
  <c r="N9" i="44"/>
  <c r="AM8" i="44"/>
  <c r="AL8" i="44"/>
  <c r="AK8" i="44"/>
  <c r="AJ8" i="44"/>
  <c r="AI8" i="44"/>
  <c r="S8" i="44"/>
  <c r="P8" i="44"/>
  <c r="N8" i="44"/>
  <c r="AM7" i="44"/>
  <c r="AL7" i="44"/>
  <c r="AK7" i="44"/>
  <c r="AJ7" i="44"/>
  <c r="AI7" i="44"/>
  <c r="AA7" i="44"/>
  <c r="S7" i="44"/>
  <c r="P7" i="44"/>
  <c r="N7" i="44"/>
  <c r="V36" i="50" l="1"/>
  <c r="V48" i="50" s="1"/>
  <c r="V50" i="50" s="1"/>
  <c r="V52" i="50" s="1"/>
  <c r="V54" i="50" s="1"/>
  <c r="V64" i="50" s="1"/>
  <c r="W36" i="50"/>
  <c r="W48" i="50" s="1"/>
  <c r="W50" i="50" s="1"/>
  <c r="W52" i="50" s="1"/>
  <c r="W54" i="50" s="1"/>
  <c r="H36" i="50"/>
  <c r="H48" i="50" s="1"/>
  <c r="H50" i="50" s="1"/>
  <c r="H52" i="50" s="1"/>
  <c r="H54" i="50" s="1"/>
  <c r="X148" i="44"/>
  <c r="O18" i="44"/>
  <c r="O10" i="44"/>
  <c r="O109" i="44"/>
  <c r="O14" i="44"/>
  <c r="O38" i="44"/>
  <c r="O169" i="44"/>
  <c r="O17" i="44"/>
  <c r="O23" i="44"/>
  <c r="O108" i="44"/>
  <c r="O112" i="44"/>
  <c r="O41" i="44"/>
  <c r="O167" i="44"/>
  <c r="O166" i="44"/>
  <c r="O16" i="44"/>
  <c r="O20" i="44"/>
  <c r="O9" i="44"/>
  <c r="O12" i="44"/>
  <c r="O40" i="44"/>
  <c r="O15" i="44"/>
  <c r="O19" i="44"/>
  <c r="O27" i="44"/>
  <c r="O8" i="44"/>
  <c r="O11" i="44"/>
  <c r="O39" i="44"/>
  <c r="O165" i="44"/>
  <c r="O187" i="44"/>
  <c r="O7" i="44"/>
  <c r="O25" i="44"/>
  <c r="AA39" i="44"/>
  <c r="AA166" i="44"/>
  <c r="AB167" i="44"/>
  <c r="AA59" i="44"/>
  <c r="AA64" i="44"/>
  <c r="Z165" i="44"/>
  <c r="AB187" i="44"/>
  <c r="AA111" i="44"/>
  <c r="Z141" i="44"/>
  <c r="AB143" i="44"/>
  <c r="Z144" i="44"/>
  <c r="AB145" i="44"/>
  <c r="AA146" i="44"/>
  <c r="Z148" i="44"/>
  <c r="AA45" i="44"/>
  <c r="Z65" i="44"/>
  <c r="AB42" i="44"/>
  <c r="AB60" i="44"/>
  <c r="AB95" i="44"/>
  <c r="Z40" i="44"/>
  <c r="AA110" i="44"/>
  <c r="AB169" i="44"/>
  <c r="Z109" i="44"/>
  <c r="AB44" i="44"/>
  <c r="AB13" i="44"/>
  <c r="Z17" i="44"/>
  <c r="Z30" i="44"/>
  <c r="AA16" i="44"/>
  <c r="AA29" i="44"/>
  <c r="Z11" i="44"/>
  <c r="AA19" i="44"/>
  <c r="AA12" i="44"/>
  <c r="Z20" i="44"/>
  <c r="AN112" i="44"/>
  <c r="AN166" i="44"/>
  <c r="AN40" i="44"/>
  <c r="Z44" i="44"/>
  <c r="AN29" i="44"/>
  <c r="AN44" i="44"/>
  <c r="AN113" i="44"/>
  <c r="AN145" i="44"/>
  <c r="AN109" i="44"/>
  <c r="AN39" i="44"/>
  <c r="AN111" i="44"/>
  <c r="Z13" i="44"/>
  <c r="AN14" i="44"/>
  <c r="AN20" i="44"/>
  <c r="AN30" i="44"/>
  <c r="AN64" i="44"/>
  <c r="AA66" i="44"/>
  <c r="AN148" i="44"/>
  <c r="Z19" i="44"/>
  <c r="AN45" i="44"/>
  <c r="AA109" i="44"/>
  <c r="AA165" i="44"/>
  <c r="AN12" i="44"/>
  <c r="AN187" i="44"/>
  <c r="AN60" i="44"/>
  <c r="AA30" i="44"/>
  <c r="AN9" i="44"/>
  <c r="AN25" i="44"/>
  <c r="AB30" i="44"/>
  <c r="Z166" i="44"/>
  <c r="AN8" i="44"/>
  <c r="AN15" i="44"/>
  <c r="AN23" i="44"/>
  <c r="AB144" i="44"/>
  <c r="AN10" i="44"/>
  <c r="AN144" i="44"/>
  <c r="AN11" i="44"/>
  <c r="AB17" i="44"/>
  <c r="AN63" i="44"/>
  <c r="AN95" i="44"/>
  <c r="AN110" i="44"/>
  <c r="Z7" i="44"/>
  <c r="Z25" i="44"/>
  <c r="Z167" i="44"/>
  <c r="AN41" i="44"/>
  <c r="AN146" i="44"/>
  <c r="AA167" i="44"/>
  <c r="Z143" i="44"/>
  <c r="AN18" i="44"/>
  <c r="Z59" i="44"/>
  <c r="AN65" i="44"/>
  <c r="AN108" i="44"/>
  <c r="AN13" i="44"/>
  <c r="AB19" i="44"/>
  <c r="AN27" i="44"/>
  <c r="AO27" i="44" s="1"/>
  <c r="AN59" i="44"/>
  <c r="AB66" i="44"/>
  <c r="AB109" i="44"/>
  <c r="AA144" i="44"/>
  <c r="AB165" i="44"/>
  <c r="AB39" i="44"/>
  <c r="AN66" i="44"/>
  <c r="AN165" i="44"/>
  <c r="Z42" i="44"/>
  <c r="AN19" i="44"/>
  <c r="AA40" i="44"/>
  <c r="AA42" i="44"/>
  <c r="Z45" i="44"/>
  <c r="AB64" i="44"/>
  <c r="Z18" i="44"/>
  <c r="AB20" i="44"/>
  <c r="AB40" i="44"/>
  <c r="Z60" i="44"/>
  <c r="AA18" i="44"/>
  <c r="AA60" i="44"/>
  <c r="Z111" i="44"/>
  <c r="AN142" i="44"/>
  <c r="Z145" i="44"/>
  <c r="AN167" i="44"/>
  <c r="AA20" i="44"/>
  <c r="AB111" i="44"/>
  <c r="AB7" i="44"/>
  <c r="AA11" i="44"/>
  <c r="AA13" i="44"/>
  <c r="AB16" i="44"/>
  <c r="Z23" i="44"/>
  <c r="Z41" i="44"/>
  <c r="AB65" i="44"/>
  <c r="AA141" i="44"/>
  <c r="AA143" i="44"/>
  <c r="AB166" i="44"/>
  <c r="AB18" i="44"/>
  <c r="AB11" i="44"/>
  <c r="AA41" i="44"/>
  <c r="AB141" i="44"/>
  <c r="Z146" i="44"/>
  <c r="AA142" i="44"/>
  <c r="AB142" i="44"/>
  <c r="AB41" i="44"/>
  <c r="Z142" i="44"/>
  <c r="AN42" i="44"/>
  <c r="AA65" i="44"/>
  <c r="AN7" i="44"/>
  <c r="AN16" i="44"/>
  <c r="AA17" i="44"/>
  <c r="AN38" i="44"/>
  <c r="AN62" i="44"/>
  <c r="Z66" i="44"/>
  <c r="AN143" i="44"/>
  <c r="AB14" i="44"/>
  <c r="AA14" i="44"/>
  <c r="Z14" i="44"/>
  <c r="AB112" i="44"/>
  <c r="AA112" i="44"/>
  <c r="Z112" i="44"/>
  <c r="AA10" i="44"/>
  <c r="Z10" i="44"/>
  <c r="AB10" i="44"/>
  <c r="AA108" i="44"/>
  <c r="Z108" i="44"/>
  <c r="AB108" i="44"/>
  <c r="AB8" i="44"/>
  <c r="AA8" i="44"/>
  <c r="Z8" i="44"/>
  <c r="AB9" i="44"/>
  <c r="Z9" i="44"/>
  <c r="AA9" i="44"/>
  <c r="AB29" i="44"/>
  <c r="Z95" i="44"/>
  <c r="Z29" i="44"/>
  <c r="AB62" i="44"/>
  <c r="AA62" i="44"/>
  <c r="Z62" i="44"/>
  <c r="AA95" i="44"/>
  <c r="AB15" i="44"/>
  <c r="AA15" i="44"/>
  <c r="Z15" i="44"/>
  <c r="AB113" i="44"/>
  <c r="AA113" i="44"/>
  <c r="Z113" i="44"/>
  <c r="AB12" i="44"/>
  <c r="AA44" i="44"/>
  <c r="AB45" i="44"/>
  <c r="AB110" i="44"/>
  <c r="AA187" i="44"/>
  <c r="Z187" i="44"/>
  <c r="Z12" i="44"/>
  <c r="AA27" i="44"/>
  <c r="Z110" i="44"/>
  <c r="AA148" i="44"/>
  <c r="Z169" i="44"/>
  <c r="AB38" i="44"/>
  <c r="AA38" i="44"/>
  <c r="Z38" i="44"/>
  <c r="AB27" i="44"/>
  <c r="AB148" i="44"/>
  <c r="AA169" i="44"/>
  <c r="AB63" i="44"/>
  <c r="AA63" i="44"/>
  <c r="Z63" i="44"/>
  <c r="AN17" i="44"/>
  <c r="AA23" i="44"/>
  <c r="AB25" i="44"/>
  <c r="AB59" i="44"/>
  <c r="AN141" i="44"/>
  <c r="AA145" i="44"/>
  <c r="AB146" i="44"/>
  <c r="AN169" i="44"/>
  <c r="Z16" i="44"/>
  <c r="Z39" i="44"/>
  <c r="Z64" i="44"/>
  <c r="AT23" i="44" l="1"/>
  <c r="AT27" i="44"/>
  <c r="AU27" i="44" s="1"/>
  <c r="AT25" i="44"/>
  <c r="AX27" i="44"/>
  <c r="AO165" i="44"/>
  <c r="AP165" i="44" s="1"/>
  <c r="AO15" i="44"/>
  <c r="AO166" i="44"/>
  <c r="AO40" i="44"/>
  <c r="AO17" i="44"/>
  <c r="AO141" i="44"/>
  <c r="AP141" i="44" s="1"/>
  <c r="AO148" i="44"/>
  <c r="AP148" i="44" s="1"/>
  <c r="AO144" i="44"/>
  <c r="AO65" i="44"/>
  <c r="AO109" i="44"/>
  <c r="AO112" i="44"/>
  <c r="AP112" i="44" s="1"/>
  <c r="AW112" i="44" s="1"/>
  <c r="AO11" i="44"/>
  <c r="AO30" i="44"/>
  <c r="AO20" i="44"/>
  <c r="AO29" i="44"/>
  <c r="AO44" i="44"/>
  <c r="AO145" i="44"/>
  <c r="AO113" i="44"/>
  <c r="AO8" i="44"/>
  <c r="AP8" i="44" s="1"/>
  <c r="AW8" i="44" s="1"/>
  <c r="AO111" i="44"/>
  <c r="AO39" i="44"/>
  <c r="AO25" i="44"/>
  <c r="AO10" i="44"/>
  <c r="AO110" i="44"/>
  <c r="AO13" i="44"/>
  <c r="AP13" i="44" s="1"/>
  <c r="AO63" i="44"/>
  <c r="AO167" i="44"/>
  <c r="AP167" i="44" s="1"/>
  <c r="AO14" i="44"/>
  <c r="AO42" i="44"/>
  <c r="AO64" i="44"/>
  <c r="AO60" i="44"/>
  <c r="AO95" i="44"/>
  <c r="AO41" i="44"/>
  <c r="AO187" i="44"/>
  <c r="AO12" i="44"/>
  <c r="AO19" i="44"/>
  <c r="AO9" i="44"/>
  <c r="AO142" i="44"/>
  <c r="AP142" i="44" s="1"/>
  <c r="AO59" i="44"/>
  <c r="AO7" i="44"/>
  <c r="AO45" i="44"/>
  <c r="AO108" i="44"/>
  <c r="AO23" i="44"/>
  <c r="AO146" i="44"/>
  <c r="AO66" i="44"/>
  <c r="AO18" i="44"/>
  <c r="AO143" i="44"/>
  <c r="AO38" i="44"/>
  <c r="AQ27" i="44"/>
  <c r="AO16" i="44"/>
  <c r="AO169" i="44"/>
  <c r="AP169" i="44" s="1"/>
  <c r="AO62" i="44"/>
  <c r="AR27" i="44"/>
  <c r="AS27" i="44" s="1"/>
  <c r="AV148" i="44" l="1"/>
  <c r="AW148" i="44"/>
  <c r="AV146" i="44"/>
  <c r="AW146" i="44"/>
  <c r="AV142" i="44"/>
  <c r="AW142" i="44"/>
  <c r="AV141" i="44"/>
  <c r="AW141" i="44"/>
  <c r="AV165" i="44"/>
  <c r="AW165" i="44"/>
  <c r="AV13" i="44"/>
  <c r="AW13" i="44"/>
  <c r="AT112" i="44"/>
  <c r="AU112" i="44" s="1"/>
  <c r="AV112" i="44"/>
  <c r="AT8" i="44"/>
  <c r="AU8" i="44" s="1"/>
  <c r="AV8" i="44"/>
  <c r="AX13" i="44"/>
  <c r="AT165" i="44"/>
  <c r="AU165" i="44" s="1"/>
  <c r="AT13" i="44"/>
  <c r="AU13" i="44" s="1"/>
  <c r="AX146" i="44"/>
  <c r="AX148" i="44"/>
  <c r="AP143" i="44"/>
  <c r="AP113" i="44"/>
  <c r="AP30" i="44"/>
  <c r="AP18" i="44"/>
  <c r="AP41" i="44"/>
  <c r="AP65" i="44"/>
  <c r="AW65" i="44" s="1"/>
  <c r="AP17" i="44"/>
  <c r="AP9" i="44"/>
  <c r="AP111" i="44"/>
  <c r="AP11" i="44"/>
  <c r="AP144" i="44"/>
  <c r="AX144" i="44" s="1"/>
  <c r="AP16" i="44"/>
  <c r="AP42" i="44"/>
  <c r="AP39" i="44"/>
  <c r="AP14" i="44"/>
  <c r="AP38" i="44"/>
  <c r="AP19" i="44"/>
  <c r="AP109" i="44"/>
  <c r="AP40" i="44"/>
  <c r="AP12" i="44"/>
  <c r="AP145" i="44"/>
  <c r="AP166" i="44"/>
  <c r="AP187" i="44"/>
  <c r="AP63" i="44"/>
  <c r="AP62" i="44"/>
  <c r="AP66" i="44"/>
  <c r="AP7" i="44"/>
  <c r="AP29" i="44"/>
  <c r="AP15" i="44"/>
  <c r="AP95" i="44"/>
  <c r="AP110" i="44"/>
  <c r="AP59" i="44"/>
  <c r="AP10" i="44"/>
  <c r="AP108" i="44"/>
  <c r="AR64" i="44"/>
  <c r="AS64" i="44" s="1"/>
  <c r="AP20" i="44"/>
  <c r="AR148" i="44"/>
  <c r="AS148" i="44" s="1"/>
  <c r="AX141" i="44"/>
  <c r="AX165" i="44"/>
  <c r="AR165" i="44"/>
  <c r="AS165" i="44" s="1"/>
  <c r="AQ165" i="44"/>
  <c r="AX142" i="44"/>
  <c r="AQ148" i="44"/>
  <c r="AQ112" i="44"/>
  <c r="AQ13" i="44"/>
  <c r="AT110" i="44"/>
  <c r="AQ8" i="44"/>
  <c r="AR112" i="44"/>
  <c r="AS112" i="44" s="1"/>
  <c r="AR13" i="44"/>
  <c r="AS13" i="44" s="1"/>
  <c r="AR8" i="44"/>
  <c r="AS8" i="44" s="1"/>
  <c r="AV7" i="44" l="1"/>
  <c r="AW7" i="44"/>
  <c r="AV10" i="44"/>
  <c r="AW10" i="44"/>
  <c r="AV9" i="44"/>
  <c r="AW9" i="44"/>
  <c r="AV18" i="44"/>
  <c r="AW18" i="44"/>
  <c r="AV42" i="44"/>
  <c r="AW42" i="44"/>
  <c r="AV16" i="44"/>
  <c r="AW16" i="44"/>
  <c r="AV38" i="44"/>
  <c r="AW38" i="44"/>
  <c r="AV20" i="44"/>
  <c r="AW20" i="44"/>
  <c r="AV108" i="44"/>
  <c r="AW108" i="44"/>
  <c r="AV166" i="44"/>
  <c r="AW166" i="44"/>
  <c r="AV39" i="44"/>
  <c r="AW39" i="44"/>
  <c r="AV143" i="44"/>
  <c r="AW143" i="44"/>
  <c r="AV169" i="44"/>
  <c r="AW169" i="44"/>
  <c r="AV11" i="44"/>
  <c r="AW11" i="44"/>
  <c r="AV59" i="44"/>
  <c r="AW59" i="44"/>
  <c r="AV111" i="44"/>
  <c r="AW111" i="44"/>
  <c r="AV30" i="44"/>
  <c r="AW30" i="44"/>
  <c r="AV144" i="44"/>
  <c r="AW144" i="44"/>
  <c r="AV145" i="44"/>
  <c r="AW145" i="44"/>
  <c r="AV40" i="44"/>
  <c r="AW40" i="44"/>
  <c r="AV109" i="44"/>
  <c r="AW109" i="44"/>
  <c r="AV17" i="44"/>
  <c r="AW17" i="44"/>
  <c r="AV14" i="44"/>
  <c r="AW14" i="44"/>
  <c r="AV62" i="44"/>
  <c r="AW62" i="44"/>
  <c r="AV12" i="44"/>
  <c r="AW12" i="44"/>
  <c r="AV110" i="44"/>
  <c r="AW110" i="44"/>
  <c r="AV15" i="44"/>
  <c r="AW15" i="44"/>
  <c r="AV167" i="44"/>
  <c r="AW167" i="44"/>
  <c r="AV66" i="44"/>
  <c r="AW66" i="44"/>
  <c r="AV63" i="44"/>
  <c r="AW63" i="44"/>
  <c r="AV113" i="44"/>
  <c r="AW113" i="44"/>
  <c r="AV187" i="44"/>
  <c r="AW187" i="44"/>
  <c r="AV95" i="44"/>
  <c r="AW95" i="44"/>
  <c r="AV29" i="44"/>
  <c r="AW29" i="44"/>
  <c r="AV19" i="44"/>
  <c r="AW19" i="44"/>
  <c r="AV41" i="44"/>
  <c r="AW41" i="44"/>
  <c r="AQ65" i="44"/>
  <c r="AV65" i="44"/>
  <c r="AR30" i="44"/>
  <c r="AS30" i="44" s="1"/>
  <c r="AX143" i="44"/>
  <c r="AR29" i="44"/>
  <c r="AS29" i="44" s="1"/>
  <c r="AQ63" i="44"/>
  <c r="AR95" i="44"/>
  <c r="AS95" i="44" s="1"/>
  <c r="AT11" i="44"/>
  <c r="AU11" i="44" s="1"/>
  <c r="AT7" i="44"/>
  <c r="AU7" i="44" s="1"/>
  <c r="AX167" i="44"/>
  <c r="AT167" i="44"/>
  <c r="AU167" i="44" s="1"/>
  <c r="AX15" i="44"/>
  <c r="AT15" i="44"/>
  <c r="AU15" i="44" s="1"/>
  <c r="AT108" i="44"/>
  <c r="AU108" i="44" s="1"/>
  <c r="AX19" i="44"/>
  <c r="AT19" i="44"/>
  <c r="AU19" i="44" s="1"/>
  <c r="AT10" i="44"/>
  <c r="AU10" i="44" s="1"/>
  <c r="AT187" i="44"/>
  <c r="AU187" i="44" s="1"/>
  <c r="AT14" i="44"/>
  <c r="AU14" i="44" s="1"/>
  <c r="AT38" i="44"/>
  <c r="AU38" i="44" s="1"/>
  <c r="AT166" i="44"/>
  <c r="AU166" i="44" s="1"/>
  <c r="AT39" i="44"/>
  <c r="AU39" i="44" s="1"/>
  <c r="AT18" i="44"/>
  <c r="AU18" i="44" s="1"/>
  <c r="AQ40" i="44"/>
  <c r="AT40" i="44"/>
  <c r="AU40" i="44" s="1"/>
  <c r="AR109" i="44"/>
  <c r="AS109" i="44" s="1"/>
  <c r="AT109" i="44"/>
  <c r="AU109" i="44" s="1"/>
  <c r="AT20" i="44"/>
  <c r="AU20" i="44" s="1"/>
  <c r="AT9" i="44"/>
  <c r="AU9" i="44" s="1"/>
  <c r="AT17" i="44"/>
  <c r="AU17" i="44" s="1"/>
  <c r="AT169" i="44"/>
  <c r="AU169" i="44" s="1"/>
  <c r="AT41" i="44"/>
  <c r="AU41" i="44" s="1"/>
  <c r="AX12" i="44"/>
  <c r="AT12" i="44"/>
  <c r="AU12" i="44" s="1"/>
  <c r="AX16" i="44"/>
  <c r="AT16" i="44"/>
  <c r="AU16" i="44" s="1"/>
  <c r="AQ145" i="44"/>
  <c r="AX145" i="44"/>
  <c r="AQ143" i="44"/>
  <c r="AR143" i="44"/>
  <c r="AS143" i="44" s="1"/>
  <c r="AQ16" i="44"/>
  <c r="AR113" i="44"/>
  <c r="AS113" i="44" s="1"/>
  <c r="AR16" i="44"/>
  <c r="AS16" i="44" s="1"/>
  <c r="AR12" i="44"/>
  <c r="AS12" i="44" s="1"/>
  <c r="AQ12" i="44"/>
  <c r="AU23" i="44"/>
  <c r="AQ42" i="44"/>
  <c r="AQ113" i="44"/>
  <c r="AQ39" i="44"/>
  <c r="AR145" i="44"/>
  <c r="AS145" i="44" s="1"/>
  <c r="AQ23" i="44"/>
  <c r="AR65" i="44"/>
  <c r="AS65" i="44" s="1"/>
  <c r="AR10" i="44"/>
  <c r="AS10" i="44" s="1"/>
  <c r="AR39" i="44"/>
  <c r="AS39" i="44" s="1"/>
  <c r="AQ18" i="44"/>
  <c r="AR14" i="44"/>
  <c r="AS14" i="44" s="1"/>
  <c r="AR42" i="44"/>
  <c r="AS42" i="44" s="1"/>
  <c r="AQ167" i="44"/>
  <c r="AQ14" i="44"/>
  <c r="AQ187" i="44"/>
  <c r="AR62" i="44"/>
  <c r="AS62" i="44" s="1"/>
  <c r="AQ17" i="44"/>
  <c r="AQ108" i="44"/>
  <c r="AR19" i="44"/>
  <c r="AS19" i="44" s="1"/>
  <c r="AR108" i="44"/>
  <c r="AS108" i="44" s="1"/>
  <c r="AR25" i="44"/>
  <c r="AS25" i="44" s="1"/>
  <c r="AQ62" i="44"/>
  <c r="AR110" i="44"/>
  <c r="AS110" i="44" s="1"/>
  <c r="AR38" i="44"/>
  <c r="AS38" i="44" s="1"/>
  <c r="AR9" i="44"/>
  <c r="AS9" i="44" s="1"/>
  <c r="AQ10" i="44"/>
  <c r="AR45" i="44"/>
  <c r="AS45" i="44" s="1"/>
  <c r="AQ45" i="44"/>
  <c r="AQ19" i="44"/>
  <c r="AQ38" i="44"/>
  <c r="AQ9" i="44"/>
  <c r="AR41" i="44"/>
  <c r="AS41" i="44" s="1"/>
  <c r="AX62" i="44"/>
  <c r="AQ144" i="44"/>
  <c r="AR169" i="44"/>
  <c r="AS169" i="44" s="1"/>
  <c r="AR144" i="44"/>
  <c r="AS144" i="44" s="1"/>
  <c r="AR7" i="44"/>
  <c r="AS7" i="44" s="1"/>
  <c r="AR66" i="44"/>
  <c r="AS66" i="44" s="1"/>
  <c r="AX14" i="44"/>
  <c r="AU25" i="44"/>
  <c r="AQ66" i="44"/>
  <c r="AQ64" i="44"/>
  <c r="AQ7" i="44"/>
  <c r="AX17" i="44"/>
  <c r="AQ25" i="44"/>
  <c r="AQ110" i="44"/>
  <c r="AR15" i="44"/>
  <c r="AS15" i="44" s="1"/>
  <c r="AQ44" i="44"/>
  <c r="AQ111" i="44"/>
  <c r="AQ41" i="44"/>
  <c r="AR44" i="44"/>
  <c r="AS44" i="44" s="1"/>
  <c r="AR23" i="44"/>
  <c r="AS23" i="44" s="1"/>
  <c r="AR111" i="44"/>
  <c r="AS111" i="44" s="1"/>
  <c r="AQ20" i="44"/>
  <c r="AQ59" i="44"/>
  <c r="AQ11" i="44"/>
  <c r="AR17" i="44"/>
  <c r="AS17" i="44" s="1"/>
  <c r="AR18" i="44"/>
  <c r="AS18" i="44" s="1"/>
  <c r="AR59" i="44"/>
  <c r="AS59" i="44" s="1"/>
  <c r="AR11" i="44"/>
  <c r="AS11" i="44" s="1"/>
  <c r="AX59" i="44"/>
  <c r="AX11" i="44"/>
  <c r="AR167" i="44"/>
  <c r="AS167" i="44" s="1"/>
  <c r="AQ15" i="44"/>
  <c r="AR187" i="44"/>
  <c r="AS187" i="44" s="1"/>
  <c r="AQ60" i="44"/>
  <c r="AR40" i="44"/>
  <c r="AS40" i="44" s="1"/>
  <c r="AX45" i="44"/>
  <c r="AQ29" i="44"/>
  <c r="AX169" i="44"/>
  <c r="AX95" i="44"/>
  <c r="AX63" i="44"/>
  <c r="AR63" i="44"/>
  <c r="AS63" i="44" s="1"/>
  <c r="AX18" i="44"/>
  <c r="AR60" i="44"/>
  <c r="AS60" i="44" s="1"/>
  <c r="AQ95" i="44"/>
  <c r="AQ109" i="44"/>
  <c r="AR166" i="44"/>
  <c r="AS166" i="44" s="1"/>
  <c r="AX20" i="44"/>
  <c r="AX60" i="44"/>
  <c r="AX29" i="44"/>
  <c r="AX166" i="44"/>
  <c r="AX30" i="44"/>
  <c r="AQ169" i="44"/>
  <c r="AR20" i="44"/>
  <c r="AS20" i="44" s="1"/>
  <c r="AQ166" i="44"/>
  <c r="AX25" i="44"/>
  <c r="AX44" i="44"/>
  <c r="AQ30" i="44"/>
  <c r="AX64" i="44"/>
  <c r="AX23" i="44"/>
  <c r="AR146" i="44"/>
  <c r="AS146" i="44" s="1"/>
  <c r="AQ146" i="44"/>
  <c r="AR141" i="44"/>
  <c r="AS141" i="44" s="1"/>
  <c r="AR142" i="44"/>
  <c r="AS142" i="44" s="1"/>
  <c r="AQ141" i="44"/>
  <c r="AQ142" i="44"/>
  <c r="L36" i="50" l="1"/>
  <c r="L48" i="50" s="1"/>
  <c r="L50" i="50" s="1"/>
  <c r="L52" i="50" s="1"/>
  <c r="L58" i="50" s="1"/>
  <c r="G36" i="50"/>
  <c r="G48" i="50" s="1"/>
  <c r="G50" i="50" s="1"/>
  <c r="G52" i="50" s="1"/>
  <c r="G54" i="50" s="1"/>
  <c r="AX448" i="44"/>
  <c r="M36" i="50" l="1"/>
  <c r="M48" i="50" s="1"/>
  <c r="M50" i="50" s="1"/>
  <c r="M52" i="50" s="1"/>
  <c r="M54" i="50" s="1"/>
  <c r="S36" i="50"/>
  <c r="S48" i="50" s="1"/>
  <c r="S50" i="50" s="1"/>
  <c r="S52" i="50" s="1"/>
  <c r="T36" i="50"/>
  <c r="U36" i="50"/>
  <c r="U48" i="50" s="1"/>
  <c r="U50" i="50" s="1"/>
  <c r="U52" i="50" s="1"/>
  <c r="U56" i="50" s="1"/>
  <c r="K36" i="50"/>
  <c r="K48" i="50" s="1"/>
  <c r="K50" i="50" s="1"/>
  <c r="K52" i="50" s="1"/>
  <c r="K54" i="50" s="1"/>
  <c r="R36" i="50"/>
  <c r="R48" i="50" s="1"/>
  <c r="R50" i="50" s="1"/>
  <c r="R52" i="50" s="1"/>
  <c r="N36" i="50"/>
  <c r="N48" i="50" s="1"/>
  <c r="N50" i="50" s="1"/>
  <c r="N52" i="50" s="1"/>
  <c r="N54" i="50" s="1"/>
  <c r="F36" i="50"/>
  <c r="F48" i="50" s="1"/>
  <c r="F50" i="50" s="1"/>
  <c r="F52" i="50" s="1"/>
  <c r="P36" i="50"/>
  <c r="P48" i="50" s="1"/>
  <c r="P50" i="50" s="1"/>
  <c r="P52" i="50" s="1"/>
  <c r="Q36" i="50"/>
  <c r="Q48" i="50" s="1"/>
  <c r="Q50" i="50" s="1"/>
  <c r="Q52" i="50" s="1"/>
  <c r="AW24" i="21"/>
  <c r="AW23" i="21"/>
  <c r="AW14" i="21"/>
  <c r="AW13" i="21"/>
  <c r="AW12" i="21"/>
  <c r="AW11" i="21"/>
  <c r="AU24" i="21"/>
  <c r="AU23" i="21"/>
  <c r="AU14" i="21"/>
  <c r="AU13" i="21"/>
  <c r="AU12" i="21"/>
  <c r="AU11" i="21"/>
  <c r="AC30" i="21"/>
  <c r="AC29" i="21"/>
  <c r="AB30" i="21"/>
  <c r="AB29" i="21"/>
  <c r="AB28" i="21"/>
  <c r="AC28" i="21"/>
  <c r="AC27" i="21"/>
  <c r="AC26" i="21"/>
  <c r="AC25" i="21"/>
  <c r="AC14" i="21"/>
  <c r="AC13" i="21"/>
  <c r="AC12" i="21"/>
  <c r="AC11" i="21"/>
  <c r="AC9" i="21"/>
  <c r="AC7" i="21"/>
  <c r="M63" i="26"/>
  <c r="L63" i="26"/>
  <c r="AI36" i="50" l="1"/>
  <c r="AI48" i="50" s="1"/>
  <c r="AI50" i="50" s="1"/>
  <c r="AI52" i="50" s="1"/>
  <c r="AI54" i="50" s="1"/>
  <c r="AD36" i="50"/>
  <c r="AD48" i="50" s="1"/>
  <c r="AD50" i="50" s="1"/>
  <c r="AD52" i="50" s="1"/>
  <c r="AD54" i="50" s="1"/>
  <c r="AN36" i="50"/>
  <c r="AN48" i="50" s="1"/>
  <c r="AN50" i="50" s="1"/>
  <c r="AN52" i="50" s="1"/>
  <c r="AN54" i="50" s="1"/>
  <c r="AL36" i="50"/>
  <c r="AL48" i="50" s="1"/>
  <c r="AL50" i="50" s="1"/>
  <c r="AL52" i="50" s="1"/>
  <c r="AL54" i="50" s="1"/>
  <c r="I36" i="50"/>
  <c r="I48" i="50" s="1"/>
  <c r="I50" i="50" s="1"/>
  <c r="I52" i="50" s="1"/>
  <c r="I54" i="50" s="1"/>
  <c r="J36" i="50"/>
  <c r="J48" i="50" s="1"/>
  <c r="J50" i="50" s="1"/>
  <c r="J52" i="50" s="1"/>
  <c r="J54" i="50" s="1"/>
  <c r="Z53" i="26"/>
  <c r="X53" i="26"/>
  <c r="N53" i="26"/>
  <c r="AL51" i="26"/>
  <c r="AK51" i="26"/>
  <c r="AI51" i="26"/>
  <c r="AH51" i="26"/>
  <c r="AG51" i="26"/>
  <c r="AF51" i="26"/>
  <c r="AD51" i="26"/>
  <c r="R11" i="26"/>
  <c r="R10" i="26"/>
  <c r="R35" i="26"/>
  <c r="R44" i="26"/>
  <c r="R43" i="26"/>
  <c r="R42" i="26"/>
  <c r="R51" i="26"/>
  <c r="K51" i="26" l="1"/>
  <c r="M51" i="26"/>
  <c r="N51" i="26"/>
  <c r="N7" i="26"/>
  <c r="F46" i="26"/>
  <c r="AN46" i="26" s="1"/>
  <c r="AP46" i="26" s="1"/>
  <c r="AB51" i="26"/>
  <c r="AA51" i="26"/>
  <c r="Z51" i="26"/>
  <c r="X51" i="26"/>
  <c r="AE50" i="26"/>
  <c r="Z50" i="26"/>
  <c r="Y50" i="26"/>
  <c r="W50" i="26"/>
  <c r="V50" i="26"/>
  <c r="U50" i="26"/>
  <c r="T50" i="26"/>
  <c r="S50" i="26"/>
  <c r="R50" i="26"/>
  <c r="Q50" i="26"/>
  <c r="P50" i="26"/>
  <c r="O50" i="26"/>
  <c r="M50" i="26"/>
  <c r="L50" i="26"/>
  <c r="K50" i="26"/>
  <c r="J50" i="26"/>
  <c r="I50" i="26"/>
  <c r="H50" i="26"/>
  <c r="AB44" i="26"/>
  <c r="AA44" i="26"/>
  <c r="AN42" i="26"/>
  <c r="AE42" i="26"/>
  <c r="V42" i="26"/>
  <c r="U42" i="26"/>
  <c r="T42" i="26"/>
  <c r="S42" i="26"/>
  <c r="AB43" i="26"/>
  <c r="AA43" i="26"/>
  <c r="AB7" i="26"/>
  <c r="AA7" i="26"/>
  <c r="I41" i="26"/>
  <c r="AE7" i="26"/>
  <c r="X35" i="26"/>
  <c r="Z35" i="26"/>
  <c r="Y35" i="26"/>
  <c r="W34" i="26"/>
  <c r="V34" i="26"/>
  <c r="U34" i="26"/>
  <c r="T34" i="26"/>
  <c r="R34" i="26"/>
  <c r="H34" i="26"/>
  <c r="M17" i="26"/>
  <c r="L17" i="26"/>
  <c r="AN18" i="26"/>
  <c r="AP18" i="26" s="1"/>
  <c r="AN17" i="26"/>
  <c r="AN16" i="26"/>
  <c r="AP16" i="26" s="1"/>
  <c r="AN15" i="26"/>
  <c r="AP15" i="26" s="1"/>
  <c r="AN14" i="26"/>
  <c r="AP14" i="26" s="1"/>
  <c r="AN13" i="26"/>
  <c r="AP13" i="26" s="1"/>
  <c r="AN12" i="26"/>
  <c r="AP12" i="26" s="1"/>
  <c r="AN11" i="26"/>
  <c r="AN10" i="26"/>
  <c r="AN9" i="26"/>
  <c r="AP9" i="26" s="1"/>
  <c r="AN54" i="26"/>
  <c r="AP54" i="26" s="1"/>
  <c r="AN53" i="26"/>
  <c r="AP53" i="26" s="1"/>
  <c r="E69" i="26" s="1"/>
  <c r="I69" i="26" s="1"/>
  <c r="AN52" i="26"/>
  <c r="AP52" i="26" s="1"/>
  <c r="AN51" i="26"/>
  <c r="AN50" i="26"/>
  <c r="AN48" i="26"/>
  <c r="AP48" i="26" s="1"/>
  <c r="AN47" i="26"/>
  <c r="AP47" i="26" s="1"/>
  <c r="AN45" i="26"/>
  <c r="AP45" i="26" s="1"/>
  <c r="AN44" i="26"/>
  <c r="AN43" i="26"/>
  <c r="AN41" i="26"/>
  <c r="AN40" i="26"/>
  <c r="AP40" i="26" s="1"/>
  <c r="AN39" i="26"/>
  <c r="AP39" i="26" s="1"/>
  <c r="AN38" i="26"/>
  <c r="AP38" i="26" s="1"/>
  <c r="AN37" i="26"/>
  <c r="AP37" i="26" s="1"/>
  <c r="AN36" i="26"/>
  <c r="AP36" i="26" s="1"/>
  <c r="AN35" i="26"/>
  <c r="AN34" i="26"/>
  <c r="AN33" i="26"/>
  <c r="AP33" i="26" s="1"/>
  <c r="AN32" i="26"/>
  <c r="AP32" i="26" s="1"/>
  <c r="AN31" i="26"/>
  <c r="AP31" i="26" s="1"/>
  <c r="AN30" i="26"/>
  <c r="AN29" i="26"/>
  <c r="AP29" i="26" s="1"/>
  <c r="AN28" i="26"/>
  <c r="AN27" i="26"/>
  <c r="AN26" i="26"/>
  <c r="AP26" i="26" s="1"/>
  <c r="AN25" i="26"/>
  <c r="AP25" i="26" s="1"/>
  <c r="AN24" i="26"/>
  <c r="AP24" i="26" s="1"/>
  <c r="AN23" i="26"/>
  <c r="AP23" i="26" s="1"/>
  <c r="AN22" i="26"/>
  <c r="AP22" i="26" s="1"/>
  <c r="AN21" i="26"/>
  <c r="AP21" i="26" s="1"/>
  <c r="AN20" i="26"/>
  <c r="AP20" i="26" s="1"/>
  <c r="AN19" i="26"/>
  <c r="AP19" i="26" s="1"/>
  <c r="AN7" i="26"/>
  <c r="AL7" i="26"/>
  <c r="AK7" i="26"/>
  <c r="R30" i="26"/>
  <c r="R28" i="26"/>
  <c r="R27" i="26"/>
  <c r="K28" i="26"/>
  <c r="J28" i="26"/>
  <c r="K27" i="26"/>
  <c r="J27" i="26"/>
  <c r="X30" i="26"/>
  <c r="X11" i="26"/>
  <c r="X7" i="26"/>
  <c r="Z30" i="26"/>
  <c r="V28" i="26"/>
  <c r="U28" i="26"/>
  <c r="T28" i="26"/>
  <c r="S28" i="26"/>
  <c r="V27" i="26"/>
  <c r="U27" i="26"/>
  <c r="T27" i="26"/>
  <c r="S27" i="26"/>
  <c r="AL27" i="26"/>
  <c r="AK27" i="26"/>
  <c r="Z11" i="26"/>
  <c r="Y10" i="26"/>
  <c r="W10" i="26"/>
  <c r="V10" i="26"/>
  <c r="U10" i="26"/>
  <c r="O10" i="26"/>
  <c r="O7" i="26"/>
  <c r="P10" i="26"/>
  <c r="AI7" i="26"/>
  <c r="AH7" i="26"/>
  <c r="AG7" i="26"/>
  <c r="AF7" i="26"/>
  <c r="AD7" i="26"/>
  <c r="Z7" i="26"/>
  <c r="Y7" i="26"/>
  <c r="W7" i="26"/>
  <c r="V7" i="26"/>
  <c r="U7" i="26"/>
  <c r="T7" i="26"/>
  <c r="S7" i="26"/>
  <c r="R7" i="26"/>
  <c r="Q7" i="26"/>
  <c r="P7" i="26"/>
  <c r="M7" i="26"/>
  <c r="L7" i="26"/>
  <c r="K7" i="26"/>
  <c r="J7" i="26"/>
  <c r="H7" i="26"/>
  <c r="I7" i="26"/>
  <c r="AZ12" i="21"/>
  <c r="AZ13" i="21"/>
  <c r="AZ14" i="21"/>
  <c r="AZ11" i="21"/>
  <c r="AZ23" i="21"/>
  <c r="AZ24" i="21"/>
  <c r="E65" i="26" l="1"/>
  <c r="I65" i="26" s="1"/>
  <c r="E72" i="26"/>
  <c r="H65" i="26"/>
  <c r="F69" i="26"/>
  <c r="G69" i="26"/>
  <c r="H69" i="26"/>
  <c r="AP51" i="26"/>
  <c r="E68" i="26" s="1"/>
  <c r="AP34" i="26"/>
  <c r="AP44" i="26"/>
  <c r="AP42" i="26"/>
  <c r="AP50" i="26"/>
  <c r="E67" i="26" s="1"/>
  <c r="AP11" i="26"/>
  <c r="AP41" i="26"/>
  <c r="AP28" i="26"/>
  <c r="AP35" i="26"/>
  <c r="AP17" i="26"/>
  <c r="AP43" i="26"/>
  <c r="AP27" i="26"/>
  <c r="AP30" i="26"/>
  <c r="AP10" i="26"/>
  <c r="AT22" i="21"/>
  <c r="AS22" i="21"/>
  <c r="AJ22" i="21"/>
  <c r="AI22" i="21"/>
  <c r="AH22" i="21"/>
  <c r="AG22" i="21"/>
  <c r="AF22" i="21"/>
  <c r="AE22" i="21"/>
  <c r="V22" i="21"/>
  <c r="AA22" i="21" s="1"/>
  <c r="R22" i="21"/>
  <c r="O22" i="21"/>
  <c r="N22" i="21"/>
  <c r="M22" i="21"/>
  <c r="AT21" i="21"/>
  <c r="AS21" i="21"/>
  <c r="AJ21" i="21"/>
  <c r="AI21" i="21"/>
  <c r="AH21" i="21"/>
  <c r="AG21" i="21"/>
  <c r="AF21" i="21"/>
  <c r="AE21" i="21"/>
  <c r="V21" i="21"/>
  <c r="AA21" i="21" s="1"/>
  <c r="R21" i="21"/>
  <c r="O21" i="21"/>
  <c r="N21" i="21"/>
  <c r="M21" i="21"/>
  <c r="AT20" i="21"/>
  <c r="AS20" i="21"/>
  <c r="AJ20" i="21"/>
  <c r="AI20" i="21"/>
  <c r="AH20" i="21"/>
  <c r="AG20" i="21"/>
  <c r="AF20" i="21"/>
  <c r="AE20" i="21"/>
  <c r="V20" i="21"/>
  <c r="Y20" i="21" s="1"/>
  <c r="R20" i="21"/>
  <c r="O20" i="21"/>
  <c r="N20" i="21"/>
  <c r="M20" i="21"/>
  <c r="AT19" i="21"/>
  <c r="AS19" i="21"/>
  <c r="AJ19" i="21"/>
  <c r="AI19" i="21"/>
  <c r="AH19" i="21"/>
  <c r="AG19" i="21"/>
  <c r="AF19" i="21"/>
  <c r="V19" i="21"/>
  <c r="O19" i="21"/>
  <c r="N19" i="21"/>
  <c r="AT10" i="21"/>
  <c r="AS10" i="21"/>
  <c r="AJ10" i="21"/>
  <c r="AI10" i="21"/>
  <c r="AH10" i="21"/>
  <c r="AG10" i="21"/>
  <c r="AF10" i="21"/>
  <c r="AE10" i="21"/>
  <c r="V10" i="21"/>
  <c r="AA10" i="21" s="1"/>
  <c r="R10" i="21"/>
  <c r="O10" i="21"/>
  <c r="N10" i="21"/>
  <c r="AT8" i="21"/>
  <c r="AS8" i="21"/>
  <c r="AJ8" i="21"/>
  <c r="AI8" i="21"/>
  <c r="AH8" i="21"/>
  <c r="AG8" i="21"/>
  <c r="AF8" i="21"/>
  <c r="AE8" i="21"/>
  <c r="V8" i="21"/>
  <c r="Z8" i="21" s="1"/>
  <c r="R8" i="21"/>
  <c r="O8" i="21"/>
  <c r="N8" i="21"/>
  <c r="Y19" i="21" l="1"/>
  <c r="J68" i="26"/>
  <c r="I68" i="26"/>
  <c r="G65" i="26"/>
  <c r="F65" i="26"/>
  <c r="J72" i="26"/>
  <c r="F72" i="26"/>
  <c r="J67" i="26"/>
  <c r="E71" i="26"/>
  <c r="I67" i="26"/>
  <c r="E63" i="26"/>
  <c r="E64" i="26"/>
  <c r="F67" i="26"/>
  <c r="G67" i="26"/>
  <c r="H67" i="26"/>
  <c r="F68" i="26"/>
  <c r="H68" i="26"/>
  <c r="G68" i="26"/>
  <c r="AP60" i="26"/>
  <c r="AK21" i="21"/>
  <c r="AK22" i="21"/>
  <c r="AK19" i="21"/>
  <c r="AK20" i="21"/>
  <c r="AL20" i="21" s="1"/>
  <c r="AM20" i="21" s="1"/>
  <c r="AK8" i="21"/>
  <c r="Y21" i="21"/>
  <c r="Z20" i="21"/>
  <c r="Z21" i="21"/>
  <c r="AA20" i="21"/>
  <c r="Y22" i="21"/>
  <c r="Z22" i="21"/>
  <c r="AK10" i="21"/>
  <c r="Y8" i="21"/>
  <c r="Y10" i="21"/>
  <c r="Z10" i="21"/>
  <c r="AQ10" i="21" s="1"/>
  <c r="AA8" i="21"/>
  <c r="AU20" i="21" l="1"/>
  <c r="AW20" i="21"/>
  <c r="AL21" i="21"/>
  <c r="AM21" i="21" s="1"/>
  <c r="AZ21" i="21" s="1"/>
  <c r="AL22" i="21"/>
  <c r="AM22" i="21" s="1"/>
  <c r="H63" i="26"/>
  <c r="I63" i="26"/>
  <c r="J63" i="26"/>
  <c r="H64" i="26"/>
  <c r="I64" i="26"/>
  <c r="J64" i="26"/>
  <c r="J71" i="26"/>
  <c r="F71" i="26"/>
  <c r="G63" i="26"/>
  <c r="F63" i="26"/>
  <c r="F64" i="26"/>
  <c r="G64" i="26"/>
  <c r="AQ20" i="21"/>
  <c r="AR20" i="21" s="1"/>
  <c r="AV20" i="21"/>
  <c r="AZ20" i="21"/>
  <c r="AL8" i="21"/>
  <c r="AM8" i="21" s="1"/>
  <c r="AW8" i="21" s="1"/>
  <c r="AM19" i="21"/>
  <c r="AO19" i="21" s="1"/>
  <c r="AQ21" i="21"/>
  <c r="AL10" i="21"/>
  <c r="AM10" i="21" s="1"/>
  <c r="AW10" i="21" s="1"/>
  <c r="AQ19" i="21"/>
  <c r="AN20" i="21"/>
  <c r="AQ22" i="21"/>
  <c r="AO20" i="21"/>
  <c r="AP20" i="21" s="1"/>
  <c r="AQ8" i="21"/>
  <c r="AT24" i="21"/>
  <c r="AS24" i="21"/>
  <c r="AT23" i="21"/>
  <c r="AS23" i="21"/>
  <c r="AT18" i="21"/>
  <c r="AS18" i="21"/>
  <c r="AT17" i="21"/>
  <c r="AS17" i="21"/>
  <c r="AT16" i="21"/>
  <c r="AS16" i="21"/>
  <c r="AT15" i="21"/>
  <c r="AS15" i="21"/>
  <c r="AT14" i="21"/>
  <c r="AS14" i="21"/>
  <c r="AT13" i="21"/>
  <c r="AS13" i="21"/>
  <c r="AT12" i="21"/>
  <c r="AS12" i="21"/>
  <c r="AT11" i="21"/>
  <c r="AS11" i="21"/>
  <c r="AT9" i="21"/>
  <c r="AS9" i="21"/>
  <c r="AT7" i="21"/>
  <c r="AS7" i="21"/>
  <c r="AV21" i="21" l="1"/>
  <c r="AR21" i="21"/>
  <c r="AU22" i="21"/>
  <c r="AW22" i="21"/>
  <c r="AU19" i="21"/>
  <c r="AW19" i="21"/>
  <c r="AU21" i="21"/>
  <c r="AW21" i="21"/>
  <c r="AN21" i="21"/>
  <c r="AO21" i="21"/>
  <c r="AP21" i="21" s="1"/>
  <c r="AN19" i="21"/>
  <c r="AZ8" i="21"/>
  <c r="AU8" i="21"/>
  <c r="AZ10" i="21"/>
  <c r="AU10" i="21"/>
  <c r="AV19" i="21"/>
  <c r="AZ19" i="21"/>
  <c r="AO22" i="21"/>
  <c r="AP22" i="21" s="1"/>
  <c r="AZ22" i="21"/>
  <c r="AN22" i="21"/>
  <c r="AR19" i="21"/>
  <c r="AP19" i="21"/>
  <c r="AR22" i="21"/>
  <c r="AV22" i="21"/>
  <c r="AV8" i="21"/>
  <c r="AN10" i="21"/>
  <c r="AV10" i="21"/>
  <c r="AR10" i="21"/>
  <c r="AO10" i="21"/>
  <c r="AP10" i="21" s="1"/>
  <c r="AR8" i="21"/>
  <c r="AN8" i="21"/>
  <c r="AO8" i="21"/>
  <c r="AP8" i="21" s="1"/>
  <c r="AE31" i="21" l="1"/>
  <c r="AE24" i="21"/>
  <c r="AV24" i="21" s="1"/>
  <c r="AE23" i="21"/>
  <c r="AV23" i="21" s="1"/>
  <c r="AE30" i="21"/>
  <c r="AE29" i="21"/>
  <c r="AE28" i="21"/>
  <c r="AB27" i="21"/>
  <c r="AB26" i="21"/>
  <c r="AB25" i="21"/>
  <c r="AE18" i="21"/>
  <c r="AE17" i="21"/>
  <c r="AE16" i="21"/>
  <c r="AE15" i="21"/>
  <c r="AB14" i="21"/>
  <c r="AB13" i="21"/>
  <c r="AE13" i="21" s="1"/>
  <c r="AB12" i="21"/>
  <c r="AB11" i="21"/>
  <c r="AB9" i="21"/>
  <c r="AB7" i="21"/>
  <c r="AE27" i="21" l="1"/>
  <c r="AE25" i="21"/>
  <c r="AV13" i="21"/>
  <c r="AE26" i="21"/>
  <c r="AE14" i="21"/>
  <c r="AE7" i="21"/>
  <c r="AE12" i="21"/>
  <c r="AV12" i="21" s="1"/>
  <c r="AE9" i="21"/>
  <c r="AE11" i="21"/>
  <c r="AV14" i="21" l="1"/>
  <c r="AJ16" i="21"/>
  <c r="AI16" i="21"/>
  <c r="AH16" i="21"/>
  <c r="AG16" i="21"/>
  <c r="AF16" i="21"/>
  <c r="V16" i="21"/>
  <c r="Z16" i="21" s="1"/>
  <c r="R16" i="21"/>
  <c r="O16" i="21"/>
  <c r="N16" i="21"/>
  <c r="M16" i="21"/>
  <c r="A7" i="21"/>
  <c r="AJ30" i="21"/>
  <c r="AI30" i="21"/>
  <c r="AH30" i="21"/>
  <c r="AG30" i="21"/>
  <c r="AF30" i="21"/>
  <c r="V30" i="21"/>
  <c r="AA30" i="21" s="1"/>
  <c r="R30" i="21"/>
  <c r="O30" i="21"/>
  <c r="M30" i="21"/>
  <c r="AJ29" i="21"/>
  <c r="AI29" i="21"/>
  <c r="AH29" i="21"/>
  <c r="AG29" i="21"/>
  <c r="AF29" i="21"/>
  <c r="V29" i="21"/>
  <c r="Y29" i="21" s="1"/>
  <c r="R29" i="21"/>
  <c r="O29" i="21"/>
  <c r="M29" i="21"/>
  <c r="AJ28" i="21"/>
  <c r="AI28" i="21"/>
  <c r="AH28" i="21"/>
  <c r="AG28" i="21"/>
  <c r="AF28" i="21"/>
  <c r="V28" i="21"/>
  <c r="AA28" i="21" s="1"/>
  <c r="R28" i="21"/>
  <c r="O28" i="21"/>
  <c r="M28" i="21"/>
  <c r="N24" i="21"/>
  <c r="M24" i="21"/>
  <c r="N23" i="21"/>
  <c r="M23" i="21"/>
  <c r="M27" i="21"/>
  <c r="M26" i="21"/>
  <c r="M25" i="21"/>
  <c r="N18" i="21"/>
  <c r="M18" i="21"/>
  <c r="N17" i="21"/>
  <c r="M17" i="21"/>
  <c r="N15" i="21"/>
  <c r="M15" i="21"/>
  <c r="N14" i="21"/>
  <c r="M14" i="21"/>
  <c r="AQ14" i="21" s="1"/>
  <c r="AR14" i="21" s="1"/>
  <c r="N13" i="21"/>
  <c r="M13" i="21"/>
  <c r="N12" i="21"/>
  <c r="M12" i="21"/>
  <c r="N11" i="21"/>
  <c r="M11" i="21"/>
  <c r="N9" i="21"/>
  <c r="M9" i="21"/>
  <c r="N7" i="21"/>
  <c r="M7" i="21"/>
  <c r="AJ27" i="21"/>
  <c r="AI27" i="21"/>
  <c r="AH27" i="21"/>
  <c r="AG27" i="21"/>
  <c r="AF27" i="21"/>
  <c r="V27" i="21"/>
  <c r="AA27" i="21" s="1"/>
  <c r="R27" i="21"/>
  <c r="O27" i="21"/>
  <c r="AJ26" i="21"/>
  <c r="AI26" i="21"/>
  <c r="AH26" i="21"/>
  <c r="AG26" i="21"/>
  <c r="AF26" i="21"/>
  <c r="V26" i="21"/>
  <c r="Y26" i="21" s="1"/>
  <c r="R26" i="21"/>
  <c r="O26" i="21"/>
  <c r="AJ18" i="21"/>
  <c r="AI18" i="21"/>
  <c r="AH18" i="21"/>
  <c r="AG18" i="21"/>
  <c r="AF18" i="21"/>
  <c r="V18" i="21"/>
  <c r="Y18" i="21" s="1"/>
  <c r="R18" i="21"/>
  <c r="O18" i="21"/>
  <c r="AJ12" i="21"/>
  <c r="AI12" i="21"/>
  <c r="AH12" i="21"/>
  <c r="AG12" i="21"/>
  <c r="AF12" i="21"/>
  <c r="V12" i="21"/>
  <c r="Y12" i="21" s="1"/>
  <c r="R12" i="21"/>
  <c r="O12" i="21"/>
  <c r="AJ11" i="21"/>
  <c r="AI11" i="21"/>
  <c r="AH11" i="21"/>
  <c r="AG11" i="21"/>
  <c r="AF11" i="21"/>
  <c r="V11" i="21"/>
  <c r="Y11" i="21" s="1"/>
  <c r="R11" i="21"/>
  <c r="O11" i="21"/>
  <c r="AJ9" i="21"/>
  <c r="AI9" i="21"/>
  <c r="AH9" i="21"/>
  <c r="AG9" i="21"/>
  <c r="AF9" i="21"/>
  <c r="V9" i="21"/>
  <c r="Z9" i="21" s="1"/>
  <c r="R9" i="21"/>
  <c r="O9" i="21"/>
  <c r="AJ7" i="21"/>
  <c r="AI7" i="21"/>
  <c r="AH7" i="21"/>
  <c r="AG7" i="21"/>
  <c r="AF7" i="21"/>
  <c r="V7" i="21"/>
  <c r="R7" i="21"/>
  <c r="O7" i="21"/>
  <c r="AJ24" i="21"/>
  <c r="AI24" i="21"/>
  <c r="AH24" i="21"/>
  <c r="AG24" i="21"/>
  <c r="AF24" i="21"/>
  <c r="V24" i="21"/>
  <c r="Y24" i="21" s="1"/>
  <c r="R24" i="21"/>
  <c r="O24" i="21"/>
  <c r="AJ23" i="21"/>
  <c r="AI23" i="21"/>
  <c r="AH23" i="21"/>
  <c r="AG23" i="21"/>
  <c r="AF23" i="21"/>
  <c r="V23" i="21"/>
  <c r="Y23" i="21" s="1"/>
  <c r="R23" i="21"/>
  <c r="O23" i="21"/>
  <c r="AJ25" i="21"/>
  <c r="AI25" i="21"/>
  <c r="AH25" i="21"/>
  <c r="AG25" i="21"/>
  <c r="AF25" i="21"/>
  <c r="V25" i="21"/>
  <c r="Y25" i="21" s="1"/>
  <c r="R25" i="21"/>
  <c r="O25" i="21"/>
  <c r="AJ17" i="21"/>
  <c r="AI17" i="21"/>
  <c r="AH17" i="21"/>
  <c r="AG17" i="21"/>
  <c r="AF17" i="21"/>
  <c r="V17" i="21"/>
  <c r="Y17" i="21" s="1"/>
  <c r="R17" i="21"/>
  <c r="O17" i="21"/>
  <c r="AJ15" i="21"/>
  <c r="AI15" i="21"/>
  <c r="AH15" i="21"/>
  <c r="AG15" i="21"/>
  <c r="AF15" i="21"/>
  <c r="V15" i="21"/>
  <c r="Z15" i="21" s="1"/>
  <c r="R15" i="21"/>
  <c r="O15" i="21"/>
  <c r="A9" i="21" l="1"/>
  <c r="A11" i="21" s="1"/>
  <c r="A12" i="21" s="1"/>
  <c r="A13" i="21" s="1"/>
  <c r="A14" i="21" s="1"/>
  <c r="A15" i="21" s="1"/>
  <c r="A16" i="21" s="1"/>
  <c r="A17" i="21" s="1"/>
  <c r="A18" i="21" s="1"/>
  <c r="Y7" i="21"/>
  <c r="AQ13" i="21"/>
  <c r="AR13" i="21" s="1"/>
  <c r="AO13" i="21"/>
  <c r="AP13" i="21" s="1"/>
  <c r="AO14" i="21"/>
  <c r="AP14" i="21" s="1"/>
  <c r="N30" i="21"/>
  <c r="N28" i="21"/>
  <c r="AK16" i="21"/>
  <c r="N25" i="21"/>
  <c r="N26" i="21"/>
  <c r="N27" i="21"/>
  <c r="AA16" i="21"/>
  <c r="Y16" i="21"/>
  <c r="AK29" i="21"/>
  <c r="AL29" i="21" s="1"/>
  <c r="AM29" i="21" s="1"/>
  <c r="AW29" i="21" s="1"/>
  <c r="AK26" i="21"/>
  <c r="AL26" i="21" s="1"/>
  <c r="AM26" i="21" s="1"/>
  <c r="AW26" i="21" s="1"/>
  <c r="Z29" i="21"/>
  <c r="AK28" i="21"/>
  <c r="AA29" i="21"/>
  <c r="AK30" i="21"/>
  <c r="Y30" i="21"/>
  <c r="Z30" i="21"/>
  <c r="N29" i="21"/>
  <c r="Y28" i="21"/>
  <c r="Z28" i="21"/>
  <c r="AA26" i="21"/>
  <c r="AK27" i="21"/>
  <c r="Z26" i="21"/>
  <c r="Y27" i="21"/>
  <c r="AK12" i="21"/>
  <c r="AL12" i="21" s="1"/>
  <c r="AN12" i="21" s="1"/>
  <c r="Z27" i="21"/>
  <c r="AK18" i="21"/>
  <c r="AL18" i="21" s="1"/>
  <c r="AM18" i="21" s="1"/>
  <c r="AW18" i="21" s="1"/>
  <c r="AK17" i="21"/>
  <c r="AL17" i="21" s="1"/>
  <c r="AM17" i="21" s="1"/>
  <c r="AW17" i="21" s="1"/>
  <c r="AK25" i="21"/>
  <c r="AL25" i="21" s="1"/>
  <c r="AM25" i="21" s="1"/>
  <c r="AW25" i="21" s="1"/>
  <c r="AK23" i="21"/>
  <c r="AL23" i="21" s="1"/>
  <c r="AN23" i="21" s="1"/>
  <c r="AK24" i="21"/>
  <c r="AL24" i="21" s="1"/>
  <c r="AN24" i="21" s="1"/>
  <c r="AA11" i="21"/>
  <c r="AA18" i="21"/>
  <c r="Z18" i="21"/>
  <c r="Z11" i="21"/>
  <c r="AK11" i="21"/>
  <c r="AL11" i="21" s="1"/>
  <c r="Z12" i="21"/>
  <c r="AA12" i="21"/>
  <c r="AK9" i="21"/>
  <c r="Z7" i="21"/>
  <c r="AA7" i="21"/>
  <c r="AK7" i="21"/>
  <c r="AA9" i="21"/>
  <c r="AQ9" i="21" s="1"/>
  <c r="Y9" i="21"/>
  <c r="AA23" i="21"/>
  <c r="AA17" i="21"/>
  <c r="Z17" i="21"/>
  <c r="Z23" i="21"/>
  <c r="AK15" i="21"/>
  <c r="Z25" i="21"/>
  <c r="Z24" i="21"/>
  <c r="AA15" i="21"/>
  <c r="AA25" i="21"/>
  <c r="AA24" i="21"/>
  <c r="Y15" i="21"/>
  <c r="AZ18" i="21" l="1"/>
  <c r="AU18" i="21"/>
  <c r="AZ25" i="21"/>
  <c r="AU25" i="21"/>
  <c r="AZ17" i="21"/>
  <c r="AU17" i="21"/>
  <c r="AZ26" i="21"/>
  <c r="AU26" i="21"/>
  <c r="AZ29" i="21"/>
  <c r="AU29" i="21"/>
  <c r="A25" i="21"/>
  <c r="A26" i="21" s="1"/>
  <c r="A27" i="21" s="1"/>
  <c r="A28" i="21" s="1"/>
  <c r="A29" i="21" s="1"/>
  <c r="A30" i="21" s="1"/>
  <c r="A23" i="21" s="1"/>
  <c r="A24" i="21" s="1"/>
  <c r="A31" i="21" s="1"/>
  <c r="A19" i="21"/>
  <c r="A20" i="21" s="1"/>
  <c r="A21" i="21" s="1"/>
  <c r="A22" i="21" s="1"/>
  <c r="AL7" i="21"/>
  <c r="AM7" i="21" s="1"/>
  <c r="AW7" i="21" s="1"/>
  <c r="AL16" i="21"/>
  <c r="AM16" i="21" s="1"/>
  <c r="AW16" i="21" s="1"/>
  <c r="AQ12" i="21"/>
  <c r="AR12" i="21" s="1"/>
  <c r="AO12" i="21"/>
  <c r="AP12" i="21" s="1"/>
  <c r="AQ11" i="21"/>
  <c r="AO11" i="21"/>
  <c r="AP11" i="21" s="1"/>
  <c r="AO17" i="21"/>
  <c r="AP17" i="21" s="1"/>
  <c r="AQ17" i="21"/>
  <c r="AO18" i="21"/>
  <c r="AP18" i="21" s="1"/>
  <c r="AQ16" i="21"/>
  <c r="AQ18" i="21"/>
  <c r="AQ15" i="21"/>
  <c r="AQ23" i="21"/>
  <c r="AR23" i="21" s="1"/>
  <c r="AO23" i="21"/>
  <c r="AP23" i="21" s="1"/>
  <c r="AQ28" i="21"/>
  <c r="AQ26" i="21"/>
  <c r="AS26" i="21"/>
  <c r="AT26" i="21" s="1"/>
  <c r="AO24" i="21"/>
  <c r="AP24" i="21" s="1"/>
  <c r="AQ24" i="21"/>
  <c r="AR24" i="21" s="1"/>
  <c r="AQ27" i="21"/>
  <c r="AQ29" i="21"/>
  <c r="AO29" i="21"/>
  <c r="AP29" i="21" s="1"/>
  <c r="AQ30" i="21"/>
  <c r="AQ25" i="21"/>
  <c r="AQ7" i="21"/>
  <c r="AL30" i="21"/>
  <c r="AM30" i="21" s="1"/>
  <c r="AW30" i="21" s="1"/>
  <c r="AL28" i="21"/>
  <c r="AM28" i="21" s="1"/>
  <c r="AW28" i="21" s="1"/>
  <c r="AL27" i="21"/>
  <c r="AM27" i="21" s="1"/>
  <c r="AW27" i="21" s="1"/>
  <c r="AL9" i="21"/>
  <c r="AM9" i="21" s="1"/>
  <c r="AW9" i="21" s="1"/>
  <c r="AL15" i="21"/>
  <c r="AM15" i="21" s="1"/>
  <c r="AW15" i="21" s="1"/>
  <c r="G31" i="21"/>
  <c r="AU7" i="21" l="1"/>
  <c r="AZ7" i="21"/>
  <c r="AZ9" i="21"/>
  <c r="AU9" i="21"/>
  <c r="AZ15" i="21"/>
  <c r="AU15" i="21"/>
  <c r="AV15" i="21"/>
  <c r="AZ28" i="21"/>
  <c r="AU28" i="21"/>
  <c r="AZ16" i="21"/>
  <c r="AU16" i="21"/>
  <c r="AZ27" i="21"/>
  <c r="AU27" i="21"/>
  <c r="AZ30" i="21"/>
  <c r="AU30" i="21"/>
  <c r="AN7" i="21"/>
  <c r="AO7" i="21"/>
  <c r="AP7" i="21" s="1"/>
  <c r="AR17" i="21"/>
  <c r="AR18" i="21"/>
  <c r="AR16" i="21"/>
  <c r="AR11" i="21"/>
  <c r="AV11" i="21"/>
  <c r="AN11" i="21"/>
  <c r="AV18" i="21"/>
  <c r="AV17" i="21"/>
  <c r="AN17" i="21"/>
  <c r="AN18" i="21"/>
  <c r="AV16" i="21"/>
  <c r="AN16" i="21"/>
  <c r="AO16" i="21"/>
  <c r="AP16" i="21" s="1"/>
  <c r="AN15" i="21"/>
  <c r="AR26" i="21"/>
  <c r="AN29" i="21"/>
  <c r="AR29" i="21"/>
  <c r="AR30" i="21"/>
  <c r="AS29" i="21"/>
  <c r="AT29" i="21" s="1"/>
  <c r="AO26" i="21"/>
  <c r="AP26" i="21" s="1"/>
  <c r="AV29" i="21"/>
  <c r="AV26" i="21"/>
  <c r="AN26" i="21"/>
  <c r="AR27" i="21"/>
  <c r="AO25" i="21"/>
  <c r="AP25" i="21" s="1"/>
  <c r="AV25" i="21"/>
  <c r="AN25" i="21"/>
  <c r="AR25" i="21"/>
  <c r="AS25" i="21"/>
  <c r="AT25" i="21" s="1"/>
  <c r="AR7" i="21"/>
  <c r="AV7" i="21"/>
  <c r="M31" i="21"/>
  <c r="BA7" i="21" l="1"/>
  <c r="BA25" i="21"/>
  <c r="AO15" i="21"/>
  <c r="AP15" i="21" s="1"/>
  <c r="AR15" i="21"/>
  <c r="AV28" i="21"/>
  <c r="AS28" i="21"/>
  <c r="AT28" i="21" s="1"/>
  <c r="AO28" i="21"/>
  <c r="AP28" i="21" s="1"/>
  <c r="AN27" i="21"/>
  <c r="AN28" i="21"/>
  <c r="AV27" i="21"/>
  <c r="AS27" i="21"/>
  <c r="AT27" i="21" s="1"/>
  <c r="AO27" i="21"/>
  <c r="AP27" i="21" s="1"/>
  <c r="AR28" i="21"/>
  <c r="AV30" i="21"/>
  <c r="AO30" i="21"/>
  <c r="AP30" i="21" s="1"/>
  <c r="AS30" i="21"/>
  <c r="AT30" i="21" s="1"/>
  <c r="AN30" i="21"/>
  <c r="AO9" i="21"/>
  <c r="AP9" i="21" s="1"/>
  <c r="AV9" i="21"/>
  <c r="AR9" i="21"/>
  <c r="AN9" i="21"/>
  <c r="N31" i="21"/>
  <c r="AJ31" i="21" l="1"/>
  <c r="AI31" i="21"/>
  <c r="AH31" i="21"/>
  <c r="AG31" i="21"/>
  <c r="AF31" i="21"/>
  <c r="AK31" i="21" l="1"/>
  <c r="V31" i="21" l="1"/>
  <c r="AA31" i="21" l="1"/>
  <c r="Z31" i="21"/>
  <c r="Y31" i="21"/>
  <c r="AQ31" i="21" l="1"/>
  <c r="R31" i="21" l="1"/>
  <c r="O31" i="21"/>
  <c r="AL31" i="21" l="1"/>
  <c r="AM31" i="21" s="1"/>
  <c r="AW31" i="21" s="1"/>
  <c r="AZ31" i="21" l="1"/>
  <c r="AU31" i="21"/>
  <c r="AV31" i="21" l="1"/>
  <c r="AS31" i="21"/>
  <c r="AT31" i="21" s="1"/>
  <c r="AO31" i="21"/>
  <c r="AP31" i="21" s="1"/>
  <c r="AR31" i="21"/>
  <c r="AN31" i="21"/>
  <c r="AV33" i="21" l="1"/>
  <c r="T42" i="50" l="1"/>
  <c r="T48" i="50" s="1"/>
  <c r="T50" i="50" s="1"/>
  <c r="T52" i="50" s="1"/>
</calcChain>
</file>

<file path=xl/sharedStrings.xml><?xml version="1.0" encoding="utf-8"?>
<sst xmlns="http://schemas.openxmlformats.org/spreadsheetml/2006/main" count="6176" uniqueCount="1083">
  <si>
    <t xml:space="preserve">Assumptions and Inputs considered for MV &amp; LV cable sizing </t>
  </si>
  <si>
    <t xml:space="preserve">1) </t>
  </si>
  <si>
    <t>All MV &amp; LV cables are considered to be laid in Air / Trench with cover Cable Tray and de-rated accordingly.</t>
  </si>
  <si>
    <t xml:space="preserve">2) </t>
  </si>
  <si>
    <t>All MV &amp; LV multi-core cables are considered to be laid on touching formation and de-rated accordingly.</t>
  </si>
  <si>
    <t xml:space="preserve">3) </t>
  </si>
  <si>
    <t>All MV single core cables are considered to be laid in Trefoil Formation with 150mm spacing and de-rated accordingly.</t>
  </si>
  <si>
    <t xml:space="preserve">4) </t>
  </si>
  <si>
    <t>All LV single core cables are considered to be laid in Trefoil Formation and de-rated accordingly.</t>
  </si>
  <si>
    <t xml:space="preserve">5) </t>
  </si>
  <si>
    <t xml:space="preserve">Over all de-rating factor considered as mentioned below based on laying condition &amp; method of installation:
LV Multi core cable - 0.66
LV Single core cable - 0.9
MV Multi core cable - 0.664
MV Single core cable - 0.819
 </t>
  </si>
  <si>
    <t xml:space="preserve">6) </t>
  </si>
  <si>
    <t>The % voltage drop is limited to 3% for outgoing motor feeders , 2.5% for outgoing Power feeders and 2% to incoming feeders.</t>
  </si>
  <si>
    <t xml:space="preserve">7) </t>
  </si>
  <si>
    <t>The % voltage drop is limited to 15% for motor feeders during starting.</t>
  </si>
  <si>
    <t xml:space="preserve">8) </t>
  </si>
  <si>
    <t>For both MV &amp; LV Cable sizing all required datas are taken from reference Catalogue (KEC/RPG Make Catalogue). Further final Cable sizing/BOQ shall be updated based on final vendor data during Detail Engg. Stage.</t>
  </si>
  <si>
    <t xml:space="preserve">9) </t>
  </si>
  <si>
    <t>Desalination package both MV &amp; LV power cable has kept under hold &amp; same shall be revised after the finaliziation of scope.</t>
  </si>
  <si>
    <t xml:space="preserve">10) </t>
  </si>
  <si>
    <t xml:space="preserve">Wherever the location of load is unknown, an approximate location is assumed and % voltage drop is calculated. </t>
  </si>
  <si>
    <t xml:space="preserve">11) </t>
  </si>
  <si>
    <t>This cable sizing is done based on the "Electrical Load List, Rev-1". And same will be revised after finalization of final Loas list.</t>
  </si>
  <si>
    <t xml:space="preserve">12) </t>
  </si>
  <si>
    <t>The below mentioned pachages are part of Vendor scope, henece respective package Cable sizing / cable boq has not included.
1. Ammonia Storage area, 
2. ASU Package, 
3. Nitrogen Package, 
4. Flare area Package, 
5. Cooling tower Package.
6. ETP Package.
7. Desalination Sea Water Treatment Package.
8. Sea Water Intake system.
9. Electrolyzer Area Package.</t>
  </si>
  <si>
    <t>from ups sub db to I&amp;C instrument cable lnot considered</t>
  </si>
  <si>
    <t>Cable Tray Sections</t>
  </si>
  <si>
    <t>A1</t>
  </si>
  <si>
    <t>A</t>
  </si>
  <si>
    <t>B</t>
  </si>
  <si>
    <t>B1</t>
  </si>
  <si>
    <t>C</t>
  </si>
  <si>
    <t>D</t>
  </si>
  <si>
    <t>D1</t>
  </si>
  <si>
    <t>D2</t>
  </si>
  <si>
    <t>D3</t>
  </si>
  <si>
    <t>E</t>
  </si>
  <si>
    <t>E0</t>
  </si>
  <si>
    <t>E1</t>
  </si>
  <si>
    <t>E2</t>
  </si>
  <si>
    <t>E3</t>
  </si>
  <si>
    <t>E4</t>
  </si>
  <si>
    <t>E5</t>
  </si>
  <si>
    <t>E6</t>
  </si>
  <si>
    <t>F</t>
  </si>
  <si>
    <t>G</t>
  </si>
  <si>
    <t>G1</t>
  </si>
  <si>
    <t>G2</t>
  </si>
  <si>
    <t>G3</t>
  </si>
  <si>
    <t>G4</t>
  </si>
  <si>
    <t>H</t>
  </si>
  <si>
    <t>I</t>
  </si>
  <si>
    <t>J</t>
  </si>
  <si>
    <t>J1</t>
  </si>
  <si>
    <t>J2</t>
  </si>
  <si>
    <t>J3</t>
  </si>
  <si>
    <t>K</t>
  </si>
  <si>
    <t>L</t>
  </si>
  <si>
    <t>L1</t>
  </si>
  <si>
    <t>L2</t>
  </si>
  <si>
    <t>L3</t>
  </si>
  <si>
    <t>L4</t>
  </si>
  <si>
    <t>M</t>
  </si>
  <si>
    <t>N</t>
  </si>
  <si>
    <t>O</t>
  </si>
  <si>
    <t>O1</t>
  </si>
  <si>
    <t>P</t>
  </si>
  <si>
    <t>Q</t>
  </si>
  <si>
    <t>Q1</t>
  </si>
  <si>
    <t>Q2</t>
  </si>
  <si>
    <t>Q3</t>
  </si>
  <si>
    <t>R</t>
  </si>
  <si>
    <t>R1</t>
  </si>
  <si>
    <t>R2</t>
  </si>
  <si>
    <t>S</t>
  </si>
  <si>
    <t>T</t>
  </si>
  <si>
    <t>33kV MV Power Cable Trays</t>
  </si>
  <si>
    <t>MV Cable sizing-33kV</t>
  </si>
  <si>
    <t>Total Cable Dia</t>
  </si>
  <si>
    <t>Total Cable Tray Dia required with 20% Margin</t>
  </si>
  <si>
    <t>with 20% marging</t>
  </si>
  <si>
    <t>11kV MV Power Cable Trays</t>
  </si>
  <si>
    <t>MV Cable sizing-11kV</t>
  </si>
  <si>
    <t>11kV Power Cables - Ladder Type Tray</t>
  </si>
  <si>
    <t>LV Power Cable Trays</t>
  </si>
  <si>
    <t>LV Cable sizing_SS-1_Power Cables</t>
  </si>
  <si>
    <t>LV Cable sizing_SS-2_Power Cables</t>
  </si>
  <si>
    <t>LV Cable sizing_SS-3_Power Cables</t>
  </si>
  <si>
    <t>LV Cable sizing_SS-4_Power Cables</t>
  </si>
  <si>
    <t>LV Cable sizing_SS-5_Power Cables</t>
  </si>
  <si>
    <t>LV Cable sizing_SS-6_Power Cables</t>
  </si>
  <si>
    <t>Total Cable Tray Dia required for LV power Cable</t>
  </si>
  <si>
    <t>LV Power Cables - Ladder Type Tray</t>
  </si>
  <si>
    <t>LV Control Cables - Ladder Type Tray</t>
  </si>
  <si>
    <t>Instrumentation Cable Trays</t>
  </si>
  <si>
    <t>IS Cable Tray</t>
  </si>
  <si>
    <t>Non IS Cable Tray</t>
  </si>
  <si>
    <t>F&amp;G Cable Tray</t>
  </si>
  <si>
    <t>FOC &amp; Telecom Cable Tray</t>
  </si>
  <si>
    <t>SS-2 to Admin</t>
  </si>
  <si>
    <t>SS-2 to Canteen</t>
  </si>
  <si>
    <t>SS-2 to Fire room</t>
  </si>
  <si>
    <t>SS-2 to Store</t>
  </si>
  <si>
    <t>SS-2 to OHC</t>
  </si>
  <si>
    <t>SS-2 to Whorehouse</t>
  </si>
  <si>
    <t>LV  Cable Catalogue (KEC/RPG Make Catalogue Attached)</t>
  </si>
  <si>
    <t>DERATING FACTORS</t>
  </si>
  <si>
    <t>1-core cable</t>
  </si>
  <si>
    <t>0.6/1.0 kV (E)</t>
  </si>
  <si>
    <r>
      <t>Size in mm</t>
    </r>
    <r>
      <rPr>
        <b/>
        <vertAlign val="superscript"/>
        <sz val="11"/>
        <rFont val="Calibri"/>
        <family val="2"/>
        <scheme val="minor"/>
      </rPr>
      <t>2</t>
    </r>
  </si>
  <si>
    <t>Current carrying capacity</t>
  </si>
  <si>
    <t>AC Resistance Ohm/km 90°C</t>
  </si>
  <si>
    <t>Reactance Ohm/km</t>
  </si>
  <si>
    <t>Cable Dia</t>
  </si>
  <si>
    <t>LV</t>
  </si>
  <si>
    <t>XLPE</t>
  </si>
  <si>
    <t>Ambient temperature (50°C) (K1)</t>
  </si>
  <si>
    <t>Grouping factor (K2) 
4 trafoil groups,
6 tier trays with Touching</t>
  </si>
  <si>
    <t>Ground temperature (35°C) (K3)</t>
  </si>
  <si>
    <t>Depth of laying (900 mm) (K4)</t>
  </si>
  <si>
    <t>Thermal resistivity of ground (1.2 K.m/W) (K5)</t>
  </si>
  <si>
    <t xml:space="preserve">Air </t>
  </si>
  <si>
    <t>Ground</t>
  </si>
  <si>
    <t>Duct</t>
  </si>
  <si>
    <t>Single core (Trefoil Formation with Touching)</t>
  </si>
  <si>
    <t>Multi core             (Touching)</t>
  </si>
  <si>
    <t>Single core</t>
  </si>
  <si>
    <t>Multi core</t>
  </si>
  <si>
    <t>Cable Size</t>
  </si>
  <si>
    <t>1C X 185</t>
  </si>
  <si>
    <t>690/400V</t>
  </si>
  <si>
    <t>AIR</t>
  </si>
  <si>
    <t>NA</t>
  </si>
  <si>
    <t>1C X 240</t>
  </si>
  <si>
    <t>1C X 300</t>
  </si>
  <si>
    <t>1C X 400</t>
  </si>
  <si>
    <t>Trench with cover</t>
  </si>
  <si>
    <t>1C X 500</t>
  </si>
  <si>
    <t>1C X 630</t>
  </si>
  <si>
    <t>2-core cable</t>
  </si>
  <si>
    <t>2C X 1.5</t>
  </si>
  <si>
    <t>2C X 2.5</t>
  </si>
  <si>
    <t>2C X 4</t>
  </si>
  <si>
    <t>2C X 6</t>
  </si>
  <si>
    <t>2C X 10</t>
  </si>
  <si>
    <t>2C X 16</t>
  </si>
  <si>
    <t>2C X 25</t>
  </si>
  <si>
    <t>2C X 35</t>
  </si>
  <si>
    <t>2C X 50</t>
  </si>
  <si>
    <t>2C X 70</t>
  </si>
  <si>
    <t>2C X 95</t>
  </si>
  <si>
    <t>2C X 120</t>
  </si>
  <si>
    <t>2C X 150</t>
  </si>
  <si>
    <t>2C X 185</t>
  </si>
  <si>
    <t>2C X 240</t>
  </si>
  <si>
    <t>2C X 300</t>
  </si>
  <si>
    <t>2C X 400</t>
  </si>
  <si>
    <t>3-core cable</t>
  </si>
  <si>
    <t>3C X 1.5</t>
  </si>
  <si>
    <t>3C X 2.5</t>
  </si>
  <si>
    <t>3C X 4</t>
  </si>
  <si>
    <t>3C X 6</t>
  </si>
  <si>
    <t>3C X 10</t>
  </si>
  <si>
    <t>3C X 16</t>
  </si>
  <si>
    <t>3C X 25</t>
  </si>
  <si>
    <t>3C X 35</t>
  </si>
  <si>
    <t>3C X 50</t>
  </si>
  <si>
    <t>3C X 70</t>
  </si>
  <si>
    <t>3C X 95</t>
  </si>
  <si>
    <t>3C X 120</t>
  </si>
  <si>
    <t>3C X 150</t>
  </si>
  <si>
    <t>3C X 185</t>
  </si>
  <si>
    <t>3C X 240</t>
  </si>
  <si>
    <t>3C X 300</t>
  </si>
  <si>
    <t>3C X 400</t>
  </si>
  <si>
    <t>4-core cable</t>
  </si>
  <si>
    <t>4C X 1.5</t>
  </si>
  <si>
    <t>4C X 2.5</t>
  </si>
  <si>
    <t>4C X 4</t>
  </si>
  <si>
    <t>4C X 6</t>
  </si>
  <si>
    <t>4C X 10</t>
  </si>
  <si>
    <t>4C X 16</t>
  </si>
  <si>
    <t>3.5C X 25</t>
  </si>
  <si>
    <t>3.5C X 35</t>
  </si>
  <si>
    <t>3.5C X 50</t>
  </si>
  <si>
    <t>3.5C X 70</t>
  </si>
  <si>
    <t>3.5C X 95</t>
  </si>
  <si>
    <t>3.5C X 120</t>
  </si>
  <si>
    <t>3.5C X 150</t>
  </si>
  <si>
    <t>3.5C X 185</t>
  </si>
  <si>
    <t>3.5C X 240</t>
  </si>
  <si>
    <t>3.5C X 300</t>
  </si>
  <si>
    <t>3.5C X 400</t>
  </si>
  <si>
    <t xml:space="preserve">5-Core Cable </t>
  </si>
  <si>
    <r>
      <t>Size in mm</t>
    </r>
    <r>
      <rPr>
        <b/>
        <vertAlign val="superscript"/>
        <sz val="11"/>
        <color indexed="8"/>
        <rFont val="Calibri"/>
        <family val="2"/>
        <scheme val="minor"/>
      </rPr>
      <t>2</t>
    </r>
  </si>
  <si>
    <t>5C X 1.5</t>
  </si>
  <si>
    <t>5C X 2.5</t>
  </si>
  <si>
    <t>5C X 4</t>
  </si>
  <si>
    <t>5C X 6</t>
  </si>
  <si>
    <t>5C X 10</t>
  </si>
  <si>
    <t>5C X 16</t>
  </si>
  <si>
    <t>5C X 25</t>
  </si>
  <si>
    <t>5C X 35</t>
  </si>
  <si>
    <t>5C X 50</t>
  </si>
  <si>
    <t>5C X 70</t>
  </si>
  <si>
    <t>MV Cable Catalogue (KEC/RPG Make Catalogue Attached)</t>
  </si>
  <si>
    <t>Single core cable</t>
  </si>
  <si>
    <t>3.8/6.6 kV</t>
  </si>
  <si>
    <t>Approx. A.C. Resistance at 90°C Ohm/km</t>
  </si>
  <si>
    <t>Approx. Reactance Ohm/km</t>
  </si>
  <si>
    <t>Nominal Dia</t>
  </si>
  <si>
    <t>MV</t>
  </si>
  <si>
    <t xml:space="preserve">Grouping factor (K2) Duct Spacing (3 cables) 200mm
Centre to Centre &amp; 3 tier trays with spacing
</t>
  </si>
  <si>
    <t>Depth of laying (1200 mm) (K4)</t>
  </si>
  <si>
    <t>Thermal resistivity of ground buried in Duct (1.2 K.m/W) (K5)</t>
  </si>
  <si>
    <t>Air 
(Trefoil)</t>
  </si>
  <si>
    <t>Ground
(Trefoil)</t>
  </si>
  <si>
    <t>Duct
(Trefoil)</t>
  </si>
  <si>
    <t>Single core (Trefoil Formation with 150mm spacing)</t>
  </si>
  <si>
    <t>1C X 70</t>
  </si>
  <si>
    <t>6600V</t>
  </si>
  <si>
    <t>1C X 95</t>
  </si>
  <si>
    <t>1C X 120</t>
  </si>
  <si>
    <t>1C X 150</t>
  </si>
  <si>
    <t>1C X 800</t>
  </si>
  <si>
    <t>1C X 1000</t>
  </si>
  <si>
    <t>Three core cable</t>
  </si>
  <si>
    <t>6/10 (12)kV</t>
  </si>
  <si>
    <t>HV Cable Catalogue (KEC/RPG Make Catalogue Attached)</t>
  </si>
  <si>
    <t>18/30 (36) kV</t>
  </si>
  <si>
    <t>Depth of laying (1500 mm) (K4)</t>
  </si>
  <si>
    <t>Thermal resistivity of ground buried in Duct (1.5 K.m/W) (K5)</t>
  </si>
  <si>
    <t>Thermal resistivity of ground buried in Duct (1.0 K.m/W) (K5)</t>
  </si>
  <si>
    <t>Thermal resistivity of ground buried in Duct (2.0 K.m/W) (K5)</t>
  </si>
  <si>
    <t>Air
(Trefoil)</t>
  </si>
  <si>
    <t>33000V</t>
  </si>
  <si>
    <t>Sl. No</t>
  </si>
  <si>
    <t>LOAD</t>
  </si>
  <si>
    <t>SHORT CIRCUIT CURRENT WITHSTAND CAPABILITY</t>
  </si>
  <si>
    <t>CABLE DATA</t>
  </si>
  <si>
    <t>DERATING FACTOR</t>
  </si>
  <si>
    <t>CURRENT CARRYING CAPACITY</t>
  </si>
  <si>
    <t xml:space="preserve"> RUNNING CONDITION VOLTAGE DROP</t>
  </si>
  <si>
    <t>MOTOR STARTING VOLTAGE DROP</t>
  </si>
  <si>
    <t>Selected Cable Size</t>
  </si>
  <si>
    <t>Tag No.</t>
  </si>
  <si>
    <t>From</t>
  </si>
  <si>
    <t>Description</t>
  </si>
  <si>
    <t>Equipment Location</t>
  </si>
  <si>
    <t>Type of feeder</t>
  </si>
  <si>
    <t>Rated power</t>
  </si>
  <si>
    <t>UNIT 
(kW / kVA)</t>
  </si>
  <si>
    <t>3Phase / 1Phase</t>
  </si>
  <si>
    <t>Rated Voltage
(V)</t>
  </si>
  <si>
    <t>Power factor</t>
  </si>
  <si>
    <t>Efficiency</t>
  </si>
  <si>
    <t>Rated full load current</t>
  </si>
  <si>
    <t>Motor starting current</t>
  </si>
  <si>
    <t>Motor starting power factor</t>
  </si>
  <si>
    <t>Short circuit current of switchboard
(kA)</t>
  </si>
  <si>
    <t>Short circuit current withstand duration
(sec)</t>
  </si>
  <si>
    <t>Minimum size required for Short circuit withstand capacity (Sq.mm)</t>
  </si>
  <si>
    <t>Installation</t>
  </si>
  <si>
    <t>No. of Cores</t>
  </si>
  <si>
    <t>Size in (Sq.mm)</t>
  </si>
  <si>
    <t>Cable size</t>
  </si>
  <si>
    <t>Cable size With (PE) Core</t>
  </si>
  <si>
    <t>Cable Voltage
(kV)</t>
  </si>
  <si>
    <t>Current Rating of the Cable (A)</t>
  </si>
  <si>
    <t>Cable resistance at 90°C
(Ohm / Ph / km)</t>
  </si>
  <si>
    <t>Cable reactance at 50Hz
(Ohm / Ph / km)</t>
  </si>
  <si>
    <t>Cable Length with in Electrical Building
(m)</t>
  </si>
  <si>
    <t>Cable Length from Electrical Building to Equipment
(m)</t>
  </si>
  <si>
    <t>Cable length Riser &amp; Dropper
(m)</t>
  </si>
  <si>
    <t>Cable length both side dropping &amp; Termination
(m)</t>
  </si>
  <si>
    <t>Spare 10%</t>
  </si>
  <si>
    <t>Ambient temperature (K1)</t>
  </si>
  <si>
    <t>Grouping factor (K2)</t>
  </si>
  <si>
    <t>Ground temperature (K3)</t>
  </si>
  <si>
    <t>Depth of laying (K4)</t>
  </si>
  <si>
    <t>Thermal resistivity of ground (K5)</t>
  </si>
  <si>
    <t>Overall derating factor</t>
  </si>
  <si>
    <t>Derated current carrying capacity (A)</t>
  </si>
  <si>
    <t>No. of Runs</t>
  </si>
  <si>
    <t>Derated current &gt; Rated current</t>
  </si>
  <si>
    <t xml:space="preserve">  % VOLTAGE DROP DURING RUNNING CONDITION </t>
  </si>
  <si>
    <t>% VOLTAGE DROP WITHIN PERMISSIBLE LIMIT
(YES/NO)</t>
  </si>
  <si>
    <t>(HIDE)</t>
  </si>
  <si>
    <t>Maximum length under Allowable voltage drop</t>
  </si>
  <si>
    <t xml:space="preserve">  % VOLTAGE DROP DURING STARTING CONDITION </t>
  </si>
  <si>
    <t>% VOLTAGE DROP WITHIN PERMISSIBLE LIMIT DURING STARTING CONDITION
(YES/NO)</t>
  </si>
  <si>
    <t>Selected
cable size</t>
  </si>
  <si>
    <t>Remarks</t>
  </si>
  <si>
    <t>Total Length in meters</t>
  </si>
  <si>
    <t>No. of End Termination</t>
  </si>
  <si>
    <t>MAIN SUBSTATION</t>
  </si>
  <si>
    <t>Meters</t>
  </si>
  <si>
    <t>LATER</t>
  </si>
  <si>
    <t>POWER</t>
  </si>
  <si>
    <t>kW</t>
  </si>
  <si>
    <t>3Ph</t>
  </si>
  <si>
    <t>TRENCH</t>
  </si>
  <si>
    <t>3C</t>
  </si>
  <si>
    <t>X</t>
  </si>
  <si>
    <t>MAIN SUBSTATION BUILDING</t>
  </si>
  <si>
    <t>1C</t>
  </si>
  <si>
    <t>INCOMER</t>
  </si>
  <si>
    <t>1421-SWG-1-0001</t>
  </si>
  <si>
    <t>MV (6.6kV) CABLE SIZING</t>
  </si>
  <si>
    <t>Cable length
(m)</t>
  </si>
  <si>
    <t>AMMONIA PLANT</t>
  </si>
  <si>
    <t>MOTOR</t>
  </si>
  <si>
    <t>AMMONIA STORAGE AREA</t>
  </si>
  <si>
    <t>1Ph</t>
  </si>
  <si>
    <t>0.6/1.0</t>
  </si>
  <si>
    <t>STEAM TURBINE GENERATOR</t>
  </si>
  <si>
    <t>COOLING TOWER AREA</t>
  </si>
  <si>
    <t>ASU PACKAGE (1404-PK001)</t>
  </si>
  <si>
    <t>AIR SEPARATION UNIT</t>
  </si>
  <si>
    <t>kVA</t>
  </si>
  <si>
    <t>COOLING TOWER SUBSTATION</t>
  </si>
  <si>
    <t>SEA WATER INTAKE FACILITY</t>
  </si>
  <si>
    <t>24 nos</t>
  </si>
  <si>
    <t>2 nos</t>
  </si>
  <si>
    <t>7 nos</t>
  </si>
  <si>
    <t>8 nos</t>
  </si>
  <si>
    <t>Electrolyzer Area Cable Tray requirement</t>
  </si>
  <si>
    <t>Main entry</t>
  </si>
  <si>
    <t>33kV</t>
  </si>
  <si>
    <t>Cable Trench</t>
  </si>
  <si>
    <t>Ladded</t>
  </si>
  <si>
    <t>600mm</t>
  </si>
  <si>
    <t>Control</t>
  </si>
  <si>
    <t>Perforated</t>
  </si>
  <si>
    <t>I&amp;C</t>
  </si>
  <si>
    <t>Package-1 &amp; Electrolyzer building</t>
  </si>
  <si>
    <t>Package-2 &amp; 3</t>
  </si>
  <si>
    <t>Package- 3</t>
  </si>
  <si>
    <t>Pipe Rack &amp; Cable Trench</t>
  </si>
  <si>
    <t>Bus</t>
  </si>
  <si>
    <t>UNIT 
(kW / kVa)</t>
  </si>
  <si>
    <t>Cable length for each run
(m)</t>
  </si>
  <si>
    <t>Dia of the conductor(mm)</t>
  </si>
  <si>
    <t xml:space="preserve">Total Dia of the conductor(mm) </t>
  </si>
  <si>
    <t>PMCC-1</t>
  </si>
  <si>
    <t>1401-PM104A</t>
  </si>
  <si>
    <t>BFW PUMP</t>
  </si>
  <si>
    <t>1401-PM104B</t>
  </si>
  <si>
    <t>SPARE BFW PUMP</t>
  </si>
  <si>
    <t>1401-PM112A</t>
  </si>
  <si>
    <t>CONDENSATE PUMP FOR 1401-C-301</t>
  </si>
  <si>
    <t>1401-PM112B</t>
  </si>
  <si>
    <t>1401-PM116A</t>
  </si>
  <si>
    <t>CONDENSATE INJECTION SYSTEM PUMP</t>
  </si>
  <si>
    <t>1401-PM107A</t>
  </si>
  <si>
    <t>PH CONTROL  INJECTION SYSTEM PUMP</t>
  </si>
  <si>
    <t>1401-PM108A</t>
  </si>
  <si>
    <t>PHOSPHATE INJECTION SYSTEM PUMP</t>
  </si>
  <si>
    <t>1401-PM106A</t>
  </si>
  <si>
    <t>OXYGEN SCAVENGER SYSTEM PUMP</t>
  </si>
  <si>
    <t>1401-PM116B</t>
  </si>
  <si>
    <t>1401-PM107B</t>
  </si>
  <si>
    <t>1401-PM108B</t>
  </si>
  <si>
    <t>1401-PM106B</t>
  </si>
  <si>
    <t>1401-LFA108</t>
  </si>
  <si>
    <t>1401-LFA106</t>
  </si>
  <si>
    <t>1411-JM001A</t>
  </si>
  <si>
    <t>INSTRUMENT AIR COMPRESSOR -A</t>
  </si>
  <si>
    <t>INSTRUMENT AIR COMPRESSOR AREA</t>
  </si>
  <si>
    <t>INSTRUMENT AIR COMPRESSOR -A-SPACE HEATER</t>
  </si>
  <si>
    <t>1411-JM001B</t>
  </si>
  <si>
    <t>INSTRUMENT AIR COMPRESSOR- B</t>
  </si>
  <si>
    <t>INSTRUMENT AIR COMPRESSOR- B-SPACE HEATER</t>
  </si>
  <si>
    <t>1411-JM001C</t>
  </si>
  <si>
    <t>INSTRUMENT AIR COMPRESSOR- C</t>
  </si>
  <si>
    <t>INSTRUMENT AIR COMPRESSOR- C-SPACE HEATER</t>
  </si>
  <si>
    <t>1411-D001A</t>
  </si>
  <si>
    <t>4C</t>
  </si>
  <si>
    <t>1411-D001B</t>
  </si>
  <si>
    <t>1417-P-001A</t>
  </si>
  <si>
    <t>Electrolyte (KOH) Drain pump</t>
  </si>
  <si>
    <t>1417-P-001B</t>
  </si>
  <si>
    <t>-</t>
  </si>
  <si>
    <t xml:space="preserve">MASTER  PLC </t>
  </si>
  <si>
    <t>ASU-SELF CLEANING FILTER A</t>
  </si>
  <si>
    <t>ASU-SELF CLEANING FILTER B</t>
  </si>
  <si>
    <t>ASU-PRECOOLING SYSTEM A</t>
  </si>
  <si>
    <t>ASU-PRECOOLING SYSTEM B</t>
  </si>
  <si>
    <t>EXPANDER ELECTRIC HEATER</t>
  </si>
  <si>
    <t>STG 1401-JT/JC301 - FEEDER (SPARE)</t>
  </si>
  <si>
    <t>3.5C</t>
  </si>
  <si>
    <t>Lubricating oil pump 1</t>
  </si>
  <si>
    <t>Lubricating oil pump 1-Space Heater</t>
  </si>
  <si>
    <t>Lubricating oil pump 2</t>
  </si>
  <si>
    <t>Lubricating oil pump 2-Space Heater</t>
  </si>
  <si>
    <t>Generator heater</t>
  </si>
  <si>
    <t>GSC Blower</t>
  </si>
  <si>
    <t>Condensate Extraction Pump 1</t>
  </si>
  <si>
    <t>Condensate Extraction Pump 2</t>
  </si>
  <si>
    <t xml:space="preserve">Synthesis Gas compressor 1401-J-103 </t>
  </si>
  <si>
    <t>LUBE OIL ELECTRIC HEATER A for 1401-J103</t>
  </si>
  <si>
    <t>LUBE OIL ELECTRIC HEATER B for 1401-J103</t>
  </si>
  <si>
    <t>MOTOR SPACE HEATER FOR 1401-J103(230V)</t>
  </si>
  <si>
    <t>MISCLENEOUS LOADS FOR SPARES</t>
  </si>
  <si>
    <t>LUBE OIL ELECTRIC HEATER B for 1401-J105</t>
  </si>
  <si>
    <t>MOTOR SPACE HEATER FOR 1401-J105</t>
  </si>
  <si>
    <t>SPACE HEATER FOR SPARE LUBE OIL PUMP FOR 1401-J103 (230 V)</t>
  </si>
  <si>
    <t>SPACE HEATER FOR MAIN LUBE OIL PUMP FOR1401-J103
(230 V)</t>
  </si>
  <si>
    <t>OIL DEMISTER FAN MOTOR FOR 1401-J103</t>
  </si>
  <si>
    <t>UCP LIGHTNING FOR 1401-J103 (NON-UPS 230 V)</t>
  </si>
  <si>
    <t xml:space="preserve">CENTRAL CONTROL BUILDING </t>
  </si>
  <si>
    <t>TURNING GEAR MOTOR FOR GEAR BOX</t>
  </si>
  <si>
    <t>PRIMARY SEAL GAS HEATER (LP)</t>
  </si>
  <si>
    <t>PRIMARY SEAL GAS HEATER (MP)</t>
  </si>
  <si>
    <t>PRIMARY SEAL GAS HEATER (HP)</t>
  </si>
  <si>
    <t>MAIN VFD AUX. POWER SUPPLY</t>
  </si>
  <si>
    <t>LUBE OIL PURIFIER - SEPARATION CYLINDER MOTOR</t>
  </si>
  <si>
    <t>LUBE OIL PURIFIER - BOOSTER WATER PUMP</t>
  </si>
  <si>
    <t>LUBE OIL PURIFIER - OIL SUPPLY PUMP</t>
  </si>
  <si>
    <t>LUBE OIL PURIFIER - SLAG DISCHARGE PUMP</t>
  </si>
  <si>
    <t>LUBE OIL PURIFIER - ELECTRICAL PANEL</t>
  </si>
  <si>
    <t>LUBE OIL PURIFIER - PLC PANEL</t>
  </si>
  <si>
    <t>Synthesis Gas compressor 1401-J-105</t>
  </si>
  <si>
    <t>LUBE OIL ELECTRIC HEATER A for 1401-J105</t>
  </si>
  <si>
    <t>UCP LIGHTNING FOR 1401-J105 (NON-UPS 230 V)</t>
  </si>
  <si>
    <t>MOTOR SPACE HEATER FOR 1401-J105 (230 V)</t>
  </si>
  <si>
    <t>N2 Compressor</t>
  </si>
  <si>
    <t>SPACE HEATER FOR 1401-CM201 (230V)</t>
  </si>
  <si>
    <t>1401-DM210</t>
  </si>
  <si>
    <t>OIL MIST ELIMINATOR MOTOR FOR 1401-J201</t>
  </si>
  <si>
    <t xml:space="preserve">NOISE ENCLOSURE FANS MOTOR FOR 1401-J201 </t>
  </si>
  <si>
    <t>1401-B210</t>
  </si>
  <si>
    <t xml:space="preserve">LUBE OIL ELECTRIC HEATER A for 1401-J201 </t>
  </si>
  <si>
    <t>1401-B211</t>
  </si>
  <si>
    <t>401-PJB-1401</t>
  </si>
  <si>
    <t>401-PLC-1401</t>
  </si>
  <si>
    <t>401-MMS-1401</t>
  </si>
  <si>
    <t>Package PLC Panel (UPS supply) (230V)</t>
  </si>
  <si>
    <t>MMS Panel (UPS supply) (230V)</t>
  </si>
  <si>
    <t>Laptop (UPS supply) (230V)</t>
  </si>
  <si>
    <t>Auxiliary  H2 Compressor (1401-J-202A/B)</t>
  </si>
  <si>
    <t>UCP CABINET FOR 1401-J203A</t>
  </si>
  <si>
    <t>REMOTE I/O CABINET FOR 1401-J203A</t>
  </si>
  <si>
    <t>MMS CABINET FOR 1401-J203A</t>
  </si>
  <si>
    <t>UCP CABINET FOR 1401-J203B</t>
  </si>
  <si>
    <t>REMOTE I/O CABINET FOR1401-J203B</t>
  </si>
  <si>
    <t>MMS CABINET FOR 1401-J203B</t>
  </si>
  <si>
    <t>FRAME OIL HEATER FOR 1401-J202A</t>
  </si>
  <si>
    <t>MAIN MOTOR SPACE HEATER FOR 1401-J202A (240 V)</t>
  </si>
  <si>
    <t>Excitation Panel Main supply</t>
  </si>
  <si>
    <t>Excitation Panel Aux supply (240 V)</t>
  </si>
  <si>
    <t>Excitation Panel Aux supply (UPS) (240 V)</t>
  </si>
  <si>
    <t>Excitation Panel control supply (24 VDC / 110 VDC)</t>
  </si>
  <si>
    <t>FRAME OIL HEATER FOR 1401-J202B</t>
  </si>
  <si>
    <t>MAIN MOTOR SPACE HEATER FOR 1401-J202B (240 V)</t>
  </si>
  <si>
    <t>Auxiliary H2 Compressor (1401-J-203A/B)</t>
  </si>
  <si>
    <t>FRAME OIL HEATER FOR 1401-J203A</t>
  </si>
  <si>
    <t>MAIN MOTOR SPACE HEATER FOR  1401-J203A (240 V)</t>
  </si>
  <si>
    <t>WATER TANK HEATER FOR 1401-J203A/B &amp; 1401-J202A/B</t>
  </si>
  <si>
    <t>MAIN MOTOR SPACE HEATER FOR 1401-J203 B (240 V)</t>
  </si>
  <si>
    <t>Other Load</t>
  </si>
  <si>
    <t>1421-MLDB-4-0001</t>
  </si>
  <si>
    <t>OUTGOING FEEDER FOR MLDB-1 / FEEDER-1</t>
  </si>
  <si>
    <t xml:space="preserve">MAIN SUBSTATION BUILDING </t>
  </si>
  <si>
    <t>OUTGOING FEEDER FOR MLDB-1 / FEEDER-2</t>
  </si>
  <si>
    <t>1421-WDB-4-0001</t>
  </si>
  <si>
    <t>OUTGOING FEEDER FOR WDB-1 / FEEDER-1</t>
  </si>
  <si>
    <t>1421-PDB-4-0001</t>
  </si>
  <si>
    <t>OUTGOING FEEDER FOR PDB-1 / FEEDER-1</t>
  </si>
  <si>
    <t>OUTGOING FEEDER FOR PDB-1 / FEEDER-2</t>
  </si>
  <si>
    <t>1421-ESWG-4-0001</t>
  </si>
  <si>
    <t>OUTGOING FEEDER FOR EPMCC - 1 / FEEDER-1</t>
  </si>
  <si>
    <t>OUTGOING FEEDER FOR EPMCC - 1 / FEEDER-1 (Neutral)</t>
  </si>
  <si>
    <t>2R x 0.6/1.0kV x 1C x 630 Sqmm</t>
  </si>
  <si>
    <t>OUTGOING FEEDER FOR EPMCC - 1 / FEEDER-2</t>
  </si>
  <si>
    <t>OUTGOING FEEDER FOR EPMCC - 1 / FEEDER-2  (Neutral)</t>
  </si>
  <si>
    <t>EDG</t>
  </si>
  <si>
    <t>EPMCC-1
(INCOMER-3 - DG)</t>
  </si>
  <si>
    <t>EPMCC-1
(INCOMER-3 - DG Neutral)</t>
  </si>
  <si>
    <t>Ammonia plant (Hydrogen Compressor: 1401- J202A, shed)</t>
  </si>
  <si>
    <t>Ammonia plant (Hydrogen Compressor: 1401- J203A, shed)</t>
  </si>
  <si>
    <t>Main Sub station building Switch gear Room</t>
  </si>
  <si>
    <t>Instrument air compressor building)</t>
  </si>
  <si>
    <t>1421-SWG-4-0001</t>
  </si>
  <si>
    <t>PMCC-1(INCOMER 1)</t>
  </si>
  <si>
    <t>LV BUSDUCT-400V</t>
  </si>
  <si>
    <t>PMCC-1 (INCOMER 2)</t>
  </si>
  <si>
    <t>ASU PACKAGE DISTRIBUTION TRANSFORMER TO MCC PANEL</t>
  </si>
  <si>
    <t xml:space="preserve">ASU package Transformer </t>
  </si>
  <si>
    <t>ASU MCC Panel</t>
  </si>
  <si>
    <t>ASU MCC Panel  Neutral</t>
  </si>
  <si>
    <t>EPMCC-1</t>
  </si>
  <si>
    <t>1400-P001A</t>
  </si>
  <si>
    <t>1400-P001B</t>
  </si>
  <si>
    <t>1401-PM124A</t>
  </si>
  <si>
    <t>COLD AMMONIA PRODUCT PUMP</t>
  </si>
  <si>
    <t>1401-PM124B</t>
  </si>
  <si>
    <t>SPARE COLD AMMONIA PRODUCT PUMP</t>
  </si>
  <si>
    <t>Ammonia Storage</t>
  </si>
  <si>
    <t>1402-PK007</t>
  </si>
  <si>
    <t>1402-B001-TCP01</t>
  </si>
  <si>
    <t>HEATER CONTROL PANEL (400V/230V)</t>
  </si>
  <si>
    <t>1402-PK007 -CP01</t>
  </si>
  <si>
    <t>IGNITION PANEL (400V/230V)</t>
  </si>
  <si>
    <t>1402-PK007 -CP02</t>
  </si>
  <si>
    <t>WINCH CONTROL PANEL (400V/230V)</t>
  </si>
  <si>
    <t>1402-PK007 -CP03</t>
  </si>
  <si>
    <t>AVIATION CONTROL PANEL (400V/230V)</t>
  </si>
  <si>
    <t>1402-PK006</t>
  </si>
  <si>
    <t>HP FLARE PACKAGE</t>
  </si>
  <si>
    <t>Emergency oil pump (110V)</t>
  </si>
  <si>
    <t>Monitoring cabinets (230V/110V)</t>
  </si>
  <si>
    <t>ASU PACKAGE</t>
  </si>
  <si>
    <t>ASU-EXPANDER OIL SUPPLY PUMP A</t>
  </si>
  <si>
    <t>ASU-EXPANDER OIL SUPPLY PUMP B</t>
  </si>
  <si>
    <t>ASU-CONTROL SYSTEM</t>
  </si>
  <si>
    <t>SPARE LUBE OIL PUMP FOR 1401-J103</t>
  </si>
  <si>
    <t>SPARE LUBE OIL PUMP FOR 1401-J103-SPACE HEATER</t>
  </si>
  <si>
    <t>MAIN LUBE OIL PUMP FOR 1401-J103</t>
  </si>
  <si>
    <t>MAIN LUBE OIL PUMP FOR 1401-J103-SPACE HEATER</t>
  </si>
  <si>
    <t>MAIN LUBE OIL PUMP FOR 1401-J105</t>
  </si>
  <si>
    <t>SPARE LUBE OIL PUMP FOR 1401-J105</t>
  </si>
  <si>
    <t>OIL DEMISTER FAN MOTOR FOR 1401-J105</t>
  </si>
  <si>
    <t>UCP FANS &amp; LIGHTNING FOR  1401-J105</t>
  </si>
  <si>
    <t>AUXILIARY LUBE OIL PUMP FOR 1401-J201</t>
  </si>
  <si>
    <t>MIST ELIMINATOR MOTOR FOR 1401-J201</t>
  </si>
  <si>
    <t>PLC PANEL (01 Qty),PLC PANEL UTILITIES (FANS,LIGHTS,SOCKETS-01Qty),LOCAL CONTROL PANEL (01 Qty) FOR 1401-J201</t>
  </si>
  <si>
    <t>Auxiliary H2 Compressor (1401-J-202A/B)</t>
  </si>
  <si>
    <t>MAIN LUBE OIL PUMP FOR 1401-J202A</t>
  </si>
  <si>
    <t>AUX. LUBE OIL PUMP FOR 1401-J202A</t>
  </si>
  <si>
    <t>MAIN COOLENT PUMP FOR 1401-J202A</t>
  </si>
  <si>
    <t>AUX. COOLENT PUMP FOR 1401-J202A</t>
  </si>
  <si>
    <t>BARRING DEVICE MOTOTR FOR 1401-J202A</t>
  </si>
  <si>
    <t>MAIN MOTOR SPACE HEATER FOR 1401-J202A</t>
  </si>
  <si>
    <t>WATER TANK HEATER FOR 1401-J202A</t>
  </si>
  <si>
    <t>UCP CABINET (NON-UPS) FOR 1401-J202A (230 V)</t>
  </si>
  <si>
    <t>REMOTE I/O CABINET FOR 1401-J202A</t>
  </si>
  <si>
    <t>MMS CABINET FOR1401-J202A</t>
  </si>
  <si>
    <t>MAIN LUBE OIL PUMP FOR 1401-J202B</t>
  </si>
  <si>
    <t>AUX. LUBE OIL PUMP FOR 1401-J202B</t>
  </si>
  <si>
    <t>MAIN COOLENT PUMP FOR 1401-J202B</t>
  </si>
  <si>
    <t>AUX. COOLENT PUMP FOR 1401-J202B</t>
  </si>
  <si>
    <t>BARRING DEVICE MOTOTR FOR 1401-J202B</t>
  </si>
  <si>
    <t>MAIN MOTOR SPACE HEATER FOR 1401-J202B</t>
  </si>
  <si>
    <t>WATER TANK HEATER FOR 1401-J202B</t>
  </si>
  <si>
    <t>REMOTE I/O CABINET FOR 1401-J202B</t>
  </si>
  <si>
    <t>MMS CABINET FOR 1401-J202B</t>
  </si>
  <si>
    <t>HPU system motor</t>
  </si>
  <si>
    <t>ISC PANEL (NON-UPS) FOR 1401-J202A (230 V)</t>
  </si>
  <si>
    <t>ISC PANEL (NON-UPS) (230 V)</t>
  </si>
  <si>
    <t>Auxiliary  H2 Compressor (1401-J-203B)</t>
  </si>
  <si>
    <t>AUX. LUBE OIL PUMP FOR 1401-J203A</t>
  </si>
  <si>
    <t>MAIN LUBE OIL PUMP FOR 1401-J203A</t>
  </si>
  <si>
    <t>MAIN COOLENT PUMP FOR 1401-J203A/B &amp; 1401-J202A/B</t>
  </si>
  <si>
    <t>MAIN COOLENT PUMP FOR 1401-J203A/B &amp; 1401-J202A/B-SPACE HEATER</t>
  </si>
  <si>
    <t>AUX. COOLENT PUMP FOR 1401-J203A/B &amp; 1401-J202A/B</t>
  </si>
  <si>
    <t>AUX. COOLENT PUMP FOR 1401-J203A/B &amp; 1401-J202A/B-SPACE HEATER</t>
  </si>
  <si>
    <t>BARRING DEVICE MOTOTR FOR 1401-J203A</t>
  </si>
  <si>
    <t>MAIN MOTOR SPACE HEATER FOR  1401-J203A</t>
  </si>
  <si>
    <t>WATER TANK HEATER FOR 1401-J203A</t>
  </si>
  <si>
    <t>AUX. LUBE OIL PUMP FOR 1401-J203B</t>
  </si>
  <si>
    <t>MAIN LUBE OIL PUMP FOR1401-J203B</t>
  </si>
  <si>
    <t>MAIN COOLENT PUMP FOR 1401-J203B</t>
  </si>
  <si>
    <t>AUX. COOLENT PUMP FOR 1401-J203B</t>
  </si>
  <si>
    <t>BARRING DEVICE MOTOTR FOR 1401-J203B</t>
  </si>
  <si>
    <t>FRAME OIL HEATER FOR 1401-J203</t>
  </si>
  <si>
    <t>MAIN MOTOR SPACE HEATER FOR 1401-J203 B</t>
  </si>
  <si>
    <t>WATER TANK HEATER FOR  1401-J203B</t>
  </si>
  <si>
    <t>UCP CABINET (NON-UPS) FOR 1401-J203A (230 V)</t>
  </si>
  <si>
    <t>Sea water intake outfall package _ Intake   facilities/Intake  Structure package (connected load)</t>
  </si>
  <si>
    <t>MOV ON Screen Backwash pump</t>
  </si>
  <si>
    <t>Cooling Tower package</t>
  </si>
  <si>
    <t>MOV ON COOLING WATER BYPASS LINE</t>
  </si>
  <si>
    <t>1421-UPS-5-0001</t>
  </si>
  <si>
    <t>OUTGOING FEEDER FOR UPS -1 / MAIN SUBSTATION - FEEDER-1</t>
  </si>
  <si>
    <t>OUTGOING FEEDER FOR UPS -1 / MAIN SUBSTATION - FEEDER-2</t>
  </si>
  <si>
    <t>OUTGOING FEEDER FOR UPS -1 / MAIN SUBSTATION - FEEDER-3</t>
  </si>
  <si>
    <t>1421-BC-6-0001</t>
  </si>
  <si>
    <t>OUTGOING FEEDER FOR  BATTERY CHARGER - MAIN SUBSTATION  - FEEDER-1</t>
  </si>
  <si>
    <t>1421-BC-6-0002</t>
  </si>
  <si>
    <t>OUTGOING FEEDER FOR  BATTERY CHARGER - MAIN SUBSTATION  - FEEDER-2</t>
  </si>
  <si>
    <t>1421-EMLDB-4-0001</t>
  </si>
  <si>
    <t>OUTGOING FEEDER FOR EMERGENCY MAIN LIGHTING DB-1 
(MAIN SUBSTATION BUILDING)</t>
  </si>
  <si>
    <t>1420-EMLDB-4-0002</t>
  </si>
  <si>
    <t>OUTGOING FEEDER FOR EMERGENCY MAIN LIGHTING DB-2
(COOLING TOWER SUBSTATION)</t>
  </si>
  <si>
    <t>1402-EMLDB-4-0003</t>
  </si>
  <si>
    <t>OUTGOING FEEDER FOR EMERGENCY MAIN LIGHTING DB-3
(NH3 STORAGE SUBSTATION)</t>
  </si>
  <si>
    <t>AMMONIA STORAGE SUBSTATION</t>
  </si>
  <si>
    <t>1409-EMLDB-4-0004</t>
  </si>
  <si>
    <t>OUTGOING FEEDER FOR EMERGENCY MAIN LIGHTING DB-4
(SEA WATER TREATMENT SUBSTATION)</t>
  </si>
  <si>
    <t>SEA WATER TREATMENT SUBSTATION</t>
  </si>
  <si>
    <t>1409-EMLDB-4-0005</t>
  </si>
  <si>
    <t>OUTGOING FEEDER FOR EMERGENCY MAIN LIGHTING DB-5
(ELECTROLYZER SUBSTATION)</t>
  </si>
  <si>
    <t>ELECTROLYZER SUBSTATION</t>
  </si>
  <si>
    <t>EPMCC-1
(INCOMER-1)</t>
  </si>
  <si>
    <t>EPMCC-1
(INCOMER-2)</t>
  </si>
  <si>
    <t>PDB-1</t>
  </si>
  <si>
    <t>HVAC SYSTEM</t>
  </si>
  <si>
    <t>ROOFTOP UNIT-1</t>
  </si>
  <si>
    <t>ROOFTOP UNIT-1-SPACE HEATER</t>
  </si>
  <si>
    <t>HEATER-1</t>
  </si>
  <si>
    <t>HUMIDIFIER-1</t>
  </si>
  <si>
    <t>ROOFTOP UNIT-2</t>
  </si>
  <si>
    <t>ROOFTOP UNIT-2-SPACE HEATER</t>
  </si>
  <si>
    <t>HEATER-2</t>
  </si>
  <si>
    <t>HUMIDIFIER-2</t>
  </si>
  <si>
    <t>HVAC DB-001</t>
  </si>
  <si>
    <t>1422-ACDB-4-0002</t>
  </si>
  <si>
    <t>ROOFTOP UNIT1</t>
  </si>
  <si>
    <t>ROOFTOP UNIT1-SPACE HEATER</t>
  </si>
  <si>
    <t>ROOFTOP UNIT2</t>
  </si>
  <si>
    <t>ROOFTOP UNIT2-SPACE HEATER</t>
  </si>
  <si>
    <t>BATTERY ROOM-VENTILATION FAN 1</t>
  </si>
  <si>
    <t>BATTERY ROOM-VENTILATION FAN 2</t>
  </si>
  <si>
    <t>LV SWITCHGEAR ROOM  VENTILATION FAN 1</t>
  </si>
  <si>
    <t>LV SWITCHGEAR ROOM  VENTILATION FAN 2</t>
  </si>
  <si>
    <t>LV SWITCHGEAR ROOM  VENTILATION FAN 3</t>
  </si>
  <si>
    <t>MV SWITCHGEAR ROOM  VENTILATION FAN 1</t>
  </si>
  <si>
    <t>MV SWITCHGEAR ROOM  VENTILATION FAN 2</t>
  </si>
  <si>
    <t>MV SWITCHGEAR ROOM  VENTILATION FAN 3</t>
  </si>
  <si>
    <t>ELECTRICAL SHIFT INCHARGE RM - SPLIT AC 1</t>
  </si>
  <si>
    <t>BATTERY ROOM - SPLIT AC 1</t>
  </si>
  <si>
    <t>BATTERY ROOM - SPLIT AC 2</t>
  </si>
  <si>
    <t>BATTERY ROOM - SPLIT AC 3</t>
  </si>
  <si>
    <t>BATTERY ROOM - SPLIT AC 4</t>
  </si>
  <si>
    <t>1421-ACDB-4-0001</t>
  </si>
  <si>
    <t>OUTGOING FEEDER FOR 400V ACDB-1 / FEEDER-1</t>
  </si>
  <si>
    <t>OUTGOING FEEDER FOR 400V ACDB-1 / FEEDER-2</t>
  </si>
  <si>
    <t>PDB - 1
(INCOMER 1)</t>
  </si>
  <si>
    <t>PDB - 1
(INCOMER 2)</t>
  </si>
  <si>
    <t>ACDB-1</t>
  </si>
  <si>
    <t>AUX POWER SUPPLY - 33kV SWITCHGEAR - 1</t>
  </si>
  <si>
    <t>AUX POWER SUPPLY - 33kV SWITCHGEAR - 2</t>
  </si>
  <si>
    <t>1421-SWG-2-0001</t>
  </si>
  <si>
    <t>AUX POWER SUPPLY - 11kV SWITCHGEAR - 1</t>
  </si>
  <si>
    <t>AUX POWER SUPPLY - 11kV SWITCHGEAR - 2</t>
  </si>
  <si>
    <t>AUX POWER SUPPLY - PMCC-1 (BUS-A)</t>
  </si>
  <si>
    <t>AUX POWER SUPPLY - PMCC-1 (BUS-B)</t>
  </si>
  <si>
    <t>1421-TFP-1-0001</t>
  </si>
  <si>
    <t>AUX POWER SUPPLY - POWER TRANSFORMER - 1</t>
  </si>
  <si>
    <t>1421-TFP-1-0002</t>
  </si>
  <si>
    <t>AUX POWER SUPPLY - POWER TRANSFORMER - 2</t>
  </si>
  <si>
    <t>AUX POWER SUPPLY SEGREGATED PHASE BUSDUCT SYSTEM-1A</t>
  </si>
  <si>
    <t>AUX POWER SUPPLY SEGREGATED PHASE BUSDUCT SYSTEM-1B</t>
  </si>
  <si>
    <t>AUX POWER SUPPLY NSPBD SYSTEM-1A</t>
  </si>
  <si>
    <t>AUX POWER SUPPLY NSPBD SYSTEM-1B</t>
  </si>
  <si>
    <t>1421-TFD-2-0001</t>
  </si>
  <si>
    <t>AUX POWER SUPPLY DISTRIBUTION TRANSFORMER-1</t>
  </si>
  <si>
    <t>1421-TFD-2-0002</t>
  </si>
  <si>
    <t>AUX POWER SUPPLY DISTRIBUTION TRANSFORMER-2</t>
  </si>
  <si>
    <t>POWER TRANSFORMER OLTC-1</t>
  </si>
  <si>
    <t>POWER TRANSFORMER OLTC-2</t>
  </si>
  <si>
    <t>ACDB-1
(INCOMER 1)</t>
  </si>
  <si>
    <t>ACDB-1
(INCOMER 2)</t>
  </si>
  <si>
    <t>MLDB-1</t>
  </si>
  <si>
    <t>NLP-001</t>
  </si>
  <si>
    <t>MLDB-01</t>
  </si>
  <si>
    <t>LIGHTING DB-001</t>
  </si>
  <si>
    <t>NLP-002</t>
  </si>
  <si>
    <t>LIGHTING DB-002</t>
  </si>
  <si>
    <t>NLP-003</t>
  </si>
  <si>
    <t>LIGHTING DB-003</t>
  </si>
  <si>
    <t>ASU PACKAGE (VENDOR PACKAGE)</t>
  </si>
  <si>
    <t>NLP-004</t>
  </si>
  <si>
    <t>LIGHTING DB-004</t>
  </si>
  <si>
    <t>NLP-005</t>
  </si>
  <si>
    <t>LIGHTING DB-005</t>
  </si>
  <si>
    <t>INSTRUMENT AIR PACKAGE (VENDOR PACKAGE)</t>
  </si>
  <si>
    <t>NLP-006</t>
  </si>
  <si>
    <t>LIGHTING DB-006</t>
  </si>
  <si>
    <t>HYDROGEN STORAGE AREA</t>
  </si>
  <si>
    <t>NLP-007</t>
  </si>
  <si>
    <t>STREET LIGHTING DB- 01</t>
  </si>
  <si>
    <t>HM-001</t>
  </si>
  <si>
    <t>HIGH MAST-001</t>
  </si>
  <si>
    <t>NEAR HYDROGEN STORAGE AREA</t>
  </si>
  <si>
    <t>HM-002</t>
  </si>
  <si>
    <t>HIGH MAST-002</t>
  </si>
  <si>
    <t>HM-003</t>
  </si>
  <si>
    <t>HIGH MAST-003</t>
  </si>
  <si>
    <t>HM-004</t>
  </si>
  <si>
    <t>HIGH MAST-004</t>
  </si>
  <si>
    <t>HM-005</t>
  </si>
  <si>
    <t>HIGH MAST-005</t>
  </si>
  <si>
    <t>NEAR MAIN SUBSTATION AREA FIRE DRILL POINT</t>
  </si>
  <si>
    <t>MAIN LIGHTING DB-001 (INCOMER-1)</t>
  </si>
  <si>
    <t>MAIN LIGHTING DB-001 (INCOMER-2)</t>
  </si>
  <si>
    <t>EMLDB-1</t>
  </si>
  <si>
    <t>ELP-001</t>
  </si>
  <si>
    <t>EMERGENCY LIGHTING DB-001</t>
  </si>
  <si>
    <t>ELP-002</t>
  </si>
  <si>
    <t>EMERGENCY LIGHTING DB-002</t>
  </si>
  <si>
    <t>ELP-003</t>
  </si>
  <si>
    <t>EMLDB-01</t>
  </si>
  <si>
    <t>EMERGENCY LIGHTING DB-003</t>
  </si>
  <si>
    <t>ELP-004</t>
  </si>
  <si>
    <t>EMERGENCY LIGHTING DB-004</t>
  </si>
  <si>
    <t>ELP-005</t>
  </si>
  <si>
    <t>EMERGENCY LIGHTING DB-005</t>
  </si>
  <si>
    <t>ELP-006</t>
  </si>
  <si>
    <t>EMERGENCY LIGHTING DB-006</t>
  </si>
  <si>
    <t>ELP-007</t>
  </si>
  <si>
    <t>EMERGENCY STREET LIGHTING DB- 01</t>
  </si>
  <si>
    <t>EMERGENCY MAIN LIGHTING DB-001 (INCOMER)</t>
  </si>
  <si>
    <t>WDB-1</t>
  </si>
  <si>
    <t>WSDB-001</t>
  </si>
  <si>
    <t>WDB-01</t>
  </si>
  <si>
    <t>POWER RECEPTACLE DB-001</t>
  </si>
  <si>
    <t>WSDB-002</t>
  </si>
  <si>
    <t>POWER RECEPTACLE DB-002</t>
  </si>
  <si>
    <t>WSDB-003</t>
  </si>
  <si>
    <t>POWER RECEPTACLE DB-003</t>
  </si>
  <si>
    <t>WSDB-004</t>
  </si>
  <si>
    <t>POWER RECEPTACLE DB-004</t>
  </si>
  <si>
    <t>WSDB-005</t>
  </si>
  <si>
    <t>POWER RECEPTACLE DB-005</t>
  </si>
  <si>
    <t xml:space="preserve"> INSTRUMENT AIR PACKAGE (VENDOR PACKAGE)</t>
  </si>
  <si>
    <t>WSDB-006</t>
  </si>
  <si>
    <t>POWER RECEPTACLE DB-006</t>
  </si>
  <si>
    <t>WS-001 &amp; 002</t>
  </si>
  <si>
    <t>WELDING SOCKET -001 &amp; 002</t>
  </si>
  <si>
    <t>WS-003</t>
  </si>
  <si>
    <t>WELDING SOCKET -003</t>
  </si>
  <si>
    <t>WS-004 &amp; 005</t>
  </si>
  <si>
    <t>WELDING SOCKET -004 &amp; 005</t>
  </si>
  <si>
    <t>ASU/ INSTRUMENT AIR PACKAGE</t>
  </si>
  <si>
    <t>WS-006 &amp; 007</t>
  </si>
  <si>
    <t>WELDING SOCKET -006 &amp; 007</t>
  </si>
  <si>
    <t>WELDING &amp; RECEPTACLE DB-001 (INCOMER)</t>
  </si>
  <si>
    <t>MAIN UPS DB-1</t>
  </si>
  <si>
    <t>1422-UPS-SDB-4-0001</t>
  </si>
  <si>
    <t>AC UPS SUB DB-1_FEEDER-1</t>
  </si>
  <si>
    <t>AC UPS SUB DB-1_FEEDER-2</t>
  </si>
  <si>
    <t>1417-UPS-SDB-4-0002</t>
  </si>
  <si>
    <t>AC UPS SUB DB-2_FEEDER</t>
  </si>
  <si>
    <t>Electrolyzer Electrical Building</t>
  </si>
  <si>
    <t>1417-UPS-SDB-4-0003</t>
  </si>
  <si>
    <t>AC UPS SUB DB-3_FEEDER</t>
  </si>
  <si>
    <t>1402-UPS-SDB-4-0004</t>
  </si>
  <si>
    <t>AC UPS SUB DB-4_FEEDER-1</t>
  </si>
  <si>
    <t>Ammonia Storage Substation</t>
  </si>
  <si>
    <t>AC UPS SUB DB-4_FEEDER-2</t>
  </si>
  <si>
    <t>1409-UPS-SDB-4-0005</t>
  </si>
  <si>
    <t>AC UPS SUB DB-5_FEEDER-1</t>
  </si>
  <si>
    <t>Sea Water Treatment Substation</t>
  </si>
  <si>
    <t>AC UPS SUB DB-5_FEEDER-2</t>
  </si>
  <si>
    <t>1422-UPSDB-4-0001</t>
  </si>
  <si>
    <t>UPS-1</t>
  </si>
  <si>
    <t>AC UPSDB-1 (INCOMER-1)</t>
  </si>
  <si>
    <t>AC UPSDB-1 (INCOMER-2)</t>
  </si>
  <si>
    <t>CENTRAL CONTROL BUILDING HVAC DB</t>
  </si>
  <si>
    <t>BATTERY ROOM - VENTILATION FAN 1</t>
  </si>
  <si>
    <t>BATTERY ROOM 2 - VENTILATION FAN 2</t>
  </si>
  <si>
    <t>LADIES &amp; GENTS TOILET - VENTILATION FAN</t>
  </si>
  <si>
    <t>CLEAN AGENT ROOM</t>
  </si>
  <si>
    <t>UPS ROOM - SPLIT AC 1</t>
  </si>
  <si>
    <t>UPS ROOM - SPLIT AC 2</t>
  </si>
  <si>
    <t>UPS ROOM - SPLIT AC 3</t>
  </si>
  <si>
    <t>UPS ROOM - SPLIT AC 4</t>
  </si>
  <si>
    <t xml:space="preserve">INSTRUMENTATION MANAGER - SPLIT AC </t>
  </si>
  <si>
    <t xml:space="preserve">APC/MES MANAGER ROOM - SPLIT AC </t>
  </si>
  <si>
    <t xml:space="preserve">GENTS PRAYER ROOM - SPLIT AC </t>
  </si>
  <si>
    <t xml:space="preserve">LADIES PRAYER ROOM - SPLIT AC </t>
  </si>
  <si>
    <t xml:space="preserve">SHIFT INCHARGE ROOM - SPLIT AC </t>
  </si>
  <si>
    <t xml:space="preserve">NH3 PLANT MANAGER ROOM - SPLIT AC </t>
  </si>
  <si>
    <t xml:space="preserve">PRODUCTION SR MANAGER ROOM - SPLIT AC </t>
  </si>
  <si>
    <t>CONFERENCE ROOM - SPLIT AC 1</t>
  </si>
  <si>
    <t>CONFERENCE ROOM - SPLIT AC 2</t>
  </si>
  <si>
    <t xml:space="preserve">DINING ROOM - SPLIT AC </t>
  </si>
  <si>
    <t>SHIFT IN-CHARGE ROOM-SPLIT AC</t>
  </si>
  <si>
    <t>WAITING HALL - SPLIT AC</t>
  </si>
  <si>
    <t>HVAC DB-2 INCOMER</t>
  </si>
  <si>
    <t>Unit</t>
  </si>
  <si>
    <t>Location As per Plot Plan</t>
  </si>
  <si>
    <t>6.6kV MV Switchgear</t>
  </si>
  <si>
    <t>Incomer-1 from Unit Auxiliary Transformer (11/6.9kV)-1</t>
  </si>
  <si>
    <t>COMMON</t>
  </si>
  <si>
    <t>3Phase</t>
  </si>
  <si>
    <t>3.8/6.6</t>
  </si>
  <si>
    <t>1a</t>
  </si>
  <si>
    <t>Unit Auxiliary Transformer (11/6.9kV)-1 NGR</t>
  </si>
  <si>
    <t>1Phase</t>
  </si>
  <si>
    <t>Incomer-2 from Unit Auxiliary Transformer (11/6.9kV)-2</t>
  </si>
  <si>
    <t>2a</t>
  </si>
  <si>
    <t>Unit Auxiliary Transformer (11/6.9kV)-2 NGR</t>
  </si>
  <si>
    <t xml:space="preserve">Incomer from BSDG 6.6kV Switchgear incomer-1 </t>
  </si>
  <si>
    <t>Incomer from BSDG 6.6kV Switchgear incomer-2</t>
  </si>
  <si>
    <t>Incomer from BSDG 6.6kV Switchgear incomer-3</t>
  </si>
  <si>
    <t>0.00</t>
  </si>
  <si>
    <t>YES</t>
  </si>
  <si>
    <t>Incomer from BSDG 6.6kV Switchgear incomer-4</t>
  </si>
  <si>
    <t>CPP-Distribution Transformer-1 (6.6/0.72kV) (GTG PMCC-690V)</t>
  </si>
  <si>
    <t>CPP-Distribution Transformer-2 (6.6/0.72kV) (GTG PMCC-690V)</t>
  </si>
  <si>
    <t>CPP-Distribution Transformer-3 (6.6/0.42kV) (STG PMCC-400V)</t>
  </si>
  <si>
    <t>CPP-Distribution Transformer-4 (6.6/0.422kV) (STG PMCC-400V)</t>
  </si>
  <si>
    <t>CPP-Distribution Transformer-4 (6.6/0.42kV) (STG PMCC-400V)</t>
  </si>
  <si>
    <t>CAPACITOR BANK FEEDER-1</t>
  </si>
  <si>
    <t>CAPACITOR BANK FEEDER-2</t>
  </si>
  <si>
    <t>GT FUEL COMPRESSOR MOTOR-1</t>
  </si>
  <si>
    <t>Fuel Gas receiving &amp; metering station</t>
  </si>
  <si>
    <t>GT FUEL COMPRESSOR MOTOR-2</t>
  </si>
  <si>
    <t>GT FUEL COMPRESSOR MOTOR-3 (STANDBY)</t>
  </si>
  <si>
    <t>HRSG FEED WATER PUMP-1</t>
  </si>
  <si>
    <t>STG Building</t>
  </si>
  <si>
    <t>HRSG FEED WATER PUMP-2</t>
  </si>
  <si>
    <t>HRSG WATER PUMP-3 (STANDBY)</t>
  </si>
  <si>
    <t>Load commutating invertor (SFC)</t>
  </si>
  <si>
    <t>Ambient temperature (40°C) (K1)</t>
  </si>
  <si>
    <t xml:space="preserve">Grouping factor (K2) 
4 trafoil groups,
6 tier trays with Touching
</t>
  </si>
  <si>
    <t xml:space="preserve">Grouping factor (K2) 
Duct Spacing (3 cables) 150mm
Centre to Centre &amp; 3 tier trays with spacing
</t>
  </si>
  <si>
    <t>4C X 25</t>
  </si>
  <si>
    <t>4C X 35</t>
  </si>
  <si>
    <t>4C X 50</t>
  </si>
  <si>
    <t>4C X 70</t>
  </si>
  <si>
    <t>4C X 95</t>
  </si>
  <si>
    <t>4C X 120</t>
  </si>
  <si>
    <t>4C X 150</t>
  </si>
  <si>
    <t>4C X 185</t>
  </si>
  <si>
    <t>4C X 240</t>
  </si>
  <si>
    <t>4C X 300</t>
  </si>
  <si>
    <t>4C X 400</t>
  </si>
  <si>
    <t>APCh-CPP-CABLE TRAY BOQ</t>
  </si>
  <si>
    <t>Inside Electrical room-Cable celler (GF)</t>
  </si>
  <si>
    <t>Inside Electrical room-Cable celler (SF)</t>
  </si>
  <si>
    <t xml:space="preserve">For outside rack upto electrical room - north side </t>
  </si>
  <si>
    <t xml:space="preserve">For outside rack upto electrical room - north side to south side rack upto HRSG </t>
  </si>
  <si>
    <t>from Rack to BSDG Building</t>
  </si>
  <si>
    <t>Voltage</t>
  </si>
  <si>
    <t>Tray Type</t>
  </si>
  <si>
    <t>Tray size</t>
  </si>
  <si>
    <t>NOS</t>
  </si>
  <si>
    <t>no. of motors</t>
  </si>
  <si>
    <t>Purpose</t>
  </si>
  <si>
    <t>Inside electrical room cable cellar (below GTG Panel)</t>
  </si>
  <si>
    <t>Inside electrical room cable cellar (below STG Panel)</t>
  </si>
  <si>
    <t>Inside electrical room cable cellar (below 6.6kv Panel)</t>
  </si>
  <si>
    <t>Inside electrical room cable cellar CROSSING (below 6.6kv Panel)</t>
  </si>
  <si>
    <t>Inside electrical room cable cellar (below 33kv Panel)</t>
  </si>
  <si>
    <t>Inside electrical room cable cellar Crossing (below 33kv Panel)</t>
  </si>
  <si>
    <t>Battery room side</t>
  </si>
  <si>
    <t>Inside electrical room 2nd floor cable cellar (below 150kv Panel)</t>
  </si>
  <si>
    <t>Inside electrical room dropper (below 150kv Panel)</t>
  </si>
  <si>
    <t>Inside electrical room 2nd floor cable cellar (150kv Control)</t>
  </si>
  <si>
    <t>raiser &amp; droppers</t>
  </si>
  <si>
    <t>from electrical building edge to north side pipe rack connecting</t>
  </si>
  <si>
    <t>Rack on front side  Electrical building</t>
  </si>
  <si>
    <t>from north side pipe rack to north &amp; south side pipe rack connectivity</t>
  </si>
  <si>
    <t>from north &amp; south side pipe rack to GTG -1 Electrical room crossing</t>
  </si>
  <si>
    <t>from north side pipe to crossing towards GTG -1 side to Electrical room (GTG-1)</t>
  </si>
  <si>
    <t>from pipe rack crossing GTG -1 side to GTG-2 crossing pipe rack</t>
  </si>
  <si>
    <t>from crossing pipe rack towards GTG -2 side to Electrical room (GTG-2)</t>
  </si>
  <si>
    <t>crossing from celler to STG</t>
  </si>
  <si>
    <t>Crossing from rack to STG package</t>
  </si>
  <si>
    <t>from north side pipe rack to south side side pipe rack connectivity towards HRSG-1 side</t>
  </si>
  <si>
    <t>from north side pipe rack to STG Pckage</t>
  </si>
  <si>
    <t>from south side side pipe rack connectivity towards HRSG-1</t>
  </si>
  <si>
    <t>from south side side pipe rack crossing to HRSG-1 area</t>
  </si>
  <si>
    <t>From South side HRSG - to HRSG-2 crossing</t>
  </si>
  <si>
    <t>from south side side pipe rack crossing HRSG-2 to HRSG area</t>
  </si>
  <si>
    <t>from north side pipe rack to BSDG Building</t>
  </si>
  <si>
    <t>from Rack to inside building</t>
  </si>
  <si>
    <t>dropping near equipment</t>
  </si>
  <si>
    <t>Total Quantity</t>
  </si>
  <si>
    <t>Route no.</t>
  </si>
  <si>
    <t>EB-1</t>
  </si>
  <si>
    <t>EB-2</t>
  </si>
  <si>
    <t>EB-3</t>
  </si>
  <si>
    <t>EB-3A</t>
  </si>
  <si>
    <t>EB-4</t>
  </si>
  <si>
    <t>EB-4A</t>
  </si>
  <si>
    <t>EB-4B+C</t>
  </si>
  <si>
    <t>EB-5</t>
  </si>
  <si>
    <t>EB-5A</t>
  </si>
  <si>
    <t>EB-5B</t>
  </si>
  <si>
    <t>OSN-1</t>
  </si>
  <si>
    <t>OSN-2</t>
  </si>
  <si>
    <t>OSN-3</t>
  </si>
  <si>
    <t>OSN-4</t>
  </si>
  <si>
    <t>OSN-5</t>
  </si>
  <si>
    <t>OSN-6</t>
  </si>
  <si>
    <t>OSN-7</t>
  </si>
  <si>
    <t>OSN-8</t>
  </si>
  <si>
    <t>OSN-8A</t>
  </si>
  <si>
    <t>OSN-8B</t>
  </si>
  <si>
    <t>OSS-1</t>
  </si>
  <si>
    <t>OSS-1A</t>
  </si>
  <si>
    <t>OSS-2</t>
  </si>
  <si>
    <t>OSS-3</t>
  </si>
  <si>
    <t>OSS-4</t>
  </si>
  <si>
    <t>OSS-5</t>
  </si>
  <si>
    <t>OSB-1</t>
  </si>
  <si>
    <t>OSB-2</t>
  </si>
  <si>
    <t>Length</t>
  </si>
  <si>
    <t>Cable Trays for Electrical Power Cable</t>
  </si>
  <si>
    <t>150kV-P</t>
  </si>
  <si>
    <t>Ladder</t>
  </si>
  <si>
    <t>L-600</t>
  </si>
  <si>
    <t>GSUT</t>
  </si>
  <si>
    <t>L-300</t>
  </si>
  <si>
    <t>L-150</t>
  </si>
  <si>
    <t>33kV-P</t>
  </si>
  <si>
    <t>6.6kV-P</t>
  </si>
  <si>
    <t>6.6kv Incoming-BSDG</t>
  </si>
  <si>
    <t xml:space="preserve">6.6kv motors </t>
  </si>
  <si>
    <t>LV GTG-P</t>
  </si>
  <si>
    <t>GTG Panels</t>
  </si>
  <si>
    <t>LV STG-P</t>
  </si>
  <si>
    <t>STG Motors</t>
  </si>
  <si>
    <t>Droppets</t>
  </si>
  <si>
    <t>Cable Trays for Electrical control Cable</t>
  </si>
  <si>
    <t>LV -C</t>
  </si>
  <si>
    <t>P-600</t>
  </si>
  <si>
    <t>P-300</t>
  </si>
  <si>
    <t>P-150</t>
  </si>
  <si>
    <t>Size</t>
  </si>
  <si>
    <t>Quantity in Mtrs</t>
  </si>
  <si>
    <t>Quantity with 5% margin in Mtrs</t>
  </si>
  <si>
    <t>Horizontal Bends (Nos)</t>
  </si>
  <si>
    <t>Vertical Bends
(Nos)</t>
  </si>
  <si>
    <t>Tee Bends
(Nos)</t>
  </si>
  <si>
    <t>Reducer
(Nos)</t>
  </si>
  <si>
    <t>Tray Support
C-CHANNEL:
(75*40*40*6)mm
Mtrs</t>
  </si>
  <si>
    <t>Tray Support 
ANGLE: (50*50*6)mm
mtrs</t>
  </si>
  <si>
    <t>Ladder Type Cable Tray</t>
  </si>
  <si>
    <t>Perforated Type Cable Tray</t>
  </si>
  <si>
    <t>Perforated Type Cable Tray -Cover</t>
  </si>
  <si>
    <t>BSDG</t>
  </si>
  <si>
    <t>inside</t>
  </si>
  <si>
    <t>outside</t>
  </si>
  <si>
    <t>GTG requred</t>
  </si>
  <si>
    <t>1200mm</t>
  </si>
  <si>
    <t>STG requred</t>
  </si>
  <si>
    <t>1800mm</t>
  </si>
  <si>
    <t>6.6kv</t>
  </si>
  <si>
    <t>150kV</t>
  </si>
  <si>
    <t>LV POWER CABLE SIZING</t>
  </si>
  <si>
    <t>Tray Size</t>
  </si>
  <si>
    <t>UOM</t>
  </si>
  <si>
    <t>Nos</t>
  </si>
  <si>
    <t>sl No.</t>
  </si>
  <si>
    <t>Section</t>
  </si>
  <si>
    <t>Toute</t>
  </si>
  <si>
    <t>Equipments</t>
  </si>
  <si>
    <t>feeder no.</t>
  </si>
  <si>
    <t>no. of runs each feeder</t>
  </si>
  <si>
    <t>size</t>
  </si>
  <si>
    <t>dia of each cable</t>
  </si>
  <si>
    <t>Total no. of runs</t>
  </si>
  <si>
    <t>total dia require</t>
  </si>
  <si>
    <t>Total Treay requirement</t>
  </si>
  <si>
    <t>no of Trays</t>
  </si>
  <si>
    <t>K-K</t>
  </si>
  <si>
    <t>towards Electrolyser</t>
  </si>
  <si>
    <t>33kV Electrolyzer rectifier Trafo</t>
  </si>
  <si>
    <t>3C x 150 Sqmm</t>
  </si>
  <si>
    <t>A-A</t>
  </si>
  <si>
    <t>towards CT &amp; OTHER SS</t>
  </si>
  <si>
    <t>11KV T/F &amp; Motor</t>
  </si>
  <si>
    <t>3C x 95 Sqmm</t>
  </si>
  <si>
    <t>B-B</t>
  </si>
  <si>
    <t>towards NH3 &amp; OTHER SS</t>
  </si>
  <si>
    <t>8+(8+3)</t>
  </si>
  <si>
    <t>13)</t>
  </si>
  <si>
    <t>MAIN LUBE OIL PUMP FOR 1401-J105-SPACE HEATER</t>
  </si>
  <si>
    <t>SPARE LUBE OIL PUMP FOR 1401-J105-SPACE HEATER</t>
  </si>
  <si>
    <t>Total Cable Length in meters</t>
  </si>
  <si>
    <t>0.6/1.0 kV</t>
  </si>
  <si>
    <t xml:space="preserve">Over all de-rating factor considered as mentioned below based on laying condition &amp; method of installation:
LV Multi core cable - 0.587
LV Single core cable - 0.721
MV Multi core cable - 0.599
MV Single core cable - 0.738
 </t>
  </si>
  <si>
    <t>1). All incoming cable from solar, Grid, BESS to 33kV Switchgear (MSB) cable is part of Vendor/ACME scope henace same sizing/BOQ not considered.
2). In Desalination package:
      a) Incoming Cable from LV VFD to PMCC-4, 11kV Switchgaer to MV VFD's, both MV &amp; LV power cables are inculded in the sizing/BOQ.
      b) Further from PMCC to Motor/LCS, from LV VFD to motor/LCS, from MV VFD to motor/LCS  both MV &amp; LV power cable BOQ is part of Vendor/ACME scope hence same has not included in the sizing/BOQ.</t>
  </si>
  <si>
    <t>The below mentioned packages are part of Vendor scope, henece respective package Cable sizing / cable boq has not included.
1. Ammonia Storage area, 
2. ASU Package, 
3. Nitrogen Package, 
4. Flare area Package, 
5. Cooling tower Package.
6. ETP Package.
7. Desalination Sea Water Treatment Package.
8. Sea Water Intake system.
9. Electrolyzer Area Package.</t>
  </si>
  <si>
    <t>Cable from UPS DB/ Sub UPS DB to Instrument is not included in this sizing &amp; same shall be considered in Instrument cable schedule/BOQ.</t>
  </si>
  <si>
    <t>12)</t>
  </si>
  <si>
    <t xml:space="preserve">Basis &amp; Assumptions considered for MV &amp; LV cable sizing </t>
  </si>
  <si>
    <t>initially 120sqmm with 322.5 mtr length ,now 95 sqm with 317 mtr</t>
  </si>
  <si>
    <t>Size changed to 25 to 4sqmm</t>
  </si>
  <si>
    <t>INSTRUMENT AIR DRYER</t>
  </si>
  <si>
    <t>STANDBY INSTRUMENT AIR DRYER</t>
  </si>
  <si>
    <t>1411-V001</t>
  </si>
  <si>
    <t>1411-V002A</t>
  </si>
  <si>
    <t>1411-V002B</t>
  </si>
  <si>
    <t>ADT for Air receciver 25M³</t>
  </si>
  <si>
    <t>ADT for Air receciver 60M³</t>
  </si>
  <si>
    <t>1401-P-1601</t>
  </si>
  <si>
    <t>1401-P-1602</t>
  </si>
  <si>
    <t>Oil Vapour Extractor</t>
  </si>
  <si>
    <t>Heater for oil tank</t>
  </si>
  <si>
    <t>1401-PM-1604A</t>
  </si>
  <si>
    <t>1401-PM-1604</t>
  </si>
  <si>
    <t>1401-HT-1601</t>
  </si>
  <si>
    <t>Barring Gear Motor</t>
  </si>
  <si>
    <t>GVC motor</t>
  </si>
  <si>
    <t>1401-HT103A</t>
  </si>
  <si>
    <t>UCP FOR 1401-J103 (UPS 230 V)(REDUNDANT SUPPLY)</t>
  </si>
  <si>
    <t>UCP FOR 1401-J103 (UPS 230 V)(MAIN SUPPLY)</t>
  </si>
  <si>
    <t>1401-CM113</t>
  </si>
  <si>
    <t>1401-CM106</t>
  </si>
  <si>
    <t>1401-HT105</t>
  </si>
  <si>
    <t>1401-HT106</t>
  </si>
  <si>
    <t>1401-HT107</t>
  </si>
  <si>
    <t>1401-PM107</t>
  </si>
  <si>
    <t>LUBE OIL CONDITIONER OIL PUMP MOTOR</t>
  </si>
  <si>
    <t>UCP FOR  1401-J105 (UPS 230 V)(REDUNDANT SUPPLY)</t>
  </si>
  <si>
    <t>UCP FOR  1401-J105 (UPS 230 V)(MAIN SUPPLY)</t>
  </si>
  <si>
    <t>AMMONIA REFRIGERATION COMPRESSOR 1401-J-105</t>
  </si>
  <si>
    <t>1401-HT105A</t>
  </si>
  <si>
    <t>1401-HT105B</t>
  </si>
  <si>
    <t>1401-HT206</t>
  </si>
  <si>
    <t>1401-CM107</t>
  </si>
  <si>
    <t>1401-HT207</t>
  </si>
  <si>
    <t>1401-HT108</t>
  </si>
  <si>
    <t>1401-PKM210A</t>
  </si>
  <si>
    <t>1401-PKM210B</t>
  </si>
  <si>
    <t>Acoustic Enclosure lighting JB (230V) (NON-UPS Supply)</t>
  </si>
  <si>
    <t>Package PLC Panel (230V)(NON-UPS Supply)</t>
  </si>
  <si>
    <t>MMS Panel (230V) (NON-UPS Supply)</t>
  </si>
  <si>
    <t>1401-H202A</t>
  </si>
  <si>
    <t>1401-H202B</t>
  </si>
  <si>
    <t>1401-H203A</t>
  </si>
  <si>
    <t>1401-B203C</t>
  </si>
  <si>
    <t>1401-H203B</t>
  </si>
  <si>
    <t>CRANE- Air Separation unit - Single Girder EOT Crane - (8T)</t>
  </si>
  <si>
    <t>CRANE - Ammonia plant (Hydrogen Compressor: 1401- J202A, shed) - Double Girder EOT Crane - (20T)</t>
  </si>
  <si>
    <t>CRANE - Ammonia plant (Hydrogen Compressor: 1401- J202A, shed) - Double Girder EOT Crane - (20T)-Space Heater</t>
  </si>
  <si>
    <t>CRANE- Ammonia plant (Hydrogen Compressor: 1401- J203A, shed) - Double Girder EOT Crane - (20T)</t>
  </si>
  <si>
    <t>CRANE- Ammonia plant (Hydrogen Compressor: 1401- J203A, shed) - Double Girder EOT Crane - (20T)-Space Heater</t>
  </si>
  <si>
    <t xml:space="preserve">Electric Hoist - Main substation building (Switchgear room) - Electric Hoist (2T) </t>
  </si>
  <si>
    <t xml:space="preserve">Electric Hoist  - Instrument air compressor building) - Electric Hoist (5T) </t>
  </si>
  <si>
    <t>Air Seperation unit</t>
  </si>
  <si>
    <t>DIESEL OFFLOADING PUMP</t>
  </si>
  <si>
    <t>SPARE DIESEL OFFLOADING PUMP</t>
  </si>
  <si>
    <t>Diesel storage area</t>
  </si>
  <si>
    <t>SPACE HEATER COLD AMMONIA PRODUCT PUMP</t>
  </si>
  <si>
    <t>SPACE HEATER SPARE COLD AMMONIA PRODUCT PUMP</t>
  </si>
  <si>
    <t>SPACE HEATER BFW PUMP</t>
  </si>
  <si>
    <t>SPACE HEATER  SPARE BFW PUMP</t>
  </si>
  <si>
    <t>LP FLARE PACKAGE</t>
  </si>
  <si>
    <t>1401-P-1603</t>
  </si>
  <si>
    <t>1401-PM103B</t>
  </si>
  <si>
    <t>1401-PM103A</t>
  </si>
  <si>
    <t>1401-PM105A</t>
  </si>
  <si>
    <t>1401-PM105B</t>
  </si>
  <si>
    <t>1401-CM115</t>
  </si>
  <si>
    <t>UCP CABINET (REDUNDANT UPS) FOR 1401-J202A (230 V)</t>
  </si>
  <si>
    <t>ISC PANEL (REDUNDANT UPS) FOR 1401-J202A (230 V)</t>
  </si>
  <si>
    <t>ISC PANEL (REDUNDANT UPS) (230 V)</t>
  </si>
  <si>
    <t>1401-P202C</t>
  </si>
  <si>
    <t>1401-BM202A</t>
  </si>
  <si>
    <t>1401-P202D</t>
  </si>
  <si>
    <t>1401-BM202B</t>
  </si>
  <si>
    <t>1401-PM202G</t>
  </si>
  <si>
    <t>1401-PM202H</t>
  </si>
  <si>
    <t>1401-P203C</t>
  </si>
  <si>
    <t>1401-P203E</t>
  </si>
  <si>
    <t>1401-P203F</t>
  </si>
  <si>
    <t>1401-BM203A</t>
  </si>
  <si>
    <t>1401-P203D</t>
  </si>
  <si>
    <t>1401-BM203B</t>
  </si>
  <si>
    <t>1401-P203A</t>
  </si>
  <si>
    <t>UCP CABINET (REDUNDANT UPS) FOR 1401-J203A (230 V)</t>
  </si>
  <si>
    <t>UCP CABINET (NON-UPS) FOR 1401-J203B (230 V)</t>
  </si>
  <si>
    <t>ROOFTOP UNIT-3</t>
  </si>
  <si>
    <t>ROOFTOP UNIT-3-SPACE HEATER</t>
  </si>
  <si>
    <t>HEATER-3</t>
  </si>
  <si>
    <t>HUMIDIFIER-3</t>
  </si>
  <si>
    <t>VFD ROOM - SPLIT AC 1</t>
  </si>
  <si>
    <t>VFD ROOM - SPLIT AC 2</t>
  </si>
  <si>
    <t>VFD ROOM - SPLIT AC 3</t>
  </si>
  <si>
    <t>VFD ROOM - SPLIT AC 4</t>
  </si>
  <si>
    <t>VFD ROOM - SPLIT AC 5</t>
  </si>
  <si>
    <t>VFD ROOM - SPLIT AC 6</t>
  </si>
  <si>
    <t>VFD ROOM - SPLIT AC 7</t>
  </si>
  <si>
    <t>VFD ROOM - SPLIT AC 8</t>
  </si>
  <si>
    <t>VFD ROOM - SPLIT AC 9</t>
  </si>
  <si>
    <t>VFD ROOM - SPLIT AC 10</t>
  </si>
  <si>
    <t>VFD ROOM - SPLIT AC 11</t>
  </si>
  <si>
    <t>ELECTRICAL STROKE SETTING DEVICE FOR STEAM CONDENSATE INJECTION UNIT</t>
  </si>
  <si>
    <t>STANDBY ELECTRICAL STROKE SETTING DEVICE FOR STEAM CONDENSATE INJECTION UNIT</t>
  </si>
  <si>
    <t>HVAC - EMERGENCY LOADS</t>
  </si>
  <si>
    <t>CONTROL BUILDING</t>
  </si>
  <si>
    <t>GROUND FLOOR - EXHAUST FAN</t>
  </si>
  <si>
    <t>GROUND FLOOR - FRESH AIR FAN</t>
  </si>
  <si>
    <t>UPS ROOM - EXHAUST FAN</t>
  </si>
  <si>
    <t>BATTERY ROOM - EXHAUST 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</si>
</sst>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164" formatCode="0.000"/>
    <numFmt numFmtId="165" formatCode="0.0000"/>
    <numFmt numFmtId="166" formatCode="0.0"/>
    <numFmt numFmtId="169" formatCode="0&quot; mm&quot;"/>
  </numFmts>
  <fonts count="72">
    <font>
      <sz val="10"/>
      <name val="Arial"/>
    </font>
    <font>
      <sz val="10"/>
      <name val="Arial"/>
      <family val="2"/>
    </font>
    <font>
      <sz val="12"/>
      <name val="µ¸¿ò"/>
      <family val="3"/>
      <charset val="129"/>
    </font>
    <font>
      <b/>
      <sz val="11"/>
      <name val="Calibri"/>
      <family val="2"/>
      <scheme val="minor"/>
    </font>
    <font>
      <sz val="11"/>
      <name val="Calibri"/>
      <family val="2"/>
      <scheme val="minor"/>
    </font>
    <font>
      <sz val="11"/>
      <name val="돋움"/>
      <family val="3"/>
      <charset val="129"/>
    </font>
    <font>
      <b/>
      <u/>
      <sz val="11"/>
      <name val="Calibri"/>
      <family val="2"/>
      <scheme val="minor"/>
    </font>
    <font>
      <sz val="9"/>
      <name val="Arial"/>
      <family val="2"/>
    </font>
    <font>
      <sz val="10"/>
      <name val="Verdana"/>
      <family val="2"/>
    </font>
    <font>
      <sz val="11"/>
      <color indexed="9"/>
      <name val="Calibri"/>
      <family val="2"/>
    </font>
    <font>
      <sz val="11"/>
      <color indexed="17"/>
      <name val="Calibri"/>
      <family val="2"/>
    </font>
    <font>
      <sz val="11"/>
      <color indexed="10"/>
      <name val="Calibri"/>
      <family val="2"/>
    </font>
    <font>
      <sz val="11"/>
      <color indexed="8"/>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3"/>
      <color indexed="56"/>
      <name val="Calibri"/>
      <family val="2"/>
    </font>
    <font>
      <b/>
      <sz val="11"/>
      <color indexed="56"/>
      <name val="Calibri"/>
      <family val="2"/>
    </font>
    <font>
      <sz val="11"/>
      <color indexed="20"/>
      <name val="Calibri"/>
      <family val="2"/>
    </font>
    <font>
      <b/>
      <sz val="11"/>
      <color indexed="9"/>
      <name val="Calibri"/>
      <family val="2"/>
    </font>
    <font>
      <b/>
      <sz val="18"/>
      <color indexed="56"/>
      <name val="Cambria"/>
      <family val="1"/>
    </font>
    <font>
      <sz val="11"/>
      <color indexed="60"/>
      <name val="Calibri"/>
      <family val="2"/>
    </font>
    <font>
      <b/>
      <sz val="15"/>
      <color indexed="56"/>
      <name val="Calibri"/>
      <family val="2"/>
    </font>
    <font>
      <b/>
      <sz val="11"/>
      <color indexed="8"/>
      <name val="Calibri"/>
      <family val="2"/>
    </font>
    <font>
      <i/>
      <sz val="11"/>
      <color indexed="23"/>
      <name val="Calibri"/>
      <family val="2"/>
    </font>
    <font>
      <sz val="10"/>
      <name val="MS Sans Serif"/>
      <family val="2"/>
    </font>
    <font>
      <sz val="10"/>
      <name val="MS Sans Serif"/>
      <family val="2"/>
    </font>
    <font>
      <sz val="11"/>
      <name val="Arial"/>
      <family val="2"/>
    </font>
    <font>
      <sz val="11"/>
      <color rgb="FF9C5700"/>
      <name val="Calibri"/>
      <family val="2"/>
      <scheme val="minor"/>
    </font>
    <font>
      <b/>
      <sz val="11"/>
      <color theme="1"/>
      <name val="Calibri"/>
      <family val="2"/>
      <scheme val="minor"/>
    </font>
    <font>
      <b/>
      <sz val="14"/>
      <name val="Calibri"/>
      <family val="2"/>
      <scheme val="minor"/>
    </font>
    <font>
      <sz val="14"/>
      <name val="Calibri"/>
      <family val="2"/>
      <scheme val="minor"/>
    </font>
    <font>
      <b/>
      <vertAlign val="superscript"/>
      <sz val="11"/>
      <name val="Calibri"/>
      <family val="2"/>
      <scheme val="minor"/>
    </font>
    <font>
      <b/>
      <vertAlign val="superscript"/>
      <sz val="11"/>
      <color indexed="8"/>
      <name val="Calibri"/>
      <family val="2"/>
      <scheme val="minor"/>
    </font>
    <font>
      <sz val="11"/>
      <color rgb="FFFF0000"/>
      <name val="Calibri"/>
      <family val="2"/>
      <scheme val="minor"/>
    </font>
    <font>
      <b/>
      <sz val="10"/>
      <name val="Arial"/>
      <family val="2"/>
    </font>
    <font>
      <sz val="10"/>
      <name val="Calibri"/>
      <family val="2"/>
      <scheme val="minor"/>
    </font>
    <font>
      <sz val="10"/>
      <color rgb="FFFF0000"/>
      <name val="Arial"/>
      <family val="2"/>
    </font>
    <font>
      <sz val="11"/>
      <name val="Calibri"/>
      <family val="2"/>
    </font>
    <font>
      <sz val="11"/>
      <color rgb="FF9C6500"/>
      <name val="Calibri"/>
      <family val="2"/>
      <scheme val="minor"/>
    </font>
    <font>
      <sz val="10"/>
      <color rgb="FF0000CC"/>
      <name val="Arial"/>
      <family val="2"/>
    </font>
    <font>
      <b/>
      <sz val="11"/>
      <color rgb="FF0000CC"/>
      <name val="Calibri"/>
      <family val="2"/>
      <scheme val="minor"/>
    </font>
    <font>
      <b/>
      <sz val="11"/>
      <name val="Arial"/>
      <family val="2"/>
    </font>
    <font>
      <sz val="11"/>
      <color rgb="FF0000CC"/>
      <name val="Calibri"/>
      <family val="2"/>
      <scheme val="minor"/>
    </font>
    <font>
      <sz val="11"/>
      <name val="Calibri"/>
      <family val="3"/>
      <charset val="129"/>
      <scheme val="minor"/>
    </font>
    <font>
      <sz val="11"/>
      <color rgb="FF0000FF"/>
      <name val="Calibri"/>
      <family val="3"/>
      <charset val="129"/>
      <scheme val="minor"/>
    </font>
    <font>
      <b/>
      <sz val="12"/>
      <name val="Arial"/>
      <family val="2"/>
    </font>
    <font>
      <strike/>
      <sz val="10"/>
      <color rgb="FF0000CC"/>
      <name val="Arial"/>
      <family val="2"/>
    </font>
    <font>
      <sz val="8"/>
      <name val="Arial"/>
      <family val="2"/>
    </font>
    <font>
      <strike/>
      <sz val="10"/>
      <name val="Arial"/>
      <family val="2"/>
    </font>
    <font>
      <sz val="12"/>
      <name val="Arial"/>
      <family val="2"/>
    </font>
    <font>
      <b/>
      <strike/>
      <sz val="11"/>
      <name val="Arial"/>
      <family val="2"/>
    </font>
    <font>
      <b/>
      <strike/>
      <sz val="11"/>
      <color rgb="FFFF0000"/>
      <name val="Arial"/>
      <family val="2"/>
    </font>
    <font>
      <strike/>
      <sz val="11"/>
      <name val="Arial"/>
      <family val="2"/>
    </font>
    <font>
      <b/>
      <strike/>
      <sz val="10"/>
      <name val="Arial"/>
      <family val="2"/>
    </font>
    <font>
      <b/>
      <sz val="14"/>
      <name val="Arial"/>
      <family val="2"/>
    </font>
    <font>
      <b/>
      <sz val="10"/>
      <color rgb="FFFF0000"/>
      <name val="Arial"/>
      <family val="2"/>
    </font>
    <font>
      <b/>
      <sz val="11"/>
      <color rgb="FF0000CC"/>
      <name val="Arial"/>
      <family val="2"/>
    </font>
    <font>
      <strike/>
      <sz val="10"/>
      <color rgb="FFFF0000"/>
      <name val="Arial"/>
      <family val="2"/>
    </font>
    <font>
      <b/>
      <sz val="10"/>
      <color rgb="FF0000CC"/>
      <name val="Arial"/>
      <family val="2"/>
    </font>
    <font>
      <sz val="14"/>
      <name val="Arial"/>
      <family val="2"/>
    </font>
    <font>
      <b/>
      <sz val="9"/>
      <name val="Arial"/>
      <family val="2"/>
    </font>
    <font>
      <strike/>
      <sz val="11"/>
      <color rgb="FFFF0000"/>
      <name val="Arial"/>
      <family val="2"/>
    </font>
    <font>
      <b/>
      <strike/>
      <sz val="18"/>
      <color rgb="FFFF0000"/>
      <name val="Calibri"/>
      <family val="2"/>
      <scheme val="minor"/>
    </font>
    <font>
      <strike/>
      <sz val="12"/>
      <color rgb="FFFF0000"/>
      <name val="Calibri"/>
      <family val="2"/>
      <scheme val="minor"/>
    </font>
    <font>
      <b/>
      <strike/>
      <sz val="12"/>
      <color rgb="FFFF0000"/>
      <name val="Calibri"/>
      <family val="2"/>
      <scheme val="minor"/>
    </font>
    <font>
      <sz val="12"/>
      <color rgb="FFFF0000"/>
      <name val="Arial"/>
      <family val="2"/>
    </font>
    <font>
      <b/>
      <sz val="11"/>
      <color rgb="FFFF0000"/>
      <name val="Calibri"/>
      <family val="2"/>
      <scheme val="minor"/>
    </font>
    <font>
      <sz val="10"/>
      <color rgb="FF00B0F0"/>
      <name val="Arial"/>
      <family val="2"/>
    </font>
    <font>
      <b/>
      <strike/>
      <sz val="9"/>
      <name val="Arial"/>
      <family val="2"/>
    </font>
    <font>
      <sz val="10"/>
      <color theme="1"/>
      <name val="Arial"/>
      <family val="2"/>
    </font>
  </fonts>
  <fills count="5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rgb="FFFFEB9C"/>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FF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C00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B0F0"/>
        <bgColor indexed="64"/>
      </patternFill>
    </fill>
    <fill>
      <patternFill patternType="solid">
        <fgColor theme="8" tint="0.39997558519241921"/>
        <bgColor indexed="64"/>
      </patternFill>
    </fill>
    <fill>
      <patternFill patternType="solid">
        <fgColor rgb="FFFFCCFF"/>
        <bgColor indexed="64"/>
      </patternFill>
    </fill>
    <fill>
      <patternFill patternType="solid">
        <fgColor rgb="FFFF99FF"/>
        <bgColor indexed="64"/>
      </patternFill>
    </fill>
    <fill>
      <patternFill patternType="solid">
        <fgColor rgb="FF66FFFF"/>
        <bgColor indexed="64"/>
      </patternFill>
    </fill>
    <fill>
      <patternFill patternType="solid">
        <fgColor theme="5" tint="0.39997558519241921"/>
        <bgColor indexed="64"/>
      </patternFill>
    </fill>
  </fills>
  <borders count="118">
    <border>
      <left/>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indexed="64"/>
      </bottom>
      <diagonal/>
    </border>
    <border>
      <left/>
      <right/>
      <top/>
      <bottom style="thin">
        <color indexed="64"/>
      </bottom>
      <diagonal/>
    </border>
    <border>
      <left/>
      <right style="thin">
        <color auto="1"/>
      </right>
      <top/>
      <bottom style="thin">
        <color indexed="64"/>
      </bottom>
      <diagonal/>
    </border>
    <border>
      <left style="thin">
        <color indexed="64"/>
      </left>
      <right style="medium">
        <color indexed="64"/>
      </right>
      <top/>
      <bottom style="thin">
        <color indexed="64"/>
      </bottom>
      <diagonal/>
    </border>
    <border>
      <left style="thin">
        <color auto="1"/>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diagonal/>
    </border>
    <border>
      <left style="thin">
        <color indexed="64"/>
      </left>
      <right/>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medium">
        <color indexed="64"/>
      </top>
      <bottom style="thin">
        <color auto="1"/>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right style="thin">
        <color auto="1"/>
      </right>
      <top style="thin">
        <color indexed="64"/>
      </top>
      <bottom/>
      <diagonal/>
    </border>
    <border>
      <left/>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8"/>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style="thin">
        <color auto="1"/>
      </top>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64"/>
      </bottom>
      <diagonal/>
    </border>
    <border>
      <left/>
      <right style="medium">
        <color indexed="64"/>
      </right>
      <top style="thin">
        <color indexed="64"/>
      </top>
      <bottom style="thin">
        <color indexed="64"/>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8"/>
      </top>
      <bottom style="thin">
        <color indexed="64"/>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8"/>
      </top>
      <bottom style="thin">
        <color indexed="64"/>
      </bottom>
      <diagonal/>
    </border>
    <border>
      <left/>
      <right/>
      <top style="thin">
        <color indexed="64"/>
      </top>
      <bottom/>
      <diagonal/>
    </border>
  </borders>
  <cellStyleXfs count="102">
    <xf numFmtId="0" fontId="0" fillId="0" borderId="0"/>
    <xf numFmtId="0" fontId="1" fillId="0" borderId="0"/>
    <xf numFmtId="0" fontId="2" fillId="0" borderId="0"/>
    <xf numFmtId="0" fontId="5" fillId="0" borderId="0"/>
    <xf numFmtId="0" fontId="1" fillId="0" borderId="0"/>
    <xf numFmtId="0" fontId="1" fillId="0" borderId="0"/>
    <xf numFmtId="1" fontId="7" fillId="0" borderId="0"/>
    <xf numFmtId="0" fontId="8" fillId="0" borderId="0"/>
    <xf numFmtId="0" fontId="1" fillId="0" borderId="0"/>
    <xf numFmtId="0" fontId="1" fillId="0" borderId="0"/>
    <xf numFmtId="0" fontId="12" fillId="5"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9" fillId="15"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2" borderId="0" applyNumberFormat="0" applyBorder="0" applyAlignment="0" applyProtection="0"/>
    <xf numFmtId="0" fontId="19" fillId="6" borderId="0" applyNumberFormat="0" applyBorder="0" applyAlignment="0" applyProtection="0"/>
    <xf numFmtId="0" fontId="15" fillId="4" borderId="2" applyNumberFormat="0" applyAlignment="0" applyProtection="0"/>
    <xf numFmtId="0" fontId="20" fillId="23" borderId="3" applyNumberFormat="0" applyAlignment="0" applyProtection="0"/>
    <xf numFmtId="0" fontId="25" fillId="0" borderId="0" applyNumberFormat="0" applyFill="0" applyBorder="0" applyAlignment="0" applyProtection="0"/>
    <xf numFmtId="0" fontId="10" fillId="7" borderId="0" applyNumberFormat="0" applyBorder="0" applyAlignment="0" applyProtection="0"/>
    <xf numFmtId="0" fontId="23"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3" fillId="10" borderId="2" applyNumberFormat="0" applyAlignment="0" applyProtection="0"/>
    <xf numFmtId="0" fontId="16" fillId="0" borderId="7" applyNumberFormat="0" applyFill="0" applyAlignment="0" applyProtection="0"/>
    <xf numFmtId="0" fontId="22" fillId="24" borderId="0" applyNumberFormat="0" applyBorder="0" applyAlignment="0" applyProtection="0"/>
    <xf numFmtId="0" fontId="1" fillId="25" borderId="8" applyNumberFormat="0" applyFont="0" applyAlignment="0" applyProtection="0"/>
    <xf numFmtId="0" fontId="14" fillId="4" borderId="9" applyNumberFormat="0" applyAlignment="0" applyProtection="0"/>
    <xf numFmtId="0" fontId="21" fillId="0" borderId="0" applyNumberFormat="0" applyFill="0" applyBorder="0" applyAlignment="0" applyProtection="0"/>
    <xf numFmtId="0" fontId="24" fillId="0" borderId="10" applyNumberFormat="0" applyFill="0" applyAlignment="0" applyProtection="0"/>
    <xf numFmtId="0" fontId="11" fillId="0" borderId="0" applyNumberFormat="0" applyFill="0" applyBorder="0" applyAlignment="0" applyProtection="0"/>
    <xf numFmtId="0" fontId="26" fillId="0" borderId="0"/>
    <xf numFmtId="0" fontId="27" fillId="0" borderId="0"/>
    <xf numFmtId="0" fontId="29" fillId="26" borderId="0" applyNumberFormat="0" applyBorder="0" applyAlignment="0" applyProtection="0"/>
    <xf numFmtId="0" fontId="1" fillId="0" borderId="0"/>
    <xf numFmtId="41" fontId="1" fillId="0" borderId="0" applyFill="0" applyBorder="0" applyAlignment="0" applyProtection="0"/>
    <xf numFmtId="41" fontId="1" fillId="0" borderId="0" applyFill="0" applyBorder="0" applyAlignment="0" applyProtection="0"/>
    <xf numFmtId="0" fontId="40" fillId="26" borderId="0" applyNumberFormat="0" applyBorder="0" applyAlignment="0" applyProtection="0"/>
    <xf numFmtId="0" fontId="1" fillId="0" borderId="0"/>
    <xf numFmtId="0" fontId="15" fillId="4" borderId="27" applyNumberFormat="0" applyAlignment="0" applyProtection="0"/>
    <xf numFmtId="0" fontId="13" fillId="10" borderId="27" applyNumberFormat="0" applyAlignment="0" applyProtection="0"/>
    <xf numFmtId="0" fontId="1" fillId="25" borderId="28" applyNumberFormat="0" applyFont="0" applyAlignment="0" applyProtection="0"/>
    <xf numFmtId="0" fontId="14" fillId="4" borderId="29" applyNumberFormat="0" applyAlignment="0" applyProtection="0"/>
    <xf numFmtId="0" fontId="24" fillId="0" borderId="30" applyNumberFormat="0" applyFill="0" applyAlignment="0" applyProtection="0"/>
    <xf numFmtId="0" fontId="26" fillId="0" borderId="0"/>
    <xf numFmtId="41" fontId="1" fillId="0" borderId="0" applyFill="0" applyBorder="0" applyAlignment="0" applyProtection="0"/>
    <xf numFmtId="41" fontId="1" fillId="0" borderId="0" applyFill="0" applyBorder="0" applyAlignment="0" applyProtection="0"/>
    <xf numFmtId="0" fontId="1" fillId="25" borderId="52" applyNumberFormat="0" applyFont="0" applyAlignment="0" applyProtection="0"/>
    <xf numFmtId="0" fontId="24" fillId="0" borderId="58" applyNumberFormat="0" applyFill="0" applyAlignment="0" applyProtection="0"/>
    <xf numFmtId="0" fontId="1" fillId="25" borderId="44" applyNumberFormat="0" applyFont="0" applyAlignment="0" applyProtection="0"/>
    <xf numFmtId="0" fontId="1" fillId="25" borderId="56" applyNumberFormat="0" applyFont="0" applyAlignment="0" applyProtection="0"/>
    <xf numFmtId="0" fontId="1" fillId="25" borderId="40" applyNumberFormat="0" applyFont="0" applyAlignment="0" applyProtection="0"/>
    <xf numFmtId="0" fontId="15" fillId="4" borderId="39" applyNumberFormat="0" applyAlignment="0" applyProtection="0"/>
    <xf numFmtId="0" fontId="13" fillId="10" borderId="39" applyNumberFormat="0" applyAlignment="0" applyProtection="0"/>
    <xf numFmtId="0" fontId="13" fillId="10" borderId="51" applyNumberFormat="0" applyAlignment="0" applyProtection="0"/>
    <xf numFmtId="0" fontId="24" fillId="0" borderId="50" applyNumberFormat="0" applyFill="0" applyAlignment="0" applyProtection="0"/>
    <xf numFmtId="0" fontId="14" fillId="4" borderId="49" applyNumberFormat="0" applyAlignment="0" applyProtection="0"/>
    <xf numFmtId="0" fontId="1" fillId="25" borderId="48" applyNumberFormat="0" applyFont="0" applyAlignment="0" applyProtection="0"/>
    <xf numFmtId="0" fontId="13" fillId="10" borderId="47" applyNumberFormat="0" applyAlignment="0" applyProtection="0"/>
    <xf numFmtId="0" fontId="15" fillId="4" borderId="47" applyNumberFormat="0" applyAlignment="0" applyProtection="0"/>
    <xf numFmtId="0" fontId="13" fillId="10" borderId="55" applyNumberFormat="0" applyAlignment="0" applyProtection="0"/>
    <xf numFmtId="0" fontId="14" fillId="4" borderId="57" applyNumberFormat="0" applyAlignment="0" applyProtection="0"/>
    <xf numFmtId="0" fontId="13" fillId="10" borderId="43" applyNumberFormat="0" applyAlignment="0" applyProtection="0"/>
    <xf numFmtId="0" fontId="15" fillId="4" borderId="35" applyNumberFormat="0" applyAlignment="0" applyProtection="0"/>
    <xf numFmtId="0" fontId="13" fillId="10" borderId="35" applyNumberFormat="0" applyAlignment="0" applyProtection="0"/>
    <xf numFmtId="0" fontId="1" fillId="25" borderId="36" applyNumberFormat="0" applyFont="0" applyAlignment="0" applyProtection="0"/>
    <xf numFmtId="0" fontId="14" fillId="4" borderId="37" applyNumberFormat="0" applyAlignment="0" applyProtection="0"/>
    <xf numFmtId="0" fontId="24" fillId="0" borderId="38" applyNumberFormat="0" applyFill="0" applyAlignment="0" applyProtection="0"/>
    <xf numFmtId="0" fontId="15" fillId="4" borderId="43" applyNumberFormat="0" applyAlignment="0" applyProtection="0"/>
    <xf numFmtId="0" fontId="14" fillId="4" borderId="41" applyNumberFormat="0" applyAlignment="0" applyProtection="0"/>
    <xf numFmtId="0" fontId="24" fillId="0" borderId="42" applyNumberFormat="0" applyFill="0" applyAlignment="0" applyProtection="0"/>
    <xf numFmtId="0" fontId="15" fillId="4" borderId="51" applyNumberFormat="0" applyAlignment="0" applyProtection="0"/>
    <xf numFmtId="0" fontId="14" fillId="4" borderId="45" applyNumberFormat="0" applyAlignment="0" applyProtection="0"/>
    <xf numFmtId="0" fontId="24" fillId="0" borderId="46" applyNumberFormat="0" applyFill="0" applyAlignment="0" applyProtection="0"/>
    <xf numFmtId="0" fontId="15" fillId="4" borderId="55" applyNumberFormat="0" applyAlignment="0" applyProtection="0"/>
    <xf numFmtId="0" fontId="14" fillId="4" borderId="53" applyNumberFormat="0" applyAlignment="0" applyProtection="0"/>
    <xf numFmtId="0" fontId="24" fillId="0" borderId="54" applyNumberFormat="0" applyFill="0" applyAlignment="0" applyProtection="0"/>
    <xf numFmtId="0" fontId="15" fillId="4" borderId="59" applyNumberFormat="0" applyAlignment="0" applyProtection="0"/>
    <xf numFmtId="0" fontId="13" fillId="10" borderId="59" applyNumberFormat="0" applyAlignment="0" applyProtection="0"/>
    <xf numFmtId="0" fontId="1" fillId="25" borderId="60" applyNumberFormat="0" applyFont="0" applyAlignment="0" applyProtection="0"/>
    <xf numFmtId="0" fontId="14" fillId="4" borderId="61" applyNumberFormat="0" applyAlignment="0" applyProtection="0"/>
    <xf numFmtId="0" fontId="24" fillId="0" borderId="62" applyNumberFormat="0" applyFill="0" applyAlignment="0" applyProtection="0"/>
  </cellStyleXfs>
  <cellXfs count="721">
    <xf numFmtId="0" fontId="0" fillId="0" borderId="0" xfId="0"/>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4" fillId="2" borderId="0" xfId="0" applyFont="1" applyFill="1" applyAlignment="1">
      <alignment horizontal="center" vertical="center"/>
    </xf>
    <xf numFmtId="0" fontId="4" fillId="2" borderId="0" xfId="0" applyFont="1" applyFill="1" applyAlignment="1">
      <alignment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32" fillId="2" borderId="0" xfId="0" applyFont="1" applyFill="1" applyAlignment="1">
      <alignment horizontal="center" vertical="center"/>
    </xf>
    <xf numFmtId="0" fontId="31" fillId="0" borderId="0" xfId="0" applyFont="1" applyAlignment="1">
      <alignment vertical="center"/>
    </xf>
    <xf numFmtId="0" fontId="4" fillId="0" borderId="0" xfId="0" applyFont="1" applyAlignment="1">
      <alignment vertical="center" wrapText="1"/>
    </xf>
    <xf numFmtId="0" fontId="1" fillId="0" borderId="0" xfId="0" applyFont="1" applyAlignment="1">
      <alignment horizontal="center" vertical="center"/>
    </xf>
    <xf numFmtId="0" fontId="1" fillId="0" borderId="0" xfId="1"/>
    <xf numFmtId="0" fontId="4" fillId="2" borderId="12" xfId="0" applyFont="1" applyFill="1" applyBorder="1" applyAlignment="1">
      <alignment vertical="center"/>
    </xf>
    <xf numFmtId="0" fontId="4" fillId="2" borderId="13"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3" fillId="0" borderId="18" xfId="0" applyFont="1" applyBorder="1" applyAlignment="1">
      <alignment horizontal="center" vertical="center"/>
    </xf>
    <xf numFmtId="0" fontId="4" fillId="2" borderId="18" xfId="0" applyFont="1" applyFill="1" applyBorder="1"/>
    <xf numFmtId="0" fontId="4" fillId="0" borderId="18" xfId="0" applyFont="1" applyBorder="1" applyAlignment="1">
      <alignment horizontal="center" vertical="center"/>
    </xf>
    <xf numFmtId="0" fontId="4" fillId="2" borderId="19" xfId="0" applyFont="1" applyFill="1" applyBorder="1" applyAlignment="1">
      <alignment vertical="center"/>
    </xf>
    <xf numFmtId="0" fontId="4" fillId="2" borderId="20" xfId="0" applyFont="1" applyFill="1" applyBorder="1" applyAlignment="1">
      <alignment horizontal="center" vertical="center"/>
    </xf>
    <xf numFmtId="0" fontId="3" fillId="2" borderId="20" xfId="0" applyFont="1" applyFill="1" applyBorder="1" applyAlignment="1">
      <alignment horizontal="center" vertical="center" wrapText="1"/>
    </xf>
    <xf numFmtId="0" fontId="4" fillId="2" borderId="21" xfId="0" applyFont="1" applyFill="1" applyBorder="1" applyAlignment="1">
      <alignment horizontal="center" vertical="center"/>
    </xf>
    <xf numFmtId="0" fontId="4" fillId="2" borderId="13" xfId="0" applyFont="1" applyFill="1" applyBorder="1" applyAlignment="1">
      <alignment vertical="center" wrapText="1"/>
    </xf>
    <xf numFmtId="0" fontId="4" fillId="0" borderId="17"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12" xfId="0" applyFont="1" applyBorder="1" applyAlignment="1">
      <alignment vertical="center"/>
    </xf>
    <xf numFmtId="0" fontId="4" fillId="0" borderId="13" xfId="0" applyFont="1" applyBorder="1" applyAlignment="1">
      <alignment horizontal="center" vertical="center"/>
    </xf>
    <xf numFmtId="0" fontId="4" fillId="0" borderId="11" xfId="0" applyFont="1" applyBorder="1" applyAlignment="1">
      <alignment horizontal="center" vertical="center"/>
    </xf>
    <xf numFmtId="0" fontId="28" fillId="0" borderId="0" xfId="1" applyFont="1" applyAlignment="1">
      <alignment horizontal="center" vertical="center"/>
    </xf>
    <xf numFmtId="0" fontId="28" fillId="0" borderId="0" xfId="1" applyFont="1" applyAlignment="1">
      <alignment horizontal="center" vertical="center" wrapText="1"/>
    </xf>
    <xf numFmtId="0" fontId="1" fillId="0" borderId="0" xfId="0" applyFont="1"/>
    <xf numFmtId="0" fontId="1" fillId="0" borderId="0" xfId="1" applyAlignment="1">
      <alignment horizontal="center" vertical="center"/>
    </xf>
    <xf numFmtId="0" fontId="38" fillId="0" borderId="0" xfId="1" applyFont="1" applyAlignment="1">
      <alignment horizontal="center" vertical="center"/>
    </xf>
    <xf numFmtId="0" fontId="1" fillId="3" borderId="0" xfId="1" applyFill="1" applyAlignment="1">
      <alignment horizontal="center" vertical="center"/>
    </xf>
    <xf numFmtId="0" fontId="1" fillId="0" borderId="0" xfId="1" applyAlignment="1">
      <alignment horizontal="center" vertical="center" wrapText="1"/>
    </xf>
    <xf numFmtId="0" fontId="1" fillId="0" borderId="0" xfId="1" applyAlignment="1">
      <alignment horizontal="left" vertical="center" wrapText="1"/>
    </xf>
    <xf numFmtId="0" fontId="3" fillId="27" borderId="0" xfId="0" applyFont="1" applyFill="1" applyAlignment="1">
      <alignment horizontal="left" vertical="center"/>
    </xf>
    <xf numFmtId="0" fontId="3" fillId="27" borderId="0" xfId="0" applyFont="1" applyFill="1" applyAlignment="1">
      <alignment horizontal="center" vertical="center"/>
    </xf>
    <xf numFmtId="0" fontId="3" fillId="27" borderId="0" xfId="0" applyFont="1" applyFill="1" applyAlignment="1">
      <alignment vertical="center"/>
    </xf>
    <xf numFmtId="0" fontId="3" fillId="27" borderId="0" xfId="0" applyFont="1" applyFill="1" applyAlignment="1">
      <alignment vertical="center" wrapText="1"/>
    </xf>
    <xf numFmtId="0" fontId="45" fillId="0" borderId="0" xfId="0" applyFont="1" applyAlignment="1">
      <alignment horizontal="center" vertical="center"/>
    </xf>
    <xf numFmtId="0" fontId="45" fillId="0" borderId="0" xfId="0" applyFont="1" applyAlignment="1">
      <alignment horizontal="center" vertical="center" wrapText="1"/>
    </xf>
    <xf numFmtId="2" fontId="45" fillId="0" borderId="0" xfId="0" applyNumberFormat="1" applyFont="1" applyAlignment="1">
      <alignment horizontal="center" vertical="center"/>
    </xf>
    <xf numFmtId="0" fontId="45" fillId="2" borderId="0" xfId="0" applyFont="1" applyFill="1" applyAlignment="1">
      <alignment horizontal="center" vertical="center"/>
    </xf>
    <xf numFmtId="2" fontId="46" fillId="0" borderId="0" xfId="0" applyNumberFormat="1" applyFont="1" applyAlignment="1">
      <alignment horizontal="center" vertical="center"/>
    </xf>
    <xf numFmtId="0" fontId="45" fillId="2" borderId="0" xfId="0" applyFont="1" applyFill="1" applyAlignment="1">
      <alignment horizontal="center" vertical="center" wrapText="1"/>
    </xf>
    <xf numFmtId="164" fontId="45" fillId="0" borderId="0" xfId="0" applyNumberFormat="1" applyFont="1" applyAlignment="1">
      <alignment horizontal="center" vertical="center"/>
    </xf>
    <xf numFmtId="0" fontId="45" fillId="0" borderId="0" xfId="0" applyFont="1" applyAlignment="1">
      <alignment vertical="center"/>
    </xf>
    <xf numFmtId="0" fontId="45" fillId="0" borderId="0" xfId="0" applyFont="1" applyAlignment="1">
      <alignment horizontal="left" vertical="center"/>
    </xf>
    <xf numFmtId="0" fontId="45" fillId="0" borderId="0" xfId="0" applyFont="1" applyAlignment="1">
      <alignment vertical="center" wrapText="1"/>
    </xf>
    <xf numFmtId="0" fontId="35" fillId="0" borderId="0" xfId="0" applyFont="1" applyAlignment="1">
      <alignment vertical="center"/>
    </xf>
    <xf numFmtId="0" fontId="44" fillId="2" borderId="0" xfId="0" applyFont="1" applyFill="1" applyAlignment="1">
      <alignment horizontal="center" vertical="center" wrapText="1"/>
    </xf>
    <xf numFmtId="0" fontId="4" fillId="2" borderId="18" xfId="0" applyFont="1" applyFill="1" applyBorder="1" applyAlignment="1">
      <alignment horizontal="center" vertical="center" wrapText="1"/>
    </xf>
    <xf numFmtId="0" fontId="28"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left" vertical="center" wrapText="1"/>
    </xf>
    <xf numFmtId="0" fontId="52" fillId="0" borderId="0" xfId="1" applyFont="1" applyAlignment="1">
      <alignment horizontal="center" vertical="center" wrapText="1"/>
    </xf>
    <xf numFmtId="0" fontId="50" fillId="0" borderId="0" xfId="1" applyFont="1" applyAlignment="1">
      <alignment horizontal="center" vertical="center"/>
    </xf>
    <xf numFmtId="0" fontId="0" fillId="0" borderId="0" xfId="0" applyAlignment="1">
      <alignment horizontal="center" vertical="center"/>
    </xf>
    <xf numFmtId="0" fontId="51" fillId="2" borderId="0" xfId="0" applyFont="1" applyFill="1"/>
    <xf numFmtId="0" fontId="51" fillId="2" borderId="0" xfId="0" applyFont="1" applyFill="1" applyAlignment="1">
      <alignment wrapText="1"/>
    </xf>
    <xf numFmtId="0" fontId="51" fillId="0" borderId="0" xfId="0" applyFont="1"/>
    <xf numFmtId="164" fontId="51" fillId="0" borderId="0" xfId="0" applyNumberFormat="1" applyFont="1"/>
    <xf numFmtId="0" fontId="51" fillId="0" borderId="0" xfId="0" applyFont="1" applyAlignment="1">
      <alignment wrapText="1"/>
    </xf>
    <xf numFmtId="0" fontId="28" fillId="3" borderId="0" xfId="0" applyFont="1" applyFill="1" applyAlignment="1">
      <alignment horizontal="center" vertical="center"/>
    </xf>
    <xf numFmtId="0" fontId="28" fillId="43" borderId="0" xfId="0" applyFont="1" applyFill="1" applyAlignment="1">
      <alignment horizontal="center" vertical="center"/>
    </xf>
    <xf numFmtId="0" fontId="1" fillId="0" borderId="1" xfId="0" applyFont="1" applyBorder="1" applyAlignment="1">
      <alignment horizontal="center" vertical="center" wrapText="1"/>
    </xf>
    <xf numFmtId="0" fontId="4" fillId="43" borderId="0" xfId="0" applyFont="1" applyFill="1" applyAlignment="1">
      <alignment horizontal="center" vertical="center"/>
    </xf>
    <xf numFmtId="0" fontId="28" fillId="44" borderId="0" xfId="0" applyFont="1" applyFill="1" applyAlignment="1">
      <alignment horizontal="center" vertical="center"/>
    </xf>
    <xf numFmtId="0" fontId="4" fillId="43" borderId="0" xfId="0" applyFont="1" applyFill="1" applyAlignment="1">
      <alignment vertical="center"/>
    </xf>
    <xf numFmtId="0" fontId="63"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36" fillId="0" borderId="0" xfId="0" applyFont="1" applyAlignment="1">
      <alignment horizontal="center" vertical="center"/>
    </xf>
    <xf numFmtId="169" fontId="36" fillId="0" borderId="1" xfId="0" applyNumberFormat="1" applyFont="1" applyBorder="1" applyAlignment="1">
      <alignment horizontal="center" vertical="center" wrapText="1"/>
    </xf>
    <xf numFmtId="0" fontId="0" fillId="36" borderId="0" xfId="0" applyFill="1" applyAlignment="1">
      <alignment horizontal="center" vertical="center"/>
    </xf>
    <xf numFmtId="0" fontId="57" fillId="36" borderId="0" xfId="0" applyFont="1" applyFill="1" applyAlignment="1">
      <alignment horizontal="center" vertical="center"/>
    </xf>
    <xf numFmtId="0" fontId="50" fillId="0" borderId="0" xfId="0" applyFont="1" applyAlignment="1">
      <alignment horizontal="center" vertical="center"/>
    </xf>
    <xf numFmtId="0" fontId="38" fillId="0" borderId="0" xfId="0" applyFont="1" applyAlignment="1">
      <alignment horizontal="center" vertical="center"/>
    </xf>
    <xf numFmtId="0" fontId="36" fillId="0" borderId="1" xfId="0" applyFont="1" applyBorder="1" applyAlignment="1">
      <alignment horizontal="left" vertical="center" wrapText="1"/>
    </xf>
    <xf numFmtId="169" fontId="36" fillId="3" borderId="1" xfId="0" applyNumberFormat="1" applyFont="1" applyFill="1" applyBorder="1" applyAlignment="1">
      <alignment horizontal="center" vertical="center" wrapText="1"/>
    </xf>
    <xf numFmtId="0" fontId="0" fillId="0" borderId="1" xfId="0" applyBorder="1" applyAlignment="1">
      <alignment horizontal="center" vertical="center"/>
    </xf>
    <xf numFmtId="2" fontId="0" fillId="0" borderId="1" xfId="0" applyNumberFormat="1" applyBorder="1" applyAlignment="1">
      <alignment horizontal="center" vertical="center"/>
    </xf>
    <xf numFmtId="2" fontId="50" fillId="0" borderId="1" xfId="0" applyNumberFormat="1" applyFont="1" applyBorder="1" applyAlignment="1">
      <alignment horizontal="center" vertical="center"/>
    </xf>
    <xf numFmtId="0" fontId="4" fillId="2" borderId="11" xfId="0" applyFont="1" applyFill="1" applyBorder="1" applyAlignment="1">
      <alignment vertical="center"/>
    </xf>
    <xf numFmtId="0" fontId="4" fillId="2" borderId="18" xfId="0" applyFont="1" applyFill="1" applyBorder="1" applyAlignment="1">
      <alignment vertical="center"/>
    </xf>
    <xf numFmtId="0" fontId="4" fillId="0" borderId="18" xfId="0" applyFont="1" applyBorder="1" applyAlignment="1">
      <alignment vertical="center"/>
    </xf>
    <xf numFmtId="0" fontId="31" fillId="27" borderId="63" xfId="0" applyFont="1" applyFill="1" applyBorder="1" applyAlignment="1">
      <alignment vertical="center"/>
    </xf>
    <xf numFmtId="0" fontId="4" fillId="2" borderId="13" xfId="0" applyFont="1" applyFill="1" applyBorder="1" applyAlignment="1">
      <alignment vertical="center"/>
    </xf>
    <xf numFmtId="0" fontId="45" fillId="0" borderId="18" xfId="0" applyFont="1" applyBorder="1" applyAlignment="1">
      <alignment vertical="center" wrapText="1"/>
    </xf>
    <xf numFmtId="0" fontId="45" fillId="0" borderId="18" xfId="0" applyFont="1" applyBorder="1" applyAlignment="1">
      <alignment horizontal="center" vertical="center" wrapText="1"/>
    </xf>
    <xf numFmtId="0" fontId="45" fillId="0" borderId="18" xfId="0" applyFont="1" applyBorder="1" applyAlignment="1">
      <alignment horizontal="center" vertical="center"/>
    </xf>
    <xf numFmtId="2" fontId="46" fillId="0" borderId="18" xfId="0" applyNumberFormat="1" applyFont="1" applyBorder="1" applyAlignment="1">
      <alignment horizontal="center" vertical="center"/>
    </xf>
    <xf numFmtId="0" fontId="65" fillId="0" borderId="0" xfId="0" applyFont="1" applyAlignment="1">
      <alignment vertical="center"/>
    </xf>
    <xf numFmtId="0" fontId="66" fillId="38" borderId="31" xfId="0" applyFont="1" applyFill="1" applyBorder="1" applyAlignment="1">
      <alignment horizontal="center" vertical="center"/>
    </xf>
    <xf numFmtId="0" fontId="66" fillId="38" borderId="31" xfId="0" applyFont="1" applyFill="1" applyBorder="1" applyAlignment="1">
      <alignment horizontal="left" vertical="center"/>
    </xf>
    <xf numFmtId="0" fontId="66" fillId="37" borderId="33" xfId="0" applyFont="1" applyFill="1" applyBorder="1" applyAlignment="1">
      <alignment horizontal="center" vertical="center" wrapText="1"/>
    </xf>
    <xf numFmtId="0" fontId="66" fillId="0" borderId="0" xfId="0" applyFont="1" applyAlignment="1">
      <alignment vertical="center"/>
    </xf>
    <xf numFmtId="0" fontId="66" fillId="0" borderId="0" xfId="0" applyFont="1" applyAlignment="1">
      <alignment horizontal="center" vertical="center"/>
    </xf>
    <xf numFmtId="0" fontId="66" fillId="36" borderId="31" xfId="0" applyFont="1" applyFill="1" applyBorder="1" applyAlignment="1">
      <alignment horizontal="center" vertical="center"/>
    </xf>
    <xf numFmtId="0" fontId="66" fillId="33" borderId="31" xfId="0" applyFont="1" applyFill="1" applyBorder="1" applyAlignment="1">
      <alignment horizontal="center" vertical="center"/>
    </xf>
    <xf numFmtId="0" fontId="65" fillId="0" borderId="26" xfId="0" applyFont="1" applyBorder="1" applyAlignment="1">
      <alignment vertical="center"/>
    </xf>
    <xf numFmtId="0" fontId="65" fillId="0" borderId="0" xfId="0" applyFont="1" applyAlignment="1">
      <alignment horizontal="left" vertical="center"/>
    </xf>
    <xf numFmtId="0" fontId="65" fillId="0" borderId="0" xfId="0" applyFont="1" applyAlignment="1">
      <alignment horizontal="center" vertical="center"/>
    </xf>
    <xf numFmtId="0" fontId="66" fillId="0" borderId="33" xfId="0" applyFont="1" applyBorder="1" applyAlignment="1">
      <alignment horizontal="center" vertical="center"/>
    </xf>
    <xf numFmtId="0" fontId="65" fillId="0" borderId="33" xfId="0" applyFont="1" applyBorder="1" applyAlignment="1">
      <alignment horizontal="center" vertical="center"/>
    </xf>
    <xf numFmtId="0" fontId="65" fillId="0" borderId="23" xfId="0" applyFont="1" applyBorder="1" applyAlignment="1">
      <alignment vertical="center"/>
    </xf>
    <xf numFmtId="0" fontId="65" fillId="0" borderId="23" xfId="0" applyFont="1" applyBorder="1" applyAlignment="1">
      <alignment horizontal="center" vertical="center"/>
    </xf>
    <xf numFmtId="0" fontId="65" fillId="0" borderId="24" xfId="0" applyFont="1" applyBorder="1" applyAlignment="1">
      <alignment horizontal="center" vertical="center"/>
    </xf>
    <xf numFmtId="0" fontId="0" fillId="0" borderId="0" xfId="0" applyAlignment="1">
      <alignment horizontal="center"/>
    </xf>
    <xf numFmtId="0" fontId="63" fillId="45" borderId="0" xfId="0" applyFont="1" applyFill="1" applyAlignment="1">
      <alignment horizontal="center" vertical="center"/>
    </xf>
    <xf numFmtId="0" fontId="59" fillId="0" borderId="1" xfId="0" applyFont="1" applyBorder="1" applyAlignment="1">
      <alignment horizontal="left" vertical="center" wrapText="1"/>
    </xf>
    <xf numFmtId="0" fontId="54" fillId="43" borderId="0" xfId="0" applyFont="1" applyFill="1" applyAlignment="1">
      <alignment horizontal="center" vertical="center"/>
    </xf>
    <xf numFmtId="0" fontId="1" fillId="0" borderId="34" xfId="0" applyFont="1" applyBorder="1" applyAlignment="1">
      <alignment horizontal="left" vertical="center" wrapText="1"/>
    </xf>
    <xf numFmtId="0" fontId="51" fillId="2" borderId="67" xfId="0" applyFont="1" applyFill="1" applyBorder="1"/>
    <xf numFmtId="0" fontId="51" fillId="2" borderId="68" xfId="0" applyFont="1" applyFill="1" applyBorder="1"/>
    <xf numFmtId="0" fontId="51" fillId="2" borderId="67" xfId="0" applyFont="1" applyFill="1" applyBorder="1" applyAlignment="1">
      <alignment horizontal="right" vertical="top"/>
    </xf>
    <xf numFmtId="0" fontId="51" fillId="2" borderId="0" xfId="0" applyFont="1" applyFill="1" applyAlignment="1">
      <alignment horizontal="left" vertical="top" wrapText="1"/>
    </xf>
    <xf numFmtId="0" fontId="51" fillId="2" borderId="69" xfId="0" applyFont="1" applyFill="1" applyBorder="1" applyAlignment="1">
      <alignment horizontal="right" vertical="top"/>
    </xf>
    <xf numFmtId="0" fontId="51" fillId="2" borderId="70" xfId="0" applyFont="1" applyFill="1" applyBorder="1" applyAlignment="1">
      <alignment vertical="center" wrapText="1"/>
    </xf>
    <xf numFmtId="0" fontId="51" fillId="2" borderId="71" xfId="0" applyFont="1" applyFill="1" applyBorder="1"/>
    <xf numFmtId="0" fontId="67" fillId="0" borderId="0" xfId="0" applyFont="1" applyAlignment="1">
      <alignment wrapText="1"/>
    </xf>
    <xf numFmtId="0" fontId="3" fillId="27" borderId="75" xfId="0" applyFont="1" applyFill="1" applyBorder="1" applyAlignment="1">
      <alignment horizontal="center" vertical="center" wrapText="1"/>
    </xf>
    <xf numFmtId="0" fontId="3" fillId="27" borderId="77" xfId="0" applyFont="1" applyFill="1" applyBorder="1" applyAlignment="1">
      <alignment horizontal="center" vertical="center" wrapText="1"/>
    </xf>
    <xf numFmtId="0" fontId="4" fillId="28" borderId="77" xfId="0" applyFont="1" applyFill="1" applyBorder="1" applyAlignment="1">
      <alignment horizontal="center" vertical="center" wrapText="1"/>
    </xf>
    <xf numFmtId="0" fontId="4" fillId="31" borderId="77" xfId="0" applyFont="1" applyFill="1" applyBorder="1" applyAlignment="1">
      <alignment horizontal="center" vertical="center"/>
    </xf>
    <xf numFmtId="0" fontId="42" fillId="31" borderId="77" xfId="0" applyFont="1" applyFill="1" applyBorder="1" applyAlignment="1">
      <alignment horizontal="center" vertical="center"/>
    </xf>
    <xf numFmtId="0" fontId="35" fillId="3" borderId="77" xfId="0" applyFont="1" applyFill="1" applyBorder="1" applyAlignment="1">
      <alignment horizontal="center" vertical="center"/>
    </xf>
    <xf numFmtId="0" fontId="44" fillId="29" borderId="77" xfId="0" applyFont="1" applyFill="1" applyBorder="1" applyAlignment="1">
      <alignment horizontal="center" vertical="center" wrapText="1"/>
    </xf>
    <xf numFmtId="0" fontId="42" fillId="0" borderId="77" xfId="0" applyFont="1" applyBorder="1" applyAlignment="1">
      <alignment horizontal="center" vertical="center" wrapText="1"/>
    </xf>
    <xf numFmtId="0" fontId="3" fillId="27" borderId="79" xfId="0" applyFont="1" applyFill="1" applyBorder="1" applyAlignment="1">
      <alignment horizontal="center" vertical="center" wrapText="1"/>
    </xf>
    <xf numFmtId="0" fontId="36" fillId="30" borderId="78" xfId="0" applyFont="1" applyFill="1" applyBorder="1" applyAlignment="1">
      <alignment horizontal="center" vertical="center" wrapText="1"/>
    </xf>
    <xf numFmtId="0" fontId="36" fillId="30" borderId="78" xfId="0" applyFont="1" applyFill="1" applyBorder="1" applyAlignment="1">
      <alignment horizontal="center" vertical="center"/>
    </xf>
    <xf numFmtId="0" fontId="36" fillId="48" borderId="78" xfId="0" applyFont="1" applyFill="1" applyBorder="1" applyAlignment="1">
      <alignment horizontal="center" vertical="center" wrapText="1"/>
    </xf>
    <xf numFmtId="0" fontId="57" fillId="30" borderId="78" xfId="0" applyFont="1" applyFill="1" applyBorder="1" applyAlignment="1">
      <alignment horizontal="center" vertical="center" wrapText="1"/>
    </xf>
    <xf numFmtId="0" fontId="57" fillId="48" borderId="78" xfId="0" applyFont="1" applyFill="1" applyBorder="1" applyAlignment="1">
      <alignment horizontal="center" vertical="center" wrapText="1"/>
    </xf>
    <xf numFmtId="0" fontId="36" fillId="31" borderId="78" xfId="0" applyFont="1" applyFill="1" applyBorder="1" applyAlignment="1">
      <alignment horizontal="center" vertical="center" wrapText="1"/>
    </xf>
    <xf numFmtId="0" fontId="36" fillId="32" borderId="78" xfId="0" applyFont="1" applyFill="1" applyBorder="1" applyAlignment="1">
      <alignment horizontal="center" vertical="center"/>
    </xf>
    <xf numFmtId="0" fontId="36" fillId="32" borderId="78" xfId="0" applyFont="1" applyFill="1" applyBorder="1" applyAlignment="1">
      <alignment horizontal="center" vertical="center" wrapText="1"/>
    </xf>
    <xf numFmtId="0" fontId="1" fillId="0" borderId="78" xfId="0" applyFont="1" applyBorder="1" applyAlignment="1">
      <alignment horizontal="left" vertical="center" wrapText="1"/>
    </xf>
    <xf numFmtId="0" fontId="1" fillId="0" borderId="78" xfId="0" applyFont="1" applyBorder="1" applyAlignment="1">
      <alignment horizontal="center" vertical="center" wrapText="1"/>
    </xf>
    <xf numFmtId="0" fontId="0" fillId="0" borderId="78" xfId="0" applyBorder="1" applyAlignment="1">
      <alignment horizontal="center" vertical="center"/>
    </xf>
    <xf numFmtId="0" fontId="1" fillId="0" borderId="78" xfId="0" applyFont="1" applyBorder="1" applyAlignment="1">
      <alignment horizontal="center" vertical="center"/>
    </xf>
    <xf numFmtId="0" fontId="0" fillId="0" borderId="78" xfId="0" applyBorder="1" applyAlignment="1">
      <alignment horizontal="left" vertical="center"/>
    </xf>
    <xf numFmtId="0" fontId="36" fillId="0" borderId="78" xfId="0" applyFont="1" applyBorder="1" applyAlignment="1">
      <alignment horizontal="left" vertical="center" wrapText="1"/>
    </xf>
    <xf numFmtId="169" fontId="36" fillId="0" borderId="79" xfId="0" applyNumberFormat="1" applyFont="1" applyBorder="1" applyAlignment="1">
      <alignment horizontal="center" vertical="center" wrapText="1"/>
    </xf>
    <xf numFmtId="2" fontId="1" fillId="0" borderId="78" xfId="0" applyNumberFormat="1" applyFont="1" applyBorder="1" applyAlignment="1">
      <alignment horizontal="center" vertical="center"/>
    </xf>
    <xf numFmtId="0" fontId="36" fillId="47" borderId="78" xfId="0" applyFont="1" applyFill="1" applyBorder="1" applyAlignment="1">
      <alignment vertical="center" wrapText="1"/>
    </xf>
    <xf numFmtId="1" fontId="36" fillId="47" borderId="78" xfId="0" applyNumberFormat="1" applyFont="1" applyFill="1" applyBorder="1" applyAlignment="1">
      <alignment horizontal="center" vertical="center"/>
    </xf>
    <xf numFmtId="0" fontId="0" fillId="0" borderId="78" xfId="0" applyBorder="1" applyAlignment="1">
      <alignment horizontal="center" vertical="center" wrapText="1"/>
    </xf>
    <xf numFmtId="1" fontId="36" fillId="0" borderId="78" xfId="0" applyNumberFormat="1" applyFont="1" applyBorder="1" applyAlignment="1">
      <alignment horizontal="center" vertical="center"/>
    </xf>
    <xf numFmtId="0" fontId="38" fillId="0" borderId="78" xfId="0" applyFont="1" applyBorder="1" applyAlignment="1">
      <alignment horizontal="center" vertical="center" wrapText="1"/>
    </xf>
    <xf numFmtId="0" fontId="38" fillId="0" borderId="78" xfId="0" applyFont="1" applyBorder="1" applyAlignment="1">
      <alignment horizontal="center" vertical="center"/>
    </xf>
    <xf numFmtId="0" fontId="0" fillId="0" borderId="79" xfId="0" applyBorder="1" applyAlignment="1">
      <alignment horizontal="center" vertical="center" wrapText="1"/>
    </xf>
    <xf numFmtId="0" fontId="36" fillId="0" borderId="78" xfId="0" applyFont="1" applyBorder="1" applyAlignment="1">
      <alignment horizontal="center" vertical="center" wrapText="1"/>
    </xf>
    <xf numFmtId="2" fontId="36" fillId="0" borderId="78" xfId="0" applyNumberFormat="1" applyFont="1" applyBorder="1" applyAlignment="1">
      <alignment horizontal="center" vertical="center"/>
    </xf>
    <xf numFmtId="1" fontId="36" fillId="48" borderId="78" xfId="0" applyNumberFormat="1" applyFont="1" applyFill="1" applyBorder="1" applyAlignment="1">
      <alignment horizontal="center" vertical="center"/>
    </xf>
    <xf numFmtId="1" fontId="57" fillId="3" borderId="78" xfId="0" applyNumberFormat="1" applyFont="1" applyFill="1" applyBorder="1" applyAlignment="1">
      <alignment horizontal="center" vertical="center"/>
    </xf>
    <xf numFmtId="0" fontId="36" fillId="48" borderId="78" xfId="0" applyFont="1" applyFill="1" applyBorder="1" applyAlignment="1">
      <alignment horizontal="center" vertical="center"/>
    </xf>
    <xf numFmtId="169" fontId="36" fillId="48" borderId="78" xfId="0" applyNumberFormat="1" applyFont="1" applyFill="1" applyBorder="1" applyAlignment="1">
      <alignment horizontal="center" vertical="center" wrapText="1"/>
    </xf>
    <xf numFmtId="1" fontId="36" fillId="3" borderId="78" xfId="0" applyNumberFormat="1" applyFont="1" applyFill="1" applyBorder="1" applyAlignment="1">
      <alignment horizontal="center" vertical="center"/>
    </xf>
    <xf numFmtId="0" fontId="0" fillId="3" borderId="78" xfId="0" applyFill="1" applyBorder="1" applyAlignment="1">
      <alignment horizontal="center" vertical="center"/>
    </xf>
    <xf numFmtId="0" fontId="41" fillId="0" borderId="78" xfId="0" applyFont="1" applyBorder="1" applyAlignment="1">
      <alignment horizontal="center" vertical="center" wrapText="1"/>
    </xf>
    <xf numFmtId="0" fontId="41" fillId="0" borderId="78" xfId="0" applyFont="1" applyBorder="1" applyAlignment="1">
      <alignment horizontal="center" vertical="center"/>
    </xf>
    <xf numFmtId="0" fontId="60" fillId="0" borderId="78" xfId="0" applyFont="1" applyBorder="1" applyAlignment="1">
      <alignment horizontal="center" vertical="center"/>
    </xf>
    <xf numFmtId="1" fontId="36" fillId="36" borderId="78" xfId="0" applyNumberFormat="1" applyFont="1" applyFill="1" applyBorder="1" applyAlignment="1">
      <alignment horizontal="center" vertical="center"/>
    </xf>
    <xf numFmtId="1" fontId="60" fillId="3" borderId="78" xfId="0" applyNumberFormat="1" applyFont="1" applyFill="1" applyBorder="1" applyAlignment="1">
      <alignment horizontal="center" vertical="center"/>
    </xf>
    <xf numFmtId="1" fontId="57" fillId="36" borderId="78" xfId="0" applyNumberFormat="1" applyFont="1" applyFill="1" applyBorder="1" applyAlignment="1">
      <alignment horizontal="center" vertical="center"/>
    </xf>
    <xf numFmtId="0" fontId="57" fillId="36" borderId="78" xfId="0" applyFont="1" applyFill="1" applyBorder="1" applyAlignment="1">
      <alignment horizontal="center" vertical="center"/>
    </xf>
    <xf numFmtId="0" fontId="0" fillId="36" borderId="78" xfId="0" applyFill="1" applyBorder="1" applyAlignment="1">
      <alignment horizontal="center" vertical="center"/>
    </xf>
    <xf numFmtId="0" fontId="38" fillId="36" borderId="78" xfId="0" applyFont="1" applyFill="1" applyBorder="1" applyAlignment="1">
      <alignment horizontal="center" vertical="center"/>
    </xf>
    <xf numFmtId="169" fontId="36" fillId="36" borderId="78" xfId="0" applyNumberFormat="1" applyFont="1" applyFill="1" applyBorder="1" applyAlignment="1">
      <alignment horizontal="center" vertical="center" wrapText="1"/>
    </xf>
    <xf numFmtId="169" fontId="36" fillId="31" borderId="78" xfId="0" applyNumberFormat="1" applyFont="1" applyFill="1" applyBorder="1" applyAlignment="1">
      <alignment horizontal="center" vertical="center" wrapText="1"/>
    </xf>
    <xf numFmtId="2" fontId="0" fillId="0" borderId="78" xfId="0" applyNumberFormat="1" applyBorder="1" applyAlignment="1">
      <alignment horizontal="center" vertical="center"/>
    </xf>
    <xf numFmtId="2" fontId="38" fillId="0" borderId="78" xfId="0" applyNumberFormat="1" applyFont="1" applyBorder="1" applyAlignment="1">
      <alignment horizontal="center" vertical="center"/>
    </xf>
    <xf numFmtId="2" fontId="0" fillId="31" borderId="78" xfId="0" applyNumberFormat="1" applyFill="1" applyBorder="1" applyAlignment="1">
      <alignment horizontal="center" vertical="center"/>
    </xf>
    <xf numFmtId="1" fontId="36" fillId="31" borderId="78" xfId="0" applyNumberFormat="1" applyFont="1" applyFill="1" applyBorder="1" applyAlignment="1">
      <alignment horizontal="center" vertical="center"/>
    </xf>
    <xf numFmtId="1" fontId="57" fillId="31" borderId="78" xfId="0" applyNumberFormat="1" applyFont="1" applyFill="1" applyBorder="1" applyAlignment="1">
      <alignment horizontal="center" vertical="center"/>
    </xf>
    <xf numFmtId="2" fontId="41" fillId="31" borderId="78" xfId="0" applyNumberFormat="1" applyFont="1" applyFill="1" applyBorder="1" applyAlignment="1">
      <alignment horizontal="center" vertical="center"/>
    </xf>
    <xf numFmtId="0" fontId="41" fillId="31" borderId="78" xfId="0" applyFont="1" applyFill="1" applyBorder="1" applyAlignment="1">
      <alignment horizontal="center" vertical="center"/>
    </xf>
    <xf numFmtId="0" fontId="0" fillId="31" borderId="78" xfId="0" applyFill="1" applyBorder="1" applyAlignment="1">
      <alignment horizontal="center" vertical="center"/>
    </xf>
    <xf numFmtId="0" fontId="0" fillId="32" borderId="78" xfId="0" applyFill="1" applyBorder="1" applyAlignment="1">
      <alignment horizontal="center" vertical="center"/>
    </xf>
    <xf numFmtId="0" fontId="1" fillId="32" borderId="78" xfId="0" applyFont="1" applyFill="1" applyBorder="1" applyAlignment="1">
      <alignment horizontal="center" vertical="center"/>
    </xf>
    <xf numFmtId="169" fontId="36" fillId="3" borderId="78" xfId="0" applyNumberFormat="1" applyFont="1" applyFill="1" applyBorder="1" applyAlignment="1">
      <alignment horizontal="center" vertical="center" wrapText="1"/>
    </xf>
    <xf numFmtId="0" fontId="4" fillId="34" borderId="76" xfId="0" applyFont="1" applyFill="1" applyBorder="1" applyAlignment="1">
      <alignment horizontal="center" vertical="center"/>
    </xf>
    <xf numFmtId="0" fontId="68" fillId="31" borderId="77" xfId="0" applyFont="1" applyFill="1" applyBorder="1" applyAlignment="1">
      <alignment horizontal="center" vertical="center"/>
    </xf>
    <xf numFmtId="2" fontId="68" fillId="31" borderId="77" xfId="0" applyNumberFormat="1" applyFont="1" applyFill="1" applyBorder="1" applyAlignment="1">
      <alignment horizontal="center" vertical="center"/>
    </xf>
    <xf numFmtId="0" fontId="35" fillId="3" borderId="76" xfId="0" applyFont="1" applyFill="1" applyBorder="1" applyAlignment="1">
      <alignment horizontal="center" vertical="center"/>
    </xf>
    <xf numFmtId="0" fontId="39" fillId="31" borderId="83" xfId="0" applyFont="1" applyFill="1" applyBorder="1" applyAlignment="1">
      <alignment horizontal="center" vertical="center"/>
    </xf>
    <xf numFmtId="0" fontId="42" fillId="31" borderId="84" xfId="0" applyFont="1" applyFill="1" applyBorder="1" applyAlignment="1">
      <alignment horizontal="center" vertical="center"/>
    </xf>
    <xf numFmtId="2" fontId="42" fillId="31" borderId="84" xfId="0" applyNumberFormat="1" applyFont="1" applyFill="1" applyBorder="1" applyAlignment="1">
      <alignment horizontal="center" vertical="center"/>
    </xf>
    <xf numFmtId="0" fontId="42" fillId="0" borderId="76" xfId="0" applyFont="1" applyBorder="1" applyAlignment="1">
      <alignment horizontal="center" vertical="center"/>
    </xf>
    <xf numFmtId="0" fontId="39" fillId="31" borderId="85" xfId="0" applyFont="1" applyFill="1" applyBorder="1" applyAlignment="1">
      <alignment horizontal="center" vertical="center"/>
    </xf>
    <xf numFmtId="0" fontId="42" fillId="31" borderId="86" xfId="0" applyFont="1" applyFill="1" applyBorder="1" applyAlignment="1">
      <alignment horizontal="center" vertical="center"/>
    </xf>
    <xf numFmtId="0" fontId="44" fillId="29" borderId="86" xfId="0" applyFont="1" applyFill="1" applyBorder="1" applyAlignment="1">
      <alignment horizontal="center" vertical="center" wrapText="1"/>
    </xf>
    <xf numFmtId="0" fontId="42" fillId="0" borderId="86" xfId="0" applyFont="1" applyBorder="1" applyAlignment="1">
      <alignment horizontal="center" vertical="center" wrapText="1"/>
    </xf>
    <xf numFmtId="0" fontId="42" fillId="0" borderId="87" xfId="0" applyFont="1" applyBorder="1" applyAlignment="1">
      <alignment horizontal="center" vertical="center"/>
    </xf>
    <xf numFmtId="0" fontId="4" fillId="28" borderId="86" xfId="0" applyFont="1" applyFill="1" applyBorder="1" applyAlignment="1">
      <alignment horizontal="center" vertical="center" wrapText="1"/>
    </xf>
    <xf numFmtId="0" fontId="4" fillId="34" borderId="87" xfId="0" applyFont="1" applyFill="1" applyBorder="1" applyAlignment="1">
      <alignment horizontal="center" vertical="center"/>
    </xf>
    <xf numFmtId="0" fontId="39" fillId="31" borderId="88" xfId="0" applyFont="1" applyFill="1" applyBorder="1" applyAlignment="1">
      <alignment horizontal="center" vertical="center" wrapText="1"/>
    </xf>
    <xf numFmtId="0" fontId="68" fillId="31" borderId="89" xfId="0" applyFont="1" applyFill="1" applyBorder="1" applyAlignment="1">
      <alignment horizontal="center" vertical="center"/>
    </xf>
    <xf numFmtId="0" fontId="42" fillId="31" borderId="89" xfId="0" applyFont="1" applyFill="1" applyBorder="1" applyAlignment="1">
      <alignment horizontal="center" vertical="center"/>
    </xf>
    <xf numFmtId="0" fontId="44" fillId="29" borderId="89" xfId="0" applyFont="1" applyFill="1" applyBorder="1" applyAlignment="1">
      <alignment horizontal="center" vertical="center" wrapText="1"/>
    </xf>
    <xf numFmtId="0" fontId="42" fillId="0" borderId="89" xfId="0" applyFont="1" applyBorder="1" applyAlignment="1">
      <alignment horizontal="center" vertical="center" wrapText="1"/>
    </xf>
    <xf numFmtId="0" fontId="42" fillId="0" borderId="90" xfId="0" applyFont="1" applyBorder="1" applyAlignment="1">
      <alignment horizontal="center" vertical="center"/>
    </xf>
    <xf numFmtId="0" fontId="3" fillId="31" borderId="89" xfId="0" applyFont="1" applyFill="1" applyBorder="1" applyAlignment="1">
      <alignment horizontal="center" vertical="center"/>
    </xf>
    <xf numFmtId="0" fontId="4" fillId="28" borderId="89" xfId="0" applyFont="1" applyFill="1" applyBorder="1" applyAlignment="1">
      <alignment horizontal="center" vertical="center" wrapText="1"/>
    </xf>
    <xf numFmtId="0" fontId="4" fillId="34" borderId="90" xfId="0" applyFont="1" applyFill="1" applyBorder="1" applyAlignment="1">
      <alignment horizontal="center" vertical="center"/>
    </xf>
    <xf numFmtId="0" fontId="4" fillId="0" borderId="89" xfId="0" applyFont="1" applyBorder="1" applyAlignment="1">
      <alignment horizontal="center" vertical="center" wrapText="1"/>
    </xf>
    <xf numFmtId="0" fontId="4" fillId="0" borderId="90" xfId="0" applyFont="1" applyBorder="1" applyAlignment="1">
      <alignment horizontal="center" vertical="center" wrapText="1"/>
    </xf>
    <xf numFmtId="0" fontId="3" fillId="27" borderId="89" xfId="0" applyFont="1" applyFill="1" applyBorder="1" applyAlignment="1">
      <alignment horizontal="center" vertical="center" wrapText="1"/>
    </xf>
    <xf numFmtId="0" fontId="4" fillId="29" borderId="89" xfId="0" applyFont="1" applyFill="1" applyBorder="1" applyAlignment="1">
      <alignment horizontal="center" vertical="center" wrapText="1"/>
    </xf>
    <xf numFmtId="0" fontId="4" fillId="29" borderId="90" xfId="0" applyFont="1" applyFill="1" applyBorder="1" applyAlignment="1">
      <alignment horizontal="center" vertical="center" wrapText="1"/>
    </xf>
    <xf numFmtId="2" fontId="42" fillId="0" borderId="89" xfId="0" applyNumberFormat="1" applyFont="1" applyBorder="1" applyAlignment="1">
      <alignment horizontal="center" vertical="center" wrapText="1"/>
    </xf>
    <xf numFmtId="0" fontId="4" fillId="28" borderId="90" xfId="0" applyFont="1" applyFill="1" applyBorder="1" applyAlignment="1">
      <alignment horizontal="center" vertical="center" wrapText="1"/>
    </xf>
    <xf numFmtId="2" fontId="42" fillId="0" borderId="90" xfId="0" applyNumberFormat="1" applyFont="1" applyBorder="1" applyAlignment="1">
      <alignment horizontal="center" vertical="center"/>
    </xf>
    <xf numFmtId="0" fontId="3" fillId="27" borderId="92" xfId="0" applyFont="1" applyFill="1" applyBorder="1" applyAlignment="1">
      <alignment horizontal="left" vertical="center"/>
    </xf>
    <xf numFmtId="0" fontId="3" fillId="27" borderId="93" xfId="0" applyFont="1" applyFill="1" applyBorder="1" applyAlignment="1">
      <alignment horizontal="center" vertical="center"/>
    </xf>
    <xf numFmtId="0" fontId="4" fillId="0" borderId="94" xfId="0" applyFont="1" applyBorder="1" applyAlignment="1">
      <alignment horizontal="center" vertical="center"/>
    </xf>
    <xf numFmtId="0" fontId="4" fillId="2" borderId="94" xfId="0" applyFont="1" applyFill="1" applyBorder="1" applyAlignment="1">
      <alignment horizontal="center" vertical="center"/>
    </xf>
    <xf numFmtId="0" fontId="44" fillId="28" borderId="89" xfId="0" applyFont="1" applyFill="1" applyBorder="1" applyAlignment="1">
      <alignment horizontal="center" vertical="center" wrapText="1"/>
    </xf>
    <xf numFmtId="0" fontId="4" fillId="27" borderId="93" xfId="0" applyFont="1" applyFill="1" applyBorder="1" applyAlignment="1">
      <alignment vertical="center"/>
    </xf>
    <xf numFmtId="0" fontId="3" fillId="0" borderId="94" xfId="0" applyFont="1" applyBorder="1" applyAlignment="1">
      <alignment horizontal="center" vertical="center"/>
    </xf>
    <xf numFmtId="0" fontId="44" fillId="29" borderId="90" xfId="0" applyFont="1" applyFill="1" applyBorder="1" applyAlignment="1">
      <alignment horizontal="center" vertical="center" wrapText="1"/>
    </xf>
    <xf numFmtId="0" fontId="44" fillId="28" borderId="90" xfId="0" applyFont="1" applyFill="1" applyBorder="1" applyAlignment="1">
      <alignment horizontal="center" vertical="center" wrapText="1"/>
    </xf>
    <xf numFmtId="0" fontId="3" fillId="27" borderId="98" xfId="0" applyFont="1" applyFill="1" applyBorder="1" applyAlignment="1">
      <alignment vertical="center"/>
    </xf>
    <xf numFmtId="0" fontId="3" fillId="27" borderId="99" xfId="0" applyFont="1" applyFill="1" applyBorder="1" applyAlignment="1">
      <alignment vertical="center"/>
    </xf>
    <xf numFmtId="0" fontId="3" fillId="27" borderId="99" xfId="0" applyFont="1" applyFill="1" applyBorder="1" applyAlignment="1">
      <alignment vertical="center" wrapText="1"/>
    </xf>
    <xf numFmtId="0" fontId="3" fillId="27" borderId="97" xfId="0" applyFont="1" applyFill="1" applyBorder="1" applyAlignment="1">
      <alignment vertical="center"/>
    </xf>
    <xf numFmtId="0" fontId="44" fillId="34" borderId="96" xfId="0" applyFont="1" applyFill="1" applyBorder="1" applyAlignment="1">
      <alignment horizontal="center" vertical="center"/>
    </xf>
    <xf numFmtId="0" fontId="42" fillId="0" borderId="96" xfId="0" applyFont="1" applyBorder="1" applyAlignment="1">
      <alignment horizontal="center" vertical="center"/>
    </xf>
    <xf numFmtId="0" fontId="43" fillId="30" borderId="96" xfId="0" applyFont="1" applyFill="1" applyBorder="1" applyAlignment="1">
      <alignment horizontal="center" vertical="center" wrapText="1"/>
    </xf>
    <xf numFmtId="0" fontId="36" fillId="30" borderId="96" xfId="0" applyFont="1" applyFill="1" applyBorder="1" applyAlignment="1">
      <alignment horizontal="center" vertical="center"/>
    </xf>
    <xf numFmtId="0" fontId="36" fillId="30" borderId="96" xfId="0" applyFont="1" applyFill="1" applyBorder="1" applyAlignment="1">
      <alignment horizontal="center" vertical="center" wrapText="1"/>
    </xf>
    <xf numFmtId="0" fontId="43" fillId="30" borderId="96" xfId="0" applyFont="1" applyFill="1" applyBorder="1" applyAlignment="1">
      <alignment horizontal="left" vertical="center" wrapText="1"/>
    </xf>
    <xf numFmtId="0" fontId="53" fillId="30" borderId="96" xfId="0" applyFont="1" applyFill="1" applyBorder="1" applyAlignment="1">
      <alignment horizontal="center" vertical="center" wrapText="1"/>
    </xf>
    <xf numFmtId="0" fontId="43" fillId="30" borderId="98" xfId="0" applyFont="1" applyFill="1" applyBorder="1" applyAlignment="1">
      <alignment horizontal="center" vertical="center" wrapText="1"/>
    </xf>
    <xf numFmtId="0" fontId="56" fillId="35" borderId="96" xfId="0" applyFont="1" applyFill="1" applyBorder="1" applyAlignment="1">
      <alignment horizontal="left" vertical="center" wrapText="1"/>
    </xf>
    <xf numFmtId="0" fontId="1" fillId="0" borderId="96" xfId="0" applyFont="1" applyBorder="1" applyAlignment="1">
      <alignment horizontal="center" vertical="center" wrapText="1"/>
    </xf>
    <xf numFmtId="0" fontId="1" fillId="3" borderId="96" xfId="0" applyFont="1" applyFill="1" applyBorder="1" applyAlignment="1">
      <alignment horizontal="left" vertical="center" wrapText="1"/>
    </xf>
    <xf numFmtId="0" fontId="1" fillId="0" borderId="96" xfId="1" applyBorder="1" applyAlignment="1">
      <alignment horizontal="left" vertical="center" wrapText="1"/>
    </xf>
    <xf numFmtId="0" fontId="1" fillId="0" borderId="96" xfId="1" applyBorder="1" applyAlignment="1">
      <alignment horizontal="center" vertical="center" wrapText="1"/>
    </xf>
    <xf numFmtId="1" fontId="1" fillId="0" borderId="96" xfId="0" applyNumberFormat="1" applyFont="1" applyBorder="1" applyAlignment="1">
      <alignment horizontal="center" vertical="center" wrapText="1"/>
    </xf>
    <xf numFmtId="2" fontId="1" fillId="0" borderId="96" xfId="1" applyNumberFormat="1" applyBorder="1" applyAlignment="1">
      <alignment horizontal="center" vertical="center"/>
    </xf>
    <xf numFmtId="0" fontId="1" fillId="0" borderId="96" xfId="0" applyFont="1" applyBorder="1" applyAlignment="1">
      <alignment horizontal="center" vertical="center"/>
    </xf>
    <xf numFmtId="0" fontId="1" fillId="0" borderId="96" xfId="1" applyBorder="1" applyAlignment="1">
      <alignment horizontal="center" vertical="center"/>
    </xf>
    <xf numFmtId="165" fontId="1" fillId="0" borderId="96" xfId="1" applyNumberFormat="1" applyBorder="1" applyAlignment="1">
      <alignment horizontal="center" vertical="center"/>
    </xf>
    <xf numFmtId="166" fontId="1" fillId="0" borderId="96" xfId="1" applyNumberFormat="1" applyBorder="1" applyAlignment="1">
      <alignment horizontal="center" vertical="center"/>
    </xf>
    <xf numFmtId="166" fontId="1" fillId="0" borderId="96" xfId="51" applyNumberFormat="1" applyFont="1" applyBorder="1" applyAlignment="1">
      <alignment horizontal="center" vertical="center"/>
    </xf>
    <xf numFmtId="164" fontId="1" fillId="0" borderId="96" xfId="1" applyNumberFormat="1" applyBorder="1" applyAlignment="1">
      <alignment horizontal="center" vertical="center"/>
    </xf>
    <xf numFmtId="1" fontId="1" fillId="0" borderId="96" xfId="0" applyNumberFormat="1" applyFont="1" applyBorder="1" applyAlignment="1">
      <alignment horizontal="center" vertical="center"/>
    </xf>
    <xf numFmtId="2" fontId="1" fillId="0" borderId="96" xfId="0" applyNumberFormat="1" applyFont="1" applyBorder="1" applyAlignment="1">
      <alignment horizontal="center" vertical="center"/>
    </xf>
    <xf numFmtId="164" fontId="1" fillId="0" borderId="96" xfId="0" applyNumberFormat="1" applyFont="1" applyBorder="1" applyAlignment="1">
      <alignment horizontal="center" vertical="center"/>
    </xf>
    <xf numFmtId="2" fontId="59" fillId="0" borderId="96" xfId="0" applyNumberFormat="1" applyFont="1" applyBorder="1" applyAlignment="1">
      <alignment horizontal="center" vertical="center"/>
    </xf>
    <xf numFmtId="1" fontId="59" fillId="0" borderId="96" xfId="0" applyNumberFormat="1" applyFont="1" applyBorder="1" applyAlignment="1">
      <alignment horizontal="center" vertical="center"/>
    </xf>
    <xf numFmtId="164" fontId="1" fillId="0" borderId="98" xfId="0" applyNumberFormat="1" applyFont="1" applyBorder="1" applyAlignment="1">
      <alignment horizontal="center" vertical="center"/>
    </xf>
    <xf numFmtId="0" fontId="1" fillId="0" borderId="98" xfId="0" applyFont="1" applyBorder="1" applyAlignment="1">
      <alignment horizontal="center" vertical="center"/>
    </xf>
    <xf numFmtId="0" fontId="59" fillId="0" borderId="96" xfId="0" applyFont="1" applyBorder="1" applyAlignment="1">
      <alignment horizontal="center" vertical="center" wrapText="1"/>
    </xf>
    <xf numFmtId="2" fontId="59" fillId="0" borderId="96" xfId="1" applyNumberFormat="1" applyFont="1" applyBorder="1" applyAlignment="1">
      <alignment horizontal="center" vertical="center"/>
    </xf>
    <xf numFmtId="0" fontId="59" fillId="0" borderId="96" xfId="0" applyFont="1" applyBorder="1" applyAlignment="1">
      <alignment horizontal="center" vertical="center"/>
    </xf>
    <xf numFmtId="0" fontId="59" fillId="0" borderId="96" xfId="1" applyFont="1" applyBorder="1" applyAlignment="1">
      <alignment horizontal="center" vertical="center"/>
    </xf>
    <xf numFmtId="165" fontId="59" fillId="0" borderId="96" xfId="1" applyNumberFormat="1" applyFont="1" applyBorder="1" applyAlignment="1">
      <alignment horizontal="center" vertical="center"/>
    </xf>
    <xf numFmtId="166" fontId="59" fillId="0" borderId="96" xfId="51" applyNumberFormat="1" applyFont="1" applyBorder="1" applyAlignment="1">
      <alignment horizontal="center" vertical="center"/>
    </xf>
    <xf numFmtId="164" fontId="59" fillId="0" borderId="96" xfId="0" applyNumberFormat="1" applyFont="1" applyBorder="1" applyAlignment="1">
      <alignment horizontal="center" vertical="center"/>
    </xf>
    <xf numFmtId="164" fontId="59" fillId="0" borderId="98" xfId="0" applyNumberFormat="1" applyFont="1" applyBorder="1" applyAlignment="1">
      <alignment horizontal="center" vertical="center"/>
    </xf>
    <xf numFmtId="0" fontId="59" fillId="0" borderId="98" xfId="0" applyFont="1" applyBorder="1" applyAlignment="1">
      <alignment horizontal="center" vertical="center"/>
    </xf>
    <xf numFmtId="2" fontId="1" fillId="0" borderId="96" xfId="0" applyNumberFormat="1" applyFont="1" applyBorder="1" applyAlignment="1">
      <alignment horizontal="center" vertical="center" wrapText="1"/>
    </xf>
    <xf numFmtId="0" fontId="1" fillId="0" borderId="96" xfId="0" applyFont="1" applyBorder="1" applyAlignment="1">
      <alignment horizontal="left" vertical="center" wrapText="1"/>
    </xf>
    <xf numFmtId="0" fontId="1" fillId="29" borderId="96" xfId="0" applyFont="1" applyFill="1" applyBorder="1" applyAlignment="1">
      <alignment horizontal="center" vertical="center" wrapText="1"/>
    </xf>
    <xf numFmtId="2" fontId="1" fillId="29" borderId="96" xfId="1" applyNumberFormat="1" applyFill="1" applyBorder="1" applyAlignment="1">
      <alignment horizontal="center" vertical="center"/>
    </xf>
    <xf numFmtId="0" fontId="1" fillId="29" borderId="96" xfId="0" applyFont="1" applyFill="1" applyBorder="1" applyAlignment="1">
      <alignment horizontal="center" vertical="center"/>
    </xf>
    <xf numFmtId="0" fontId="1" fillId="29" borderId="96" xfId="1" applyFill="1" applyBorder="1" applyAlignment="1">
      <alignment horizontal="center" vertical="center"/>
    </xf>
    <xf numFmtId="165" fontId="1" fillId="29" borderId="96" xfId="1" applyNumberFormat="1" applyFill="1" applyBorder="1" applyAlignment="1">
      <alignment horizontal="center" vertical="center"/>
    </xf>
    <xf numFmtId="166" fontId="1" fillId="29" borderId="96" xfId="1" applyNumberFormat="1" applyFill="1" applyBorder="1" applyAlignment="1">
      <alignment horizontal="center" vertical="center"/>
    </xf>
    <xf numFmtId="166" fontId="1" fillId="29" borderId="96" xfId="51" applyNumberFormat="1" applyFont="1" applyFill="1" applyBorder="1" applyAlignment="1">
      <alignment horizontal="center" vertical="center"/>
    </xf>
    <xf numFmtId="1" fontId="1" fillId="29" borderId="96" xfId="0" applyNumberFormat="1" applyFont="1" applyFill="1" applyBorder="1" applyAlignment="1">
      <alignment horizontal="center" vertical="center"/>
    </xf>
    <xf numFmtId="2" fontId="1" fillId="29" borderId="96" xfId="0" applyNumberFormat="1" applyFont="1" applyFill="1" applyBorder="1" applyAlignment="1">
      <alignment horizontal="center" vertical="center"/>
    </xf>
    <xf numFmtId="164" fontId="1" fillId="29" borderId="96" xfId="0" applyNumberFormat="1" applyFont="1" applyFill="1" applyBorder="1" applyAlignment="1">
      <alignment horizontal="center" vertical="center"/>
    </xf>
    <xf numFmtId="164" fontId="1" fillId="29" borderId="98" xfId="0" applyNumberFormat="1" applyFont="1" applyFill="1" applyBorder="1" applyAlignment="1">
      <alignment horizontal="center" vertical="center"/>
    </xf>
    <xf numFmtId="0" fontId="1" fillId="29" borderId="98" xfId="0" applyFont="1" applyFill="1" applyBorder="1" applyAlignment="1">
      <alignment horizontal="center" vertical="center"/>
    </xf>
    <xf numFmtId="0" fontId="1" fillId="3" borderId="96" xfId="0" applyFont="1" applyFill="1" applyBorder="1" applyAlignment="1">
      <alignment horizontal="center" vertical="center" wrapText="1"/>
    </xf>
    <xf numFmtId="0" fontId="1" fillId="3" borderId="96" xfId="1" applyFill="1" applyBorder="1" applyAlignment="1">
      <alignment horizontal="center" vertical="center" wrapText="1"/>
    </xf>
    <xf numFmtId="2" fontId="1" fillId="3" borderId="96" xfId="1" applyNumberFormat="1" applyFill="1" applyBorder="1" applyAlignment="1">
      <alignment horizontal="center" vertical="center"/>
    </xf>
    <xf numFmtId="0" fontId="1" fillId="3" borderId="96" xfId="1" applyFill="1" applyBorder="1" applyAlignment="1">
      <alignment horizontal="center" vertical="center"/>
    </xf>
    <xf numFmtId="0" fontId="38" fillId="0" borderId="96" xfId="0" applyFont="1" applyBorder="1" applyAlignment="1">
      <alignment horizontal="center" vertical="center" wrapText="1"/>
    </xf>
    <xf numFmtId="0" fontId="59" fillId="0" borderId="96" xfId="0" applyFont="1" applyBorder="1" applyAlignment="1">
      <alignment horizontal="left" vertical="center" wrapText="1"/>
    </xf>
    <xf numFmtId="2" fontId="1" fillId="3" borderId="96" xfId="0" applyNumberFormat="1" applyFont="1" applyFill="1" applyBorder="1" applyAlignment="1">
      <alignment horizontal="center" vertical="center" wrapText="1"/>
    </xf>
    <xf numFmtId="2" fontId="1" fillId="46" borderId="98" xfId="1" applyNumberFormat="1" applyFill="1" applyBorder="1" applyAlignment="1">
      <alignment horizontal="center" vertical="center"/>
    </xf>
    <xf numFmtId="2" fontId="1" fillId="46" borderId="99" xfId="1" applyNumberFormat="1" applyFill="1" applyBorder="1" applyAlignment="1">
      <alignment horizontal="center" vertical="center"/>
    </xf>
    <xf numFmtId="0" fontId="1" fillId="3" borderId="96" xfId="0" applyFont="1" applyFill="1" applyBorder="1" applyAlignment="1">
      <alignment horizontal="center" vertical="center"/>
    </xf>
    <xf numFmtId="165" fontId="1" fillId="3" borderId="96" xfId="1" applyNumberFormat="1" applyFill="1" applyBorder="1" applyAlignment="1">
      <alignment horizontal="center" vertical="center"/>
    </xf>
    <xf numFmtId="0" fontId="1" fillId="3" borderId="96" xfId="51" applyFont="1" applyFill="1" applyBorder="1" applyAlignment="1">
      <alignment horizontal="center" vertical="center"/>
    </xf>
    <xf numFmtId="0" fontId="1" fillId="31" borderId="96" xfId="1" applyFill="1" applyBorder="1" applyAlignment="1">
      <alignment horizontal="center" vertical="center" wrapText="1"/>
    </xf>
    <xf numFmtId="0" fontId="1" fillId="31" borderId="96" xfId="0" applyFont="1" applyFill="1" applyBorder="1" applyAlignment="1">
      <alignment horizontal="center" vertical="center" wrapText="1"/>
    </xf>
    <xf numFmtId="2" fontId="1" fillId="31" borderId="96" xfId="1" applyNumberFormat="1" applyFill="1" applyBorder="1" applyAlignment="1">
      <alignment horizontal="center" vertical="center"/>
    </xf>
    <xf numFmtId="0" fontId="1" fillId="31" borderId="96" xfId="1" applyFill="1" applyBorder="1" applyAlignment="1">
      <alignment horizontal="center" vertical="center"/>
    </xf>
    <xf numFmtId="0" fontId="1" fillId="31" borderId="96" xfId="0" applyFont="1" applyFill="1" applyBorder="1" applyAlignment="1">
      <alignment horizontal="center" vertical="center"/>
    </xf>
    <xf numFmtId="165" fontId="1" fillId="31" borderId="96" xfId="1" applyNumberFormat="1" applyFill="1" applyBorder="1" applyAlignment="1">
      <alignment horizontal="center" vertical="center"/>
    </xf>
    <xf numFmtId="164" fontId="1" fillId="0" borderId="96" xfId="0" applyNumberFormat="1" applyFont="1" applyBorder="1" applyAlignment="1">
      <alignment horizontal="center" vertical="center" wrapText="1"/>
    </xf>
    <xf numFmtId="2" fontId="1" fillId="3" borderId="96" xfId="0" applyNumberFormat="1" applyFont="1" applyFill="1" applyBorder="1" applyAlignment="1">
      <alignment horizontal="center" vertical="center"/>
    </xf>
    <xf numFmtId="0" fontId="59" fillId="0" borderId="96" xfId="0" quotePrefix="1" applyFont="1" applyBorder="1" applyAlignment="1">
      <alignment horizontal="left" vertical="center"/>
    </xf>
    <xf numFmtId="0" fontId="1" fillId="0" borderId="96" xfId="64" applyFont="1" applyBorder="1" applyAlignment="1">
      <alignment horizontal="left" vertical="center" wrapText="1"/>
    </xf>
    <xf numFmtId="2" fontId="50" fillId="0" borderId="96" xfId="0" applyNumberFormat="1" applyFont="1" applyBorder="1" applyAlignment="1">
      <alignment horizontal="center" vertical="center"/>
    </xf>
    <xf numFmtId="1" fontId="50" fillId="0" borderId="96" xfId="0" applyNumberFormat="1" applyFont="1" applyBorder="1" applyAlignment="1">
      <alignment horizontal="center" vertical="center"/>
    </xf>
    <xf numFmtId="1" fontId="1" fillId="3" borderId="96" xfId="0" applyNumberFormat="1" applyFont="1" applyFill="1" applyBorder="1" applyAlignment="1">
      <alignment horizontal="center" vertical="center"/>
    </xf>
    <xf numFmtId="0" fontId="0" fillId="3" borderId="96" xfId="0" applyFill="1" applyBorder="1" applyAlignment="1">
      <alignment horizontal="center" vertical="center"/>
    </xf>
    <xf numFmtId="166" fontId="1" fillId="3" borderId="96" xfId="51" applyNumberFormat="1" applyFont="1" applyFill="1" applyBorder="1" applyAlignment="1">
      <alignment horizontal="center" vertical="center"/>
    </xf>
    <xf numFmtId="164" fontId="1" fillId="3" borderId="96" xfId="0" applyNumberFormat="1" applyFont="1" applyFill="1" applyBorder="1" applyAlignment="1">
      <alignment horizontal="center" vertical="center"/>
    </xf>
    <xf numFmtId="0" fontId="1" fillId="0" borderId="96" xfId="0" applyFont="1" applyBorder="1" applyAlignment="1">
      <alignment vertical="center" wrapText="1"/>
    </xf>
    <xf numFmtId="0" fontId="1" fillId="0" borderId="96" xfId="0" applyFont="1" applyBorder="1" applyAlignment="1">
      <alignment horizontal="left" vertical="center"/>
    </xf>
    <xf numFmtId="0" fontId="1" fillId="3" borderId="96" xfId="0" applyFont="1" applyFill="1" applyBorder="1" applyAlignment="1">
      <alignment horizontal="left" vertical="center"/>
    </xf>
    <xf numFmtId="0" fontId="43" fillId="29" borderId="96" xfId="0" applyFont="1" applyFill="1" applyBorder="1" applyAlignment="1">
      <alignment horizontal="center" vertical="center" wrapText="1"/>
    </xf>
    <xf numFmtId="0" fontId="43" fillId="29" borderId="96" xfId="0" applyFont="1" applyFill="1" applyBorder="1" applyAlignment="1">
      <alignment horizontal="left" vertical="center" wrapText="1"/>
    </xf>
    <xf numFmtId="0" fontId="36" fillId="29" borderId="96" xfId="58" applyFont="1" applyFill="1" applyBorder="1" applyAlignment="1">
      <alignment horizontal="center" vertical="center" wrapText="1"/>
    </xf>
    <xf numFmtId="0" fontId="52" fillId="29" borderId="96" xfId="0" applyFont="1" applyFill="1" applyBorder="1" applyAlignment="1">
      <alignment horizontal="center" vertical="center" wrapText="1"/>
    </xf>
    <xf numFmtId="0" fontId="1" fillId="0" borderId="96" xfId="0" quotePrefix="1" applyFont="1" applyBorder="1" applyAlignment="1">
      <alignment horizontal="left" vertical="center"/>
    </xf>
    <xf numFmtId="0" fontId="1" fillId="3" borderId="96" xfId="0" quotePrefix="1" applyFont="1" applyFill="1" applyBorder="1" applyAlignment="1">
      <alignment horizontal="left" vertical="center"/>
    </xf>
    <xf numFmtId="0" fontId="59" fillId="2" borderId="96" xfId="0" applyFont="1" applyFill="1" applyBorder="1" applyAlignment="1">
      <alignment horizontal="center" vertical="center"/>
    </xf>
    <xf numFmtId="166" fontId="1" fillId="3" borderId="96" xfId="1" applyNumberFormat="1" applyFill="1" applyBorder="1" applyAlignment="1">
      <alignment horizontal="center" vertical="center"/>
    </xf>
    <xf numFmtId="0" fontId="36" fillId="31" borderId="96" xfId="0" applyFont="1" applyFill="1" applyBorder="1" applyAlignment="1">
      <alignment horizontal="center" vertical="center" wrapText="1"/>
    </xf>
    <xf numFmtId="0" fontId="36" fillId="31" borderId="96" xfId="0" applyFont="1" applyFill="1" applyBorder="1" applyAlignment="1">
      <alignment horizontal="left" vertical="center" wrapText="1"/>
    </xf>
    <xf numFmtId="0" fontId="55" fillId="31" borderId="96" xfId="0" applyFont="1" applyFill="1" applyBorder="1" applyAlignment="1">
      <alignment horizontal="center" vertical="center" wrapText="1"/>
    </xf>
    <xf numFmtId="0" fontId="0" fillId="29" borderId="96" xfId="0" applyFill="1" applyBorder="1"/>
    <xf numFmtId="0" fontId="0" fillId="29" borderId="96" xfId="0" applyFill="1" applyBorder="1" applyAlignment="1">
      <alignment horizontal="center"/>
    </xf>
    <xf numFmtId="0" fontId="0" fillId="0" borderId="96" xfId="0" applyBorder="1"/>
    <xf numFmtId="0" fontId="0" fillId="0" borderId="96" xfId="0" applyBorder="1" applyAlignment="1">
      <alignment horizontal="center"/>
    </xf>
    <xf numFmtId="0" fontId="55" fillId="30" borderId="96" xfId="0" applyFont="1" applyFill="1" applyBorder="1" applyAlignment="1">
      <alignment horizontal="center" vertical="center" wrapText="1"/>
    </xf>
    <xf numFmtId="0" fontId="1" fillId="35" borderId="96" xfId="0" applyFont="1" applyFill="1" applyBorder="1" applyAlignment="1">
      <alignment horizontal="center" vertical="center" wrapText="1"/>
    </xf>
    <xf numFmtId="0" fontId="47" fillId="35" borderId="96" xfId="0" applyFont="1" applyFill="1" applyBorder="1" applyAlignment="1">
      <alignment horizontal="left" vertical="center" wrapText="1"/>
    </xf>
    <xf numFmtId="0" fontId="1" fillId="35" borderId="96" xfId="0" quotePrefix="1" applyFont="1" applyFill="1" applyBorder="1" applyAlignment="1">
      <alignment horizontal="left" vertical="center" wrapText="1"/>
    </xf>
    <xf numFmtId="2" fontId="1" fillId="35" borderId="96" xfId="0" applyNumberFormat="1" applyFont="1" applyFill="1" applyBorder="1" applyAlignment="1">
      <alignment horizontal="center" vertical="center"/>
    </xf>
    <xf numFmtId="1" fontId="1" fillId="35" borderId="96" xfId="0" applyNumberFormat="1" applyFont="1" applyFill="1" applyBorder="1" applyAlignment="1">
      <alignment horizontal="center" vertical="center"/>
    </xf>
    <xf numFmtId="0" fontId="1" fillId="35" borderId="96" xfId="0" applyFont="1" applyFill="1" applyBorder="1" applyAlignment="1">
      <alignment horizontal="center" vertical="center"/>
    </xf>
    <xf numFmtId="2" fontId="1" fillId="35" borderId="96" xfId="1" applyNumberFormat="1" applyFill="1" applyBorder="1" applyAlignment="1">
      <alignment horizontal="center" vertical="center"/>
    </xf>
    <xf numFmtId="0" fontId="1" fillId="35" borderId="96" xfId="1" applyFill="1" applyBorder="1" applyAlignment="1">
      <alignment horizontal="center" vertical="center"/>
    </xf>
    <xf numFmtId="165" fontId="1" fillId="35" borderId="96" xfId="1" applyNumberFormat="1" applyFill="1" applyBorder="1" applyAlignment="1">
      <alignment horizontal="center" vertical="center"/>
    </xf>
    <xf numFmtId="166" fontId="1" fillId="35" borderId="96" xfId="51" applyNumberFormat="1" applyFont="1" applyFill="1" applyBorder="1" applyAlignment="1">
      <alignment horizontal="center" vertical="center"/>
    </xf>
    <xf numFmtId="164" fontId="1" fillId="35" borderId="96" xfId="0" applyNumberFormat="1" applyFont="1" applyFill="1" applyBorder="1" applyAlignment="1">
      <alignment horizontal="center" vertical="center"/>
    </xf>
    <xf numFmtId="164" fontId="1" fillId="35" borderId="98" xfId="0" applyNumberFormat="1" applyFont="1" applyFill="1" applyBorder="1" applyAlignment="1">
      <alignment horizontal="center" vertical="center"/>
    </xf>
    <xf numFmtId="0" fontId="1" fillId="35" borderId="98" xfId="0" applyFont="1" applyFill="1" applyBorder="1" applyAlignment="1">
      <alignment horizontal="center" vertical="center"/>
    </xf>
    <xf numFmtId="166" fontId="61" fillId="35" borderId="96" xfId="1" applyNumberFormat="1" applyFont="1" applyFill="1" applyBorder="1" applyAlignment="1">
      <alignment horizontal="center" vertical="center"/>
    </xf>
    <xf numFmtId="0" fontId="59" fillId="0" borderId="96" xfId="0" quotePrefix="1" applyFont="1" applyBorder="1" applyAlignment="1">
      <alignment horizontal="left" vertical="center" wrapText="1"/>
    </xf>
    <xf numFmtId="2" fontId="59" fillId="3" borderId="96" xfId="1" applyNumberFormat="1" applyFont="1" applyFill="1" applyBorder="1" applyAlignment="1">
      <alignment horizontal="center" vertical="center"/>
    </xf>
    <xf numFmtId="1" fontId="59" fillId="3" borderId="96" xfId="0" applyNumberFormat="1" applyFont="1" applyFill="1" applyBorder="1" applyAlignment="1">
      <alignment horizontal="center" vertical="center"/>
    </xf>
    <xf numFmtId="0" fontId="50" fillId="0" borderId="96" xfId="0" applyFont="1" applyBorder="1" applyAlignment="1">
      <alignment horizontal="center" vertical="center"/>
    </xf>
    <xf numFmtId="164" fontId="38" fillId="0" borderId="96" xfId="0" applyNumberFormat="1" applyFont="1" applyBorder="1" applyAlignment="1">
      <alignment horizontal="center" vertical="center"/>
    </xf>
    <xf numFmtId="0" fontId="1" fillId="0" borderId="96" xfId="0" quotePrefix="1" applyFont="1" applyBorder="1" applyAlignment="1">
      <alignment horizontal="left" vertical="center" wrapText="1"/>
    </xf>
    <xf numFmtId="0" fontId="1" fillId="3" borderId="96" xfId="0" quotePrefix="1" applyFont="1" applyFill="1" applyBorder="1" applyAlignment="1">
      <alignment horizontal="left" vertical="center" wrapText="1"/>
    </xf>
    <xf numFmtId="164" fontId="1" fillId="3" borderId="98" xfId="0" applyNumberFormat="1" applyFont="1" applyFill="1" applyBorder="1" applyAlignment="1">
      <alignment horizontal="center" vertical="center"/>
    </xf>
    <xf numFmtId="0" fontId="1" fillId="3" borderId="98" xfId="0" applyFont="1" applyFill="1" applyBorder="1" applyAlignment="1">
      <alignment horizontal="center" vertical="center"/>
    </xf>
    <xf numFmtId="0" fontId="1" fillId="3" borderId="96" xfId="0" quotePrefix="1" applyFont="1" applyFill="1" applyBorder="1" applyAlignment="1">
      <alignment horizontal="center" vertical="center"/>
    </xf>
    <xf numFmtId="0" fontId="59" fillId="29" borderId="96" xfId="0" applyFont="1" applyFill="1" applyBorder="1" applyAlignment="1">
      <alignment horizontal="center" vertical="center" wrapText="1"/>
    </xf>
    <xf numFmtId="0" fontId="62" fillId="29" borderId="96" xfId="0" applyFont="1" applyFill="1" applyBorder="1" applyAlignment="1">
      <alignment horizontal="left" vertical="center" wrapText="1"/>
    </xf>
    <xf numFmtId="0" fontId="1" fillId="29" borderId="96" xfId="0" quotePrefix="1" applyFont="1" applyFill="1" applyBorder="1" applyAlignment="1">
      <alignment horizontal="left" vertical="center" wrapText="1"/>
    </xf>
    <xf numFmtId="0" fontId="36" fillId="29" borderId="96" xfId="0" applyFont="1" applyFill="1" applyBorder="1" applyAlignment="1">
      <alignment horizontal="center" vertical="center" wrapText="1"/>
    </xf>
    <xf numFmtId="2" fontId="50" fillId="29" borderId="96" xfId="0" applyNumberFormat="1" applyFont="1" applyFill="1" applyBorder="1" applyAlignment="1">
      <alignment horizontal="center" vertical="center"/>
    </xf>
    <xf numFmtId="1" fontId="50" fillId="29" borderId="96" xfId="0" applyNumberFormat="1" applyFont="1" applyFill="1" applyBorder="1" applyAlignment="1">
      <alignment horizontal="center" vertical="center"/>
    </xf>
    <xf numFmtId="2" fontId="1" fillId="0" borderId="96" xfId="0" applyNumberFormat="1" applyFont="1" applyBorder="1" applyAlignment="1">
      <alignment horizontal="left" vertical="center" wrapText="1"/>
    </xf>
    <xf numFmtId="2" fontId="1" fillId="3" borderId="96" xfId="0" applyNumberFormat="1" applyFont="1" applyFill="1" applyBorder="1" applyAlignment="1">
      <alignment horizontal="left" vertical="center" wrapText="1"/>
    </xf>
    <xf numFmtId="0" fontId="0" fillId="0" borderId="96" xfId="0" applyBorder="1" applyAlignment="1">
      <alignment horizontal="center" vertical="center" wrapText="1"/>
    </xf>
    <xf numFmtId="0" fontId="1" fillId="29" borderId="96" xfId="0" quotePrefix="1" applyFont="1" applyFill="1" applyBorder="1" applyAlignment="1">
      <alignment horizontal="center" vertical="center" wrapText="1"/>
    </xf>
    <xf numFmtId="2" fontId="69" fillId="3" borderId="96" xfId="0" applyNumberFormat="1" applyFont="1" applyFill="1" applyBorder="1" applyAlignment="1">
      <alignment horizontal="center" vertical="center"/>
    </xf>
    <xf numFmtId="1" fontId="38" fillId="3" borderId="96" xfId="0" applyNumberFormat="1" applyFont="1" applyFill="1" applyBorder="1" applyAlignment="1">
      <alignment horizontal="center" vertical="center"/>
    </xf>
    <xf numFmtId="0" fontId="69" fillId="3" borderId="96" xfId="0" applyFont="1" applyFill="1" applyBorder="1" applyAlignment="1">
      <alignment horizontal="center" vertical="center" wrapText="1"/>
    </xf>
    <xf numFmtId="0" fontId="0" fillId="3" borderId="96" xfId="0" applyFill="1" applyBorder="1" applyAlignment="1">
      <alignment horizontal="center" vertical="center" wrapText="1"/>
    </xf>
    <xf numFmtId="0" fontId="36" fillId="29" borderId="96" xfId="0" applyFont="1" applyFill="1" applyBorder="1" applyAlignment="1">
      <alignment horizontal="left" vertical="center" wrapText="1"/>
    </xf>
    <xf numFmtId="0" fontId="38" fillId="0" borderId="96" xfId="0" applyFont="1" applyBorder="1" applyAlignment="1">
      <alignment horizontal="center" vertical="center"/>
    </xf>
    <xf numFmtId="0" fontId="41" fillId="3" borderId="96" xfId="0" applyFont="1" applyFill="1" applyBorder="1" applyAlignment="1">
      <alignment horizontal="center" vertical="center"/>
    </xf>
    <xf numFmtId="0" fontId="1" fillId="0" borderId="96" xfId="0" quotePrefix="1" applyFont="1" applyBorder="1" applyAlignment="1">
      <alignment horizontal="center" vertical="center"/>
    </xf>
    <xf numFmtId="0" fontId="0" fillId="3" borderId="96" xfId="0" quotePrefix="1" applyFill="1" applyBorder="1" applyAlignment="1">
      <alignment horizontal="left" vertical="center"/>
    </xf>
    <xf numFmtId="0" fontId="0" fillId="0" borderId="96" xfId="0" quotePrefix="1" applyBorder="1" applyAlignment="1">
      <alignment horizontal="left" vertical="center" wrapText="1"/>
    </xf>
    <xf numFmtId="0" fontId="61" fillId="35" borderId="96" xfId="0" applyFont="1" applyFill="1" applyBorder="1" applyAlignment="1">
      <alignment horizontal="center" vertical="center" wrapText="1"/>
    </xf>
    <xf numFmtId="0" fontId="56" fillId="35" borderId="96" xfId="0" applyFont="1" applyFill="1" applyBorder="1" applyAlignment="1">
      <alignment horizontal="left" vertical="center"/>
    </xf>
    <xf numFmtId="0" fontId="61" fillId="35" borderId="96" xfId="0" quotePrefix="1" applyFont="1" applyFill="1" applyBorder="1" applyAlignment="1">
      <alignment horizontal="left" vertical="center" wrapText="1"/>
    </xf>
    <xf numFmtId="2" fontId="61" fillId="35" borderId="96" xfId="0" applyNumberFormat="1" applyFont="1" applyFill="1" applyBorder="1" applyAlignment="1">
      <alignment horizontal="center" vertical="center"/>
    </xf>
    <xf numFmtId="1" fontId="61" fillId="35" borderId="96" xfId="0" applyNumberFormat="1" applyFont="1" applyFill="1" applyBorder="1" applyAlignment="1">
      <alignment horizontal="center" vertical="center"/>
    </xf>
    <xf numFmtId="0" fontId="61" fillId="35" borderId="96" xfId="0" applyFont="1" applyFill="1" applyBorder="1" applyAlignment="1">
      <alignment horizontal="center" vertical="center"/>
    </xf>
    <xf numFmtId="2" fontId="61" fillId="35" borderId="96" xfId="1" applyNumberFormat="1" applyFont="1" applyFill="1" applyBorder="1" applyAlignment="1">
      <alignment horizontal="center" vertical="center"/>
    </xf>
    <xf numFmtId="0" fontId="61" fillId="35" borderId="96" xfId="1" applyFont="1" applyFill="1" applyBorder="1" applyAlignment="1">
      <alignment horizontal="center" vertical="center"/>
    </xf>
    <xf numFmtId="165" fontId="61" fillId="35" borderId="96" xfId="1" applyNumberFormat="1" applyFont="1" applyFill="1" applyBorder="1" applyAlignment="1">
      <alignment horizontal="center" vertical="center"/>
    </xf>
    <xf numFmtId="166" fontId="61" fillId="35" borderId="96" xfId="51" applyNumberFormat="1" applyFont="1" applyFill="1" applyBorder="1" applyAlignment="1">
      <alignment horizontal="center" vertical="center"/>
    </xf>
    <xf numFmtId="164" fontId="61" fillId="35" borderId="96" xfId="0" applyNumberFormat="1" applyFont="1" applyFill="1" applyBorder="1" applyAlignment="1">
      <alignment horizontal="center" vertical="center"/>
    </xf>
    <xf numFmtId="164" fontId="61" fillId="35" borderId="98" xfId="0" applyNumberFormat="1" applyFont="1" applyFill="1" applyBorder="1" applyAlignment="1">
      <alignment horizontal="center" vertical="center"/>
    </xf>
    <xf numFmtId="0" fontId="61" fillId="35" borderId="98" xfId="0" applyFont="1" applyFill="1" applyBorder="1" applyAlignment="1">
      <alignment horizontal="center" vertical="center"/>
    </xf>
    <xf numFmtId="0" fontId="1" fillId="0" borderId="96" xfId="0" applyFont="1" applyBorder="1"/>
    <xf numFmtId="0" fontId="1" fillId="0" borderId="96" xfId="64" applyFont="1" applyBorder="1" applyAlignment="1">
      <alignment horizontal="center" vertical="center" wrapText="1"/>
    </xf>
    <xf numFmtId="0" fontId="50" fillId="29" borderId="96" xfId="0" applyFont="1" applyFill="1" applyBorder="1" applyAlignment="1">
      <alignment horizontal="center" vertical="center" wrapText="1"/>
    </xf>
    <xf numFmtId="0" fontId="70" fillId="29" borderId="96" xfId="0" applyFont="1" applyFill="1" applyBorder="1" applyAlignment="1">
      <alignment horizontal="left" vertical="center" wrapText="1"/>
    </xf>
    <xf numFmtId="0" fontId="50" fillId="29" borderId="96" xfId="0" quotePrefix="1" applyFont="1" applyFill="1" applyBorder="1" applyAlignment="1">
      <alignment horizontal="left" vertical="center" wrapText="1"/>
    </xf>
    <xf numFmtId="0" fontId="55" fillId="29" borderId="96" xfId="0" applyFont="1" applyFill="1" applyBorder="1" applyAlignment="1">
      <alignment horizontal="center" vertical="center" wrapText="1"/>
    </xf>
    <xf numFmtId="0" fontId="50" fillId="29" borderId="96" xfId="0" applyFont="1" applyFill="1" applyBorder="1" applyAlignment="1">
      <alignment horizontal="center" vertical="center"/>
    </xf>
    <xf numFmtId="2" fontId="50" fillId="29" borderId="96" xfId="1" applyNumberFormat="1" applyFont="1" applyFill="1" applyBorder="1" applyAlignment="1">
      <alignment horizontal="center" vertical="center"/>
    </xf>
    <xf numFmtId="0" fontId="50" fillId="29" borderId="96" xfId="1" applyFont="1" applyFill="1" applyBorder="1" applyAlignment="1">
      <alignment horizontal="center" vertical="center"/>
    </xf>
    <xf numFmtId="165" fontId="50" fillId="29" borderId="96" xfId="1" applyNumberFormat="1" applyFont="1" applyFill="1" applyBorder="1" applyAlignment="1">
      <alignment horizontal="center" vertical="center"/>
    </xf>
    <xf numFmtId="166" fontId="50" fillId="29" borderId="96" xfId="1" applyNumberFormat="1" applyFont="1" applyFill="1" applyBorder="1" applyAlignment="1">
      <alignment horizontal="center" vertical="center"/>
    </xf>
    <xf numFmtId="166" fontId="50" fillId="29" borderId="96" xfId="51" applyNumberFormat="1" applyFont="1" applyFill="1" applyBorder="1" applyAlignment="1">
      <alignment horizontal="center" vertical="center"/>
    </xf>
    <xf numFmtId="164" fontId="50" fillId="29" borderId="96" xfId="0" applyNumberFormat="1" applyFont="1" applyFill="1" applyBorder="1" applyAlignment="1">
      <alignment horizontal="center" vertical="center"/>
    </xf>
    <xf numFmtId="164" fontId="50" fillId="29" borderId="98" xfId="0" applyNumberFormat="1" applyFont="1" applyFill="1" applyBorder="1" applyAlignment="1">
      <alignment horizontal="center" vertical="center"/>
    </xf>
    <xf numFmtId="0" fontId="50" fillId="29" borderId="98" xfId="0" applyFont="1" applyFill="1" applyBorder="1" applyAlignment="1">
      <alignment horizontal="center" vertical="center"/>
    </xf>
    <xf numFmtId="0" fontId="59" fillId="0" borderId="96" xfId="0" quotePrefix="1" applyFont="1" applyBorder="1" applyAlignment="1">
      <alignment horizontal="center" vertical="center"/>
    </xf>
    <xf numFmtId="2" fontId="59" fillId="0" borderId="96" xfId="0" applyNumberFormat="1" applyFont="1" applyBorder="1" applyAlignment="1">
      <alignment horizontal="left" vertical="center" wrapText="1"/>
    </xf>
    <xf numFmtId="166" fontId="59" fillId="0" borderId="96" xfId="1" applyNumberFormat="1" applyFont="1" applyBorder="1" applyAlignment="1">
      <alignment horizontal="center" vertical="center"/>
    </xf>
    <xf numFmtId="0" fontId="59" fillId="0" borderId="96" xfId="0" applyFont="1" applyBorder="1" applyAlignment="1">
      <alignment horizontal="left" vertical="center"/>
    </xf>
    <xf numFmtId="0" fontId="59" fillId="0" borderId="102" xfId="0" applyFont="1" applyBorder="1" applyAlignment="1">
      <alignment horizontal="left" vertical="center" wrapText="1"/>
    </xf>
    <xf numFmtId="0" fontId="1" fillId="0" borderId="96" xfId="0" quotePrefix="1" applyFont="1" applyBorder="1" applyAlignment="1">
      <alignment vertical="center" wrapText="1"/>
    </xf>
    <xf numFmtId="0" fontId="0" fillId="0" borderId="96" xfId="0" quotePrefix="1" applyBorder="1" applyAlignment="1">
      <alignment horizontal="center" vertical="center" wrapText="1"/>
    </xf>
    <xf numFmtId="0" fontId="0" fillId="3" borderId="96" xfId="0" quotePrefix="1" applyFill="1" applyBorder="1" applyAlignment="1">
      <alignment horizontal="center" vertical="center" wrapText="1"/>
    </xf>
    <xf numFmtId="0" fontId="0" fillId="29" borderId="96" xfId="0" quotePrefix="1" applyFill="1" applyBorder="1" applyAlignment="1">
      <alignment horizontal="center" vertical="center" wrapText="1"/>
    </xf>
    <xf numFmtId="0" fontId="1" fillId="3" borderId="96" xfId="0" applyFont="1" applyFill="1" applyBorder="1" applyAlignment="1">
      <alignment horizontal="center"/>
    </xf>
    <xf numFmtId="0" fontId="47" fillId="35" borderId="96" xfId="0" applyFont="1" applyFill="1" applyBorder="1" applyAlignment="1">
      <alignment horizontal="left" vertical="center"/>
    </xf>
    <xf numFmtId="2" fontId="38" fillId="0" borderId="96" xfId="0" applyNumberFormat="1" applyFont="1" applyBorder="1" applyAlignment="1">
      <alignment horizontal="center" vertical="center"/>
    </xf>
    <xf numFmtId="0" fontId="59" fillId="0" borderId="97" xfId="0" applyFont="1" applyBorder="1" applyAlignment="1">
      <alignment horizontal="center" vertical="center" wrapText="1"/>
    </xf>
    <xf numFmtId="0" fontId="1" fillId="3" borderId="96" xfId="0" quotePrefix="1" applyFont="1" applyFill="1" applyBorder="1" applyAlignment="1">
      <alignment horizontal="center" vertical="center" wrapText="1"/>
    </xf>
    <xf numFmtId="0" fontId="1" fillId="31" borderId="96" xfId="0" quotePrefix="1" applyFont="1" applyFill="1" applyBorder="1" applyAlignment="1">
      <alignment horizontal="left" vertical="center" wrapText="1"/>
    </xf>
    <xf numFmtId="0" fontId="1" fillId="31" borderId="96" xfId="0" quotePrefix="1" applyFont="1" applyFill="1" applyBorder="1" applyAlignment="1">
      <alignment horizontal="center" vertical="center" wrapText="1"/>
    </xf>
    <xf numFmtId="0" fontId="0" fillId="31" borderId="96" xfId="0" quotePrefix="1" applyFill="1" applyBorder="1" applyAlignment="1">
      <alignment horizontal="center" vertical="center" wrapText="1"/>
    </xf>
    <xf numFmtId="2" fontId="1" fillId="31" borderId="96" xfId="0" applyNumberFormat="1" applyFont="1" applyFill="1" applyBorder="1" applyAlignment="1">
      <alignment horizontal="center" vertical="center"/>
    </xf>
    <xf numFmtId="164" fontId="1" fillId="31" borderId="96" xfId="0" applyNumberFormat="1" applyFont="1" applyFill="1" applyBorder="1" applyAlignment="1">
      <alignment horizontal="center" vertical="center"/>
    </xf>
    <xf numFmtId="1" fontId="1" fillId="31" borderId="96" xfId="0" applyNumberFormat="1" applyFont="1" applyFill="1" applyBorder="1" applyAlignment="1">
      <alignment horizontal="center" vertical="center"/>
    </xf>
    <xf numFmtId="164" fontId="1" fillId="31" borderId="98" xfId="0" applyNumberFormat="1" applyFont="1" applyFill="1" applyBorder="1" applyAlignment="1">
      <alignment horizontal="center" vertical="center"/>
    </xf>
    <xf numFmtId="0" fontId="1" fillId="0" borderId="97" xfId="0" applyFont="1" applyBorder="1" applyAlignment="1">
      <alignment horizontal="center" vertical="center"/>
    </xf>
    <xf numFmtId="0" fontId="58" fillId="30" borderId="96" xfId="0" applyFont="1" applyFill="1" applyBorder="1" applyAlignment="1">
      <alignment horizontal="center" vertical="center" wrapText="1"/>
    </xf>
    <xf numFmtId="0" fontId="58" fillId="29" borderId="96" xfId="0" applyFont="1" applyFill="1" applyBorder="1" applyAlignment="1">
      <alignment horizontal="center" vertical="center" wrapText="1"/>
    </xf>
    <xf numFmtId="0" fontId="51" fillId="32" borderId="98" xfId="0" applyFont="1" applyFill="1" applyBorder="1" applyAlignment="1">
      <alignment horizontal="center" vertical="center"/>
    </xf>
    <xf numFmtId="0" fontId="41" fillId="0" borderId="96" xfId="1" applyFont="1" applyBorder="1" applyAlignment="1">
      <alignment horizontal="center" vertical="center"/>
    </xf>
    <xf numFmtId="165" fontId="41" fillId="0" borderId="96" xfId="1" applyNumberFormat="1" applyFont="1" applyBorder="1" applyAlignment="1">
      <alignment horizontal="center" vertical="center"/>
    </xf>
    <xf numFmtId="2" fontId="41" fillId="0" borderId="96" xfId="1" applyNumberFormat="1" applyFont="1" applyBorder="1" applyAlignment="1">
      <alignment horizontal="center" vertical="center"/>
    </xf>
    <xf numFmtId="1" fontId="41" fillId="0" borderId="96" xfId="0" applyNumberFormat="1" applyFont="1" applyBorder="1" applyAlignment="1">
      <alignment horizontal="center" vertical="center"/>
    </xf>
    <xf numFmtId="164" fontId="41" fillId="0" borderId="96" xfId="0" applyNumberFormat="1" applyFont="1" applyBorder="1" applyAlignment="1">
      <alignment horizontal="center" vertical="center"/>
    </xf>
    <xf numFmtId="0" fontId="41" fillId="0" borderId="96" xfId="0" applyFont="1" applyBorder="1" applyAlignment="1">
      <alignment horizontal="center" vertical="center"/>
    </xf>
    <xf numFmtId="2" fontId="48" fillId="0" borderId="96" xfId="0" applyNumberFormat="1" applyFont="1" applyBorder="1" applyAlignment="1">
      <alignment horizontal="center" vertical="center"/>
    </xf>
    <xf numFmtId="1" fontId="48" fillId="0" borderId="96" xfId="0" applyNumberFormat="1" applyFont="1" applyBorder="1" applyAlignment="1">
      <alignment horizontal="center" vertical="center"/>
    </xf>
    <xf numFmtId="0" fontId="41" fillId="0" borderId="97" xfId="1" applyFont="1" applyBorder="1" applyAlignment="1">
      <alignment horizontal="center" vertical="center"/>
    </xf>
    <xf numFmtId="2" fontId="37" fillId="0" borderId="96" xfId="0" applyNumberFormat="1" applyFont="1" applyBorder="1" applyAlignment="1">
      <alignment horizontal="center" vertical="center"/>
    </xf>
    <xf numFmtId="0" fontId="38" fillId="0" borderId="96" xfId="0" applyFont="1" applyBorder="1" applyAlignment="1">
      <alignment horizontal="left" vertical="center" wrapText="1"/>
    </xf>
    <xf numFmtId="0" fontId="38" fillId="0" borderId="96" xfId="0" applyFont="1" applyBorder="1" applyAlignment="1">
      <alignment vertical="center" wrapText="1"/>
    </xf>
    <xf numFmtId="0" fontId="38" fillId="0" borderId="96" xfId="1" applyFont="1" applyBorder="1" applyAlignment="1">
      <alignment horizontal="center" vertical="center" wrapText="1"/>
    </xf>
    <xf numFmtId="1" fontId="38" fillId="3" borderId="96" xfId="0" applyNumberFormat="1" applyFont="1" applyFill="1" applyBorder="1" applyAlignment="1">
      <alignment horizontal="center" vertical="center" wrapText="1"/>
    </xf>
    <xf numFmtId="2" fontId="38" fillId="0" borderId="96" xfId="1" applyNumberFormat="1" applyFont="1" applyBorder="1" applyAlignment="1">
      <alignment horizontal="center" vertical="center"/>
    </xf>
    <xf numFmtId="0" fontId="38" fillId="0" borderId="96" xfId="1" applyFont="1" applyBorder="1" applyAlignment="1">
      <alignment horizontal="center" vertical="center"/>
    </xf>
    <xf numFmtId="165" fontId="38" fillId="0" borderId="96" xfId="1" applyNumberFormat="1" applyFont="1" applyBorder="1" applyAlignment="1">
      <alignment horizontal="center" vertical="center"/>
    </xf>
    <xf numFmtId="166" fontId="38" fillId="0" borderId="96" xfId="1" applyNumberFormat="1" applyFont="1" applyBorder="1" applyAlignment="1">
      <alignment horizontal="center" vertical="center"/>
    </xf>
    <xf numFmtId="166" fontId="38" fillId="0" borderId="96" xfId="51" applyNumberFormat="1" applyFont="1" applyBorder="1" applyAlignment="1">
      <alignment horizontal="center" vertical="center"/>
    </xf>
    <xf numFmtId="164" fontId="38" fillId="0" borderId="96" xfId="1" applyNumberFormat="1" applyFont="1" applyBorder="1" applyAlignment="1">
      <alignment horizontal="center" vertical="center"/>
    </xf>
    <xf numFmtId="1" fontId="38" fillId="0" borderId="96" xfId="0" applyNumberFormat="1" applyFont="1" applyBorder="1" applyAlignment="1">
      <alignment horizontal="center" vertical="center"/>
    </xf>
    <xf numFmtId="0" fontId="38" fillId="0" borderId="98" xfId="0" applyFont="1" applyBorder="1" applyAlignment="1">
      <alignment horizontal="center" vertical="center"/>
    </xf>
    <xf numFmtId="0" fontId="38" fillId="0" borderId="97" xfId="1" applyFont="1" applyBorder="1" applyAlignment="1">
      <alignment horizontal="center" vertical="center"/>
    </xf>
    <xf numFmtId="0" fontId="1" fillId="0" borderId="97" xfId="1" applyBorder="1" applyAlignment="1">
      <alignment horizontal="center" vertical="center"/>
    </xf>
    <xf numFmtId="0" fontId="1" fillId="2" borderId="96" xfId="1" applyFill="1" applyBorder="1" applyAlignment="1">
      <alignment horizontal="center" vertical="center" wrapText="1"/>
    </xf>
    <xf numFmtId="0" fontId="41" fillId="0" borderId="96" xfId="51" applyFont="1" applyBorder="1" applyAlignment="1">
      <alignment horizontal="center" vertical="center"/>
    </xf>
    <xf numFmtId="1" fontId="38" fillId="0" borderId="96" xfId="1" applyNumberFormat="1" applyFont="1" applyBorder="1" applyAlignment="1">
      <alignment horizontal="center" vertical="center"/>
    </xf>
    <xf numFmtId="0" fontId="50" fillId="0" borderId="96" xfId="1" applyFont="1" applyBorder="1" applyAlignment="1">
      <alignment horizontal="center" vertical="center"/>
    </xf>
    <xf numFmtId="0" fontId="57" fillId="31" borderId="96" xfId="0" applyFont="1" applyFill="1" applyBorder="1" applyAlignment="1">
      <alignment horizontal="center" vertical="center" wrapText="1"/>
    </xf>
    <xf numFmtId="0" fontId="31" fillId="27" borderId="96" xfId="0" applyFont="1" applyFill="1" applyBorder="1" applyAlignment="1">
      <alignment vertical="center"/>
    </xf>
    <xf numFmtId="0" fontId="3" fillId="27" borderId="96" xfId="0" applyFont="1" applyFill="1" applyBorder="1" applyAlignment="1">
      <alignment horizontal="center" vertical="center" wrapText="1"/>
    </xf>
    <xf numFmtId="0" fontId="3" fillId="27" borderId="102" xfId="0" applyFont="1" applyFill="1" applyBorder="1" applyAlignment="1">
      <alignment horizontal="center" vertical="center" wrapText="1"/>
    </xf>
    <xf numFmtId="0" fontId="4" fillId="28" borderId="96" xfId="0" applyFont="1" applyFill="1" applyBorder="1" applyAlignment="1">
      <alignment horizontal="center" vertical="center" wrapText="1"/>
    </xf>
    <xf numFmtId="0" fontId="4" fillId="34" borderId="95" xfId="0" applyFont="1" applyFill="1" applyBorder="1" applyAlignment="1">
      <alignment horizontal="center" vertical="center"/>
    </xf>
    <xf numFmtId="0" fontId="4" fillId="31" borderId="96" xfId="0" applyFont="1" applyFill="1" applyBorder="1" applyAlignment="1">
      <alignment horizontal="center" vertical="center"/>
    </xf>
    <xf numFmtId="0" fontId="42" fillId="31" borderId="96" xfId="0" applyFont="1" applyFill="1" applyBorder="1" applyAlignment="1">
      <alignment horizontal="center" vertical="center"/>
    </xf>
    <xf numFmtId="2" fontId="42" fillId="31" borderId="96" xfId="0" applyNumberFormat="1" applyFont="1" applyFill="1" applyBorder="1" applyAlignment="1">
      <alignment horizontal="center" vertical="center"/>
    </xf>
    <xf numFmtId="0" fontId="35" fillId="3" borderId="96" xfId="0" applyFont="1" applyFill="1" applyBorder="1" applyAlignment="1">
      <alignment horizontal="center" vertical="center"/>
    </xf>
    <xf numFmtId="0" fontId="39" fillId="31" borderId="104" xfId="0" applyFont="1" applyFill="1" applyBorder="1" applyAlignment="1">
      <alignment horizontal="center" vertical="center"/>
    </xf>
    <xf numFmtId="0" fontId="42" fillId="31" borderId="105" xfId="0" applyFont="1" applyFill="1" applyBorder="1" applyAlignment="1">
      <alignment horizontal="center" vertical="center"/>
    </xf>
    <xf numFmtId="2" fontId="42" fillId="31" borderId="105" xfId="0" applyNumberFormat="1" applyFont="1" applyFill="1" applyBorder="1" applyAlignment="1">
      <alignment horizontal="center" vertical="center"/>
    </xf>
    <xf numFmtId="0" fontId="44" fillId="29" borderId="96" xfId="0" applyFont="1" applyFill="1" applyBorder="1" applyAlignment="1">
      <alignment horizontal="center" vertical="center" wrapText="1"/>
    </xf>
    <xf numFmtId="0" fontId="42" fillId="0" borderId="96" xfId="0" applyFont="1" applyBorder="1" applyAlignment="1">
      <alignment horizontal="center" vertical="center" wrapText="1"/>
    </xf>
    <xf numFmtId="0" fontId="39" fillId="31" borderId="106" xfId="0" applyFont="1" applyFill="1" applyBorder="1" applyAlignment="1">
      <alignment horizontal="center" vertical="center"/>
    </xf>
    <xf numFmtId="0" fontId="39" fillId="31" borderId="107" xfId="0" applyFont="1" applyFill="1" applyBorder="1" applyAlignment="1">
      <alignment horizontal="center" vertical="center" wrapText="1"/>
    </xf>
    <xf numFmtId="0" fontId="3" fillId="31" borderId="96" xfId="0" applyFont="1" applyFill="1" applyBorder="1" applyAlignment="1">
      <alignment horizontal="center" vertical="center"/>
    </xf>
    <xf numFmtId="0" fontId="4" fillId="0" borderId="96" xfId="0" applyFont="1" applyBorder="1" applyAlignment="1">
      <alignment horizontal="center" vertical="center" wrapText="1"/>
    </xf>
    <xf numFmtId="0" fontId="4" fillId="0" borderId="95" xfId="0" applyFont="1" applyBorder="1" applyAlignment="1">
      <alignment horizontal="center" vertical="center" wrapText="1"/>
    </xf>
    <xf numFmtId="0" fontId="4" fillId="29" borderId="96" xfId="0" applyFont="1" applyFill="1" applyBorder="1" applyAlignment="1">
      <alignment horizontal="center" vertical="center" wrapText="1"/>
    </xf>
    <xf numFmtId="0" fontId="4" fillId="29" borderId="95" xfId="0" applyFont="1" applyFill="1" applyBorder="1" applyAlignment="1">
      <alignment horizontal="center" vertical="center" wrapText="1"/>
    </xf>
    <xf numFmtId="2" fontId="42" fillId="0" borderId="96" xfId="0" applyNumberFormat="1" applyFont="1" applyBorder="1" applyAlignment="1">
      <alignment horizontal="center" vertical="center" wrapText="1"/>
    </xf>
    <xf numFmtId="0" fontId="4" fillId="28" borderId="95" xfId="0" applyFont="1" applyFill="1" applyBorder="1" applyAlignment="1">
      <alignment horizontal="center" vertical="center" wrapText="1"/>
    </xf>
    <xf numFmtId="2" fontId="42" fillId="0" borderId="96" xfId="0" applyNumberFormat="1" applyFont="1" applyBorder="1" applyAlignment="1">
      <alignment horizontal="center" vertical="center"/>
    </xf>
    <xf numFmtId="0" fontId="4" fillId="0" borderId="96" xfId="0" applyFont="1" applyBorder="1" applyAlignment="1">
      <alignment horizontal="center" vertical="center"/>
    </xf>
    <xf numFmtId="0" fontId="4" fillId="0" borderId="96" xfId="0" applyFont="1" applyBorder="1" applyAlignment="1">
      <alignment vertical="center"/>
    </xf>
    <xf numFmtId="0" fontId="3" fillId="27" borderId="98" xfId="0" applyFont="1" applyFill="1" applyBorder="1" applyAlignment="1">
      <alignment horizontal="left" vertical="center"/>
    </xf>
    <xf numFmtId="0" fontId="3" fillId="27" borderId="99" xfId="0" applyFont="1" applyFill="1" applyBorder="1" applyAlignment="1">
      <alignment horizontal="center" vertical="center"/>
    </xf>
    <xf numFmtId="0" fontId="4" fillId="0" borderId="108" xfId="0" applyFont="1" applyBorder="1" applyAlignment="1">
      <alignment horizontal="center" vertical="center"/>
    </xf>
    <xf numFmtId="0" fontId="4" fillId="2" borderId="108" xfId="0" applyFont="1" applyFill="1" applyBorder="1" applyAlignment="1">
      <alignment horizontal="center" vertical="center"/>
    </xf>
    <xf numFmtId="0" fontId="44" fillId="28" borderId="96" xfId="0" applyFont="1" applyFill="1" applyBorder="1" applyAlignment="1">
      <alignment horizontal="center" vertical="center" wrapText="1"/>
    </xf>
    <xf numFmtId="0" fontId="4" fillId="27" borderId="99" xfId="0" applyFont="1" applyFill="1" applyBorder="1" applyAlignment="1">
      <alignment vertical="center"/>
    </xf>
    <xf numFmtId="0" fontId="3" fillId="0" borderId="108" xfId="0" applyFont="1" applyBorder="1" applyAlignment="1">
      <alignment horizontal="center" vertical="center"/>
    </xf>
    <xf numFmtId="0" fontId="44" fillId="29" borderId="95" xfId="0" applyFont="1" applyFill="1" applyBorder="1" applyAlignment="1">
      <alignment horizontal="center" vertical="center" wrapText="1"/>
    </xf>
    <xf numFmtId="0" fontId="44" fillId="28" borderId="95" xfId="0" applyFont="1" applyFill="1" applyBorder="1" applyAlignment="1">
      <alignment horizontal="center" vertical="center" wrapText="1"/>
    </xf>
    <xf numFmtId="0" fontId="39" fillId="31" borderId="96" xfId="0" applyFont="1" applyFill="1" applyBorder="1" applyAlignment="1">
      <alignment horizontal="center" vertical="center"/>
    </xf>
    <xf numFmtId="0" fontId="4" fillId="2" borderId="95" xfId="0" applyFont="1" applyFill="1" applyBorder="1" applyAlignment="1">
      <alignment horizontal="center" vertical="center"/>
    </xf>
    <xf numFmtId="0" fontId="44" fillId="34" borderId="95" xfId="0" applyFont="1" applyFill="1" applyBorder="1" applyAlignment="1">
      <alignment horizontal="center" vertical="center"/>
    </xf>
    <xf numFmtId="0" fontId="3" fillId="27" borderId="105" xfId="0" applyFont="1" applyFill="1" applyBorder="1" applyAlignment="1">
      <alignment horizontal="center" vertical="center" wrapText="1"/>
    </xf>
    <xf numFmtId="0" fontId="35" fillId="28" borderId="96" xfId="0" applyFont="1" applyFill="1" applyBorder="1" applyAlignment="1">
      <alignment horizontal="center" vertical="center" wrapText="1"/>
    </xf>
    <xf numFmtId="0" fontId="39" fillId="31" borderId="110" xfId="0" applyFont="1" applyFill="1" applyBorder="1" applyAlignment="1">
      <alignment horizontal="center" vertical="center"/>
    </xf>
    <xf numFmtId="0" fontId="42" fillId="31" borderId="111" xfId="0" applyFont="1" applyFill="1" applyBorder="1" applyAlignment="1">
      <alignment horizontal="center" vertical="center"/>
    </xf>
    <xf numFmtId="2" fontId="42" fillId="31" borderId="111" xfId="0" applyNumberFormat="1" applyFont="1" applyFill="1" applyBorder="1" applyAlignment="1">
      <alignment horizontal="center" vertical="center"/>
    </xf>
    <xf numFmtId="0" fontId="39" fillId="31" borderId="112" xfId="0" applyFont="1" applyFill="1" applyBorder="1" applyAlignment="1">
      <alignment horizontal="center" vertical="center" wrapText="1"/>
    </xf>
    <xf numFmtId="0" fontId="35" fillId="29" borderId="96" xfId="0" applyFont="1" applyFill="1" applyBorder="1" applyAlignment="1">
      <alignment horizontal="center" vertical="center" wrapText="1"/>
    </xf>
    <xf numFmtId="0" fontId="3" fillId="27" borderId="111" xfId="0" applyFont="1" applyFill="1" applyBorder="1" applyAlignment="1">
      <alignment horizontal="center" vertical="center" wrapText="1"/>
    </xf>
    <xf numFmtId="0" fontId="39" fillId="31" borderId="114" xfId="0" applyFont="1" applyFill="1" applyBorder="1" applyAlignment="1">
      <alignment horizontal="center" vertical="center"/>
    </xf>
    <xf numFmtId="0" fontId="42" fillId="31" borderId="115" xfId="0" applyFont="1" applyFill="1" applyBorder="1" applyAlignment="1">
      <alignment horizontal="center" vertical="center"/>
    </xf>
    <xf numFmtId="2" fontId="42" fillId="31" borderId="115" xfId="0" applyNumberFormat="1" applyFont="1" applyFill="1" applyBorder="1" applyAlignment="1">
      <alignment horizontal="center" vertical="center"/>
    </xf>
    <xf numFmtId="0" fontId="39" fillId="31" borderId="116" xfId="0" applyFont="1" applyFill="1" applyBorder="1" applyAlignment="1">
      <alignment horizontal="center" vertical="center" wrapText="1"/>
    </xf>
    <xf numFmtId="0" fontId="66" fillId="38" borderId="96" xfId="0" applyFont="1" applyFill="1" applyBorder="1" applyAlignment="1">
      <alignment horizontal="center" vertical="center" wrapText="1"/>
    </xf>
    <xf numFmtId="0" fontId="66" fillId="38" borderId="96" xfId="0" applyFont="1" applyFill="1" applyBorder="1" applyAlignment="1">
      <alignment horizontal="left" vertical="center" wrapText="1"/>
    </xf>
    <xf numFmtId="0" fontId="66" fillId="31" borderId="96" xfId="0" applyFont="1" applyFill="1" applyBorder="1" applyAlignment="1">
      <alignment horizontal="center" vertical="center" wrapText="1"/>
    </xf>
    <xf numFmtId="0" fontId="66" fillId="37" borderId="96" xfId="0" applyFont="1" applyFill="1" applyBorder="1" applyAlignment="1">
      <alignment horizontal="center" vertical="center" wrapText="1"/>
    </xf>
    <xf numFmtId="0" fontId="66" fillId="41" borderId="96" xfId="0" applyFont="1" applyFill="1" applyBorder="1" applyAlignment="1">
      <alignment horizontal="center" vertical="center" wrapText="1"/>
    </xf>
    <xf numFmtId="0" fontId="66" fillId="40" borderId="96" xfId="0" applyFont="1" applyFill="1" applyBorder="1" applyAlignment="1">
      <alignment horizontal="center" vertical="center" wrapText="1"/>
    </xf>
    <xf numFmtId="0" fontId="66" fillId="29" borderId="96" xfId="0" applyFont="1" applyFill="1" applyBorder="1" applyAlignment="1">
      <alignment horizontal="center" vertical="center" wrapText="1"/>
    </xf>
    <xf numFmtId="0" fontId="66" fillId="0" borderId="96" xfId="0" applyFont="1" applyBorder="1" applyAlignment="1">
      <alignment vertical="center"/>
    </xf>
    <xf numFmtId="0" fontId="66" fillId="39" borderId="96" xfId="0" applyFont="1" applyFill="1" applyBorder="1" applyAlignment="1">
      <alignment horizontal="center" vertical="center" wrapText="1"/>
    </xf>
    <xf numFmtId="0" fontId="66" fillId="0" borderId="96" xfId="0" applyFont="1" applyBorder="1" applyAlignment="1">
      <alignment horizontal="center" vertical="center"/>
    </xf>
    <xf numFmtId="0" fontId="66" fillId="36" borderId="96" xfId="0" applyFont="1" applyFill="1" applyBorder="1" applyAlignment="1">
      <alignment horizontal="center" vertical="center" wrapText="1"/>
    </xf>
    <xf numFmtId="0" fontId="66" fillId="33" borderId="96" xfId="0" applyFont="1" applyFill="1" applyBorder="1" applyAlignment="1">
      <alignment horizontal="center" vertical="center"/>
    </xf>
    <xf numFmtId="0" fontId="66" fillId="42" borderId="96" xfId="0" applyFont="1" applyFill="1" applyBorder="1" applyAlignment="1">
      <alignment horizontal="center" vertical="center" wrapText="1"/>
    </xf>
    <xf numFmtId="0" fontId="66" fillId="42" borderId="96" xfId="0" applyFont="1" applyFill="1" applyBorder="1" applyAlignment="1">
      <alignment horizontal="left" vertical="center"/>
    </xf>
    <xf numFmtId="0" fontId="66" fillId="42" borderId="96" xfId="0" applyFont="1" applyFill="1" applyBorder="1" applyAlignment="1">
      <alignment vertical="center"/>
    </xf>
    <xf numFmtId="0" fontId="66" fillId="42" borderId="96" xfId="0" applyFont="1" applyFill="1" applyBorder="1" applyAlignment="1">
      <alignment horizontal="center" vertical="center"/>
    </xf>
    <xf numFmtId="0" fontId="66" fillId="42" borderId="96" xfId="1" applyFont="1" applyFill="1" applyBorder="1" applyAlignment="1">
      <alignment horizontal="center" vertical="center" wrapText="1"/>
    </xf>
    <xf numFmtId="0" fontId="66" fillId="42" borderId="96" xfId="1" applyFont="1" applyFill="1" applyBorder="1" applyAlignment="1">
      <alignment horizontal="left" vertical="center" wrapText="1"/>
    </xf>
    <xf numFmtId="0" fontId="66" fillId="29" borderId="96" xfId="1" applyFont="1" applyFill="1" applyBorder="1" applyAlignment="1">
      <alignment horizontal="left" vertical="center"/>
    </xf>
    <xf numFmtId="0" fontId="65" fillId="29" borderId="96" xfId="1" applyFont="1" applyFill="1" applyBorder="1" applyAlignment="1">
      <alignment horizontal="center" vertical="center" wrapText="1"/>
    </xf>
    <xf numFmtId="0" fontId="65" fillId="29" borderId="96" xfId="1" applyFont="1" applyFill="1" applyBorder="1" applyAlignment="1">
      <alignment horizontal="left" vertical="center" wrapText="1"/>
    </xf>
    <xf numFmtId="0" fontId="65" fillId="29" borderId="96" xfId="0" applyFont="1" applyFill="1" applyBorder="1" applyAlignment="1">
      <alignment horizontal="center" vertical="center"/>
    </xf>
    <xf numFmtId="0" fontId="65" fillId="29" borderId="96" xfId="0" applyFont="1" applyFill="1" applyBorder="1" applyAlignment="1">
      <alignment vertical="center"/>
    </xf>
    <xf numFmtId="0" fontId="66" fillId="29" borderId="96" xfId="0" applyFont="1" applyFill="1" applyBorder="1" applyAlignment="1">
      <alignment horizontal="center" vertical="center"/>
    </xf>
    <xf numFmtId="0" fontId="65" fillId="0" borderId="96" xfId="0" applyFont="1" applyBorder="1" applyAlignment="1">
      <alignment horizontal="center" vertical="center"/>
    </xf>
    <xf numFmtId="0" fontId="65" fillId="0" borderId="96" xfId="0" applyFont="1" applyBorder="1" applyAlignment="1">
      <alignment horizontal="left" vertical="center"/>
    </xf>
    <xf numFmtId="0" fontId="65" fillId="0" borderId="96" xfId="0" applyFont="1" applyBorder="1" applyAlignment="1">
      <alignment vertical="center"/>
    </xf>
    <xf numFmtId="0" fontId="65" fillId="3" borderId="96" xfId="0" applyFont="1" applyFill="1" applyBorder="1" applyAlignment="1">
      <alignment horizontal="center" vertical="center"/>
    </xf>
    <xf numFmtId="0" fontId="66" fillId="3" borderId="96" xfId="0" applyFont="1" applyFill="1" applyBorder="1" applyAlignment="1">
      <alignment horizontal="center" vertical="center"/>
    </xf>
    <xf numFmtId="0" fontId="65" fillId="35" borderId="96" xfId="0" applyFont="1" applyFill="1" applyBorder="1" applyAlignment="1">
      <alignment horizontal="center" vertical="center"/>
    </xf>
    <xf numFmtId="164" fontId="65" fillId="0" borderId="96" xfId="0" applyNumberFormat="1" applyFont="1" applyBorder="1" applyAlignment="1">
      <alignment horizontal="center" vertical="center"/>
    </xf>
    <xf numFmtId="0" fontId="66" fillId="0" borderId="96" xfId="0" applyFont="1" applyBorder="1" applyAlignment="1">
      <alignment horizontal="center" vertical="top"/>
    </xf>
    <xf numFmtId="0" fontId="66" fillId="0" borderId="96" xfId="1" applyFont="1" applyBorder="1" applyAlignment="1">
      <alignment horizontal="center" vertical="center" wrapText="1"/>
    </xf>
    <xf numFmtId="0" fontId="66" fillId="35" borderId="96" xfId="0" applyFont="1" applyFill="1" applyBorder="1" applyAlignment="1">
      <alignment vertical="center" wrapText="1"/>
    </xf>
    <xf numFmtId="0" fontId="66" fillId="35" borderId="96" xfId="0" applyFont="1" applyFill="1" applyBorder="1" applyAlignment="1">
      <alignment horizontal="center" vertical="center" wrapText="1"/>
    </xf>
    <xf numFmtId="1" fontId="66" fillId="0" borderId="96" xfId="0" applyNumberFormat="1" applyFont="1" applyBorder="1" applyAlignment="1">
      <alignment horizontal="center" vertical="center"/>
    </xf>
    <xf numFmtId="0" fontId="66" fillId="0" borderId="96" xfId="0" applyFont="1" applyBorder="1" applyAlignment="1">
      <alignment horizontal="left" vertical="center"/>
    </xf>
    <xf numFmtId="0" fontId="1" fillId="0" borderId="96" xfId="0" quotePrefix="1" applyFont="1" applyBorder="1" applyAlignment="1">
      <alignment horizontal="center" vertical="center" wrapText="1"/>
    </xf>
    <xf numFmtId="0" fontId="1" fillId="31" borderId="96" xfId="0" applyFont="1" applyFill="1" applyBorder="1" applyAlignment="1">
      <alignment horizontal="left" vertical="center" wrapText="1"/>
    </xf>
    <xf numFmtId="0" fontId="41" fillId="3" borderId="98" xfId="0" applyFont="1" applyFill="1" applyBorder="1" applyAlignment="1">
      <alignment horizontal="center" vertical="center"/>
    </xf>
    <xf numFmtId="0" fontId="36" fillId="29" borderId="96" xfId="0" applyFont="1" applyFill="1" applyBorder="1" applyAlignment="1">
      <alignment horizontal="left" vertical="center"/>
    </xf>
    <xf numFmtId="2" fontId="0" fillId="0" borderId="96" xfId="0" applyNumberFormat="1" applyBorder="1" applyAlignment="1">
      <alignment horizontal="center" vertical="center"/>
    </xf>
    <xf numFmtId="0" fontId="0" fillId="0" borderId="96" xfId="0" applyBorder="1" applyAlignment="1">
      <alignment horizontal="center" vertical="center"/>
    </xf>
    <xf numFmtId="0" fontId="36" fillId="49" borderId="98" xfId="0" applyFont="1" applyFill="1" applyBorder="1" applyAlignment="1">
      <alignment horizontal="center" vertical="center"/>
    </xf>
    <xf numFmtId="0" fontId="0" fillId="49" borderId="99" xfId="0" applyFill="1" applyBorder="1" applyAlignment="1">
      <alignment horizontal="center" vertical="center"/>
    </xf>
    <xf numFmtId="0" fontId="50" fillId="49" borderId="99" xfId="0" applyFont="1" applyFill="1" applyBorder="1" applyAlignment="1">
      <alignment horizontal="center" vertical="center"/>
    </xf>
    <xf numFmtId="0" fontId="0" fillId="49" borderId="97" xfId="0" applyFill="1" applyBorder="1" applyAlignment="1">
      <alignment horizontal="center" vertical="center"/>
    </xf>
    <xf numFmtId="169" fontId="36" fillId="31" borderId="96" xfId="0" applyNumberFormat="1" applyFont="1" applyFill="1" applyBorder="1" applyAlignment="1">
      <alignment horizontal="center" vertical="center" wrapText="1"/>
    </xf>
    <xf numFmtId="169" fontId="36" fillId="3" borderId="96" xfId="0" applyNumberFormat="1" applyFont="1" applyFill="1" applyBorder="1" applyAlignment="1">
      <alignment horizontal="center" vertical="center" wrapText="1"/>
    </xf>
    <xf numFmtId="0" fontId="30" fillId="0" borderId="96" xfId="0" applyFont="1" applyBorder="1" applyAlignment="1">
      <alignment horizontal="center" vertical="center"/>
    </xf>
    <xf numFmtId="0" fontId="30" fillId="0" borderId="96" xfId="0" applyFont="1" applyBorder="1" applyAlignment="1">
      <alignment vertical="center"/>
    </xf>
    <xf numFmtId="0" fontId="30" fillId="0" borderId="96" xfId="0" applyFont="1" applyBorder="1" applyAlignment="1">
      <alignment vertical="center" wrapText="1"/>
    </xf>
    <xf numFmtId="0" fontId="30" fillId="0" borderId="96" xfId="0" applyFont="1" applyBorder="1" applyAlignment="1">
      <alignment horizontal="center" vertical="center" wrapText="1"/>
    </xf>
    <xf numFmtId="0" fontId="0" fillId="0" borderId="96" xfId="0" applyBorder="1" applyAlignment="1">
      <alignment vertical="center"/>
    </xf>
    <xf numFmtId="166" fontId="0" fillId="0" borderId="96" xfId="0" applyNumberFormat="1" applyBorder="1" applyAlignment="1">
      <alignment horizontal="center" vertical="center"/>
    </xf>
    <xf numFmtId="166" fontId="1" fillId="31" borderId="96" xfId="0" applyNumberFormat="1" applyFont="1" applyFill="1" applyBorder="1" applyAlignment="1">
      <alignment horizontal="center" vertical="center"/>
    </xf>
    <xf numFmtId="0" fontId="1" fillId="43" borderId="98" xfId="0" applyFont="1" applyFill="1" applyBorder="1" applyAlignment="1">
      <alignment horizontal="center" vertical="center" wrapText="1"/>
    </xf>
    <xf numFmtId="0" fontId="0" fillId="35" borderId="96" xfId="0" quotePrefix="1" applyFill="1" applyBorder="1" applyAlignment="1">
      <alignment horizontal="center" vertical="center" wrapText="1"/>
    </xf>
    <xf numFmtId="0" fontId="61" fillId="35" borderId="96" xfId="0" quotePrefix="1" applyFont="1" applyFill="1" applyBorder="1" applyAlignment="1">
      <alignment horizontal="center" vertical="center" wrapText="1"/>
    </xf>
    <xf numFmtId="0" fontId="0" fillId="0" borderId="96" xfId="0" quotePrefix="1" applyBorder="1" applyAlignment="1">
      <alignment horizontal="center" vertical="center"/>
    </xf>
    <xf numFmtId="0" fontId="36" fillId="3" borderId="96" xfId="0" applyFont="1" applyFill="1" applyBorder="1" applyAlignment="1">
      <alignment horizontal="center" vertical="center" wrapText="1"/>
    </xf>
    <xf numFmtId="0" fontId="43" fillId="3" borderId="96" xfId="0" applyFont="1" applyFill="1" applyBorder="1" applyAlignment="1">
      <alignment horizontal="center" vertical="center" wrapText="1"/>
    </xf>
    <xf numFmtId="166" fontId="61" fillId="3" borderId="96" xfId="1" applyNumberFormat="1" applyFont="1" applyFill="1" applyBorder="1" applyAlignment="1">
      <alignment horizontal="center" vertical="center"/>
    </xf>
    <xf numFmtId="166" fontId="0" fillId="3" borderId="96" xfId="1" applyNumberFormat="1" applyFont="1" applyFill="1" applyBorder="1" applyAlignment="1">
      <alignment horizontal="center" vertical="center"/>
    </xf>
    <xf numFmtId="0" fontId="1" fillId="3" borderId="97" xfId="0" applyFont="1" applyFill="1" applyBorder="1" applyAlignment="1">
      <alignment horizontal="center" vertical="center" wrapText="1"/>
    </xf>
    <xf numFmtId="2" fontId="1" fillId="31" borderId="96" xfId="0" applyNumberFormat="1" applyFont="1" applyFill="1" applyBorder="1" applyAlignment="1">
      <alignment horizontal="center" vertical="center" wrapText="1"/>
    </xf>
    <xf numFmtId="166" fontId="1" fillId="31" borderId="96" xfId="51" applyNumberFormat="1" applyFont="1" applyFill="1" applyBorder="1" applyAlignment="1">
      <alignment horizontal="center" vertical="center"/>
    </xf>
    <xf numFmtId="0" fontId="1" fillId="31" borderId="98" xfId="0" applyFont="1" applyFill="1" applyBorder="1" applyAlignment="1">
      <alignment horizontal="center" vertical="center"/>
    </xf>
    <xf numFmtId="0" fontId="28" fillId="31" borderId="0" xfId="0" applyFont="1" applyFill="1" applyAlignment="1">
      <alignment horizontal="center" vertical="center"/>
    </xf>
    <xf numFmtId="0" fontId="59" fillId="31" borderId="96" xfId="0" applyFont="1" applyFill="1" applyBorder="1" applyAlignment="1">
      <alignment horizontal="center" vertical="center" wrapText="1"/>
    </xf>
    <xf numFmtId="0" fontId="59" fillId="31" borderId="96" xfId="0" quotePrefix="1" applyFont="1" applyFill="1" applyBorder="1" applyAlignment="1">
      <alignment horizontal="center" vertical="center"/>
    </xf>
    <xf numFmtId="0" fontId="59" fillId="31" borderId="96" xfId="0" applyFont="1" applyFill="1" applyBorder="1" applyAlignment="1">
      <alignment horizontal="left" vertical="center" wrapText="1"/>
    </xf>
    <xf numFmtId="0" fontId="59" fillId="31" borderId="96" xfId="0" quotePrefix="1" applyFont="1" applyFill="1" applyBorder="1" applyAlignment="1">
      <alignment horizontal="left" vertical="center" wrapText="1"/>
    </xf>
    <xf numFmtId="2" fontId="59" fillId="31" borderId="96" xfId="0" applyNumberFormat="1" applyFont="1" applyFill="1" applyBorder="1" applyAlignment="1">
      <alignment horizontal="center" vertical="center" wrapText="1"/>
    </xf>
    <xf numFmtId="1" fontId="59" fillId="31" borderId="96" xfId="0" applyNumberFormat="1" applyFont="1" applyFill="1" applyBorder="1" applyAlignment="1">
      <alignment horizontal="center" vertical="center"/>
    </xf>
    <xf numFmtId="0" fontId="59" fillId="31" borderId="96" xfId="0" applyFont="1" applyFill="1" applyBorder="1" applyAlignment="1">
      <alignment horizontal="center" vertical="center"/>
    </xf>
    <xf numFmtId="2" fontId="59" fillId="31" borderId="96" xfId="0" applyNumberFormat="1" applyFont="1" applyFill="1" applyBorder="1" applyAlignment="1">
      <alignment horizontal="center" vertical="center"/>
    </xf>
    <xf numFmtId="2" fontId="59" fillId="31" borderId="96" xfId="1" applyNumberFormat="1" applyFont="1" applyFill="1" applyBorder="1" applyAlignment="1">
      <alignment horizontal="center" vertical="center"/>
    </xf>
    <xf numFmtId="0" fontId="59" fillId="31" borderId="96" xfId="1" applyFont="1" applyFill="1" applyBorder="1" applyAlignment="1">
      <alignment horizontal="center" vertical="center"/>
    </xf>
    <xf numFmtId="165" fontId="59" fillId="31" borderId="96" xfId="1" applyNumberFormat="1" applyFont="1" applyFill="1" applyBorder="1" applyAlignment="1">
      <alignment horizontal="center" vertical="center"/>
    </xf>
    <xf numFmtId="166" fontId="59" fillId="31" borderId="96" xfId="51" applyNumberFormat="1" applyFont="1" applyFill="1" applyBorder="1" applyAlignment="1">
      <alignment horizontal="center" vertical="center"/>
    </xf>
    <xf numFmtId="164" fontId="59" fillId="31" borderId="96" xfId="0" applyNumberFormat="1" applyFont="1" applyFill="1" applyBorder="1" applyAlignment="1">
      <alignment horizontal="center" vertical="center"/>
    </xf>
    <xf numFmtId="164" fontId="59" fillId="31" borderId="98" xfId="0" applyNumberFormat="1" applyFont="1" applyFill="1" applyBorder="1" applyAlignment="1">
      <alignment horizontal="center" vertical="center"/>
    </xf>
    <xf numFmtId="0" fontId="59" fillId="31" borderId="98" xfId="0" applyFont="1" applyFill="1" applyBorder="1" applyAlignment="1">
      <alignment horizontal="center" vertical="center"/>
    </xf>
    <xf numFmtId="0" fontId="63" fillId="31" borderId="0" xfId="0" applyFont="1" applyFill="1" applyAlignment="1">
      <alignment horizontal="center" vertical="center"/>
    </xf>
    <xf numFmtId="2" fontId="1" fillId="31" borderId="96" xfId="0" applyNumberFormat="1" applyFont="1" applyFill="1" applyBorder="1" applyAlignment="1">
      <alignment horizontal="left" vertical="center" wrapText="1"/>
    </xf>
    <xf numFmtId="1" fontId="38" fillId="31" borderId="96" xfId="0" applyNumberFormat="1" applyFont="1" applyFill="1" applyBorder="1" applyAlignment="1">
      <alignment horizontal="center" vertical="center"/>
    </xf>
    <xf numFmtId="0" fontId="1" fillId="31" borderId="96" xfId="0" quotePrefix="1" applyFont="1" applyFill="1" applyBorder="1" applyAlignment="1">
      <alignment horizontal="left" vertical="center"/>
    </xf>
    <xf numFmtId="0" fontId="1" fillId="31" borderId="96" xfId="64" applyFont="1" applyFill="1" applyBorder="1" applyAlignment="1">
      <alignment horizontal="center" vertical="center" wrapText="1"/>
    </xf>
    <xf numFmtId="0" fontId="1" fillId="31" borderId="96" xfId="64" applyFont="1" applyFill="1" applyBorder="1" applyAlignment="1">
      <alignment horizontal="left" vertical="center" wrapText="1"/>
    </xf>
    <xf numFmtId="166" fontId="1" fillId="31" borderId="96" xfId="1" applyNumberFormat="1" applyFill="1" applyBorder="1" applyAlignment="1">
      <alignment horizontal="center" vertical="center"/>
    </xf>
    <xf numFmtId="0" fontId="1" fillId="31" borderId="96" xfId="0" quotePrefix="1" applyFont="1" applyFill="1" applyBorder="1" applyAlignment="1">
      <alignment horizontal="center" vertical="center"/>
    </xf>
    <xf numFmtId="0" fontId="1" fillId="31" borderId="98" xfId="0" quotePrefix="1" applyFont="1" applyFill="1" applyBorder="1" applyAlignment="1">
      <alignment horizontal="center" vertical="center"/>
    </xf>
    <xf numFmtId="0" fontId="59" fillId="31" borderId="96" xfId="0" applyFont="1" applyFill="1" applyBorder="1" applyAlignment="1">
      <alignment vertical="center"/>
    </xf>
    <xf numFmtId="166" fontId="59" fillId="31" borderId="96" xfId="1" applyNumberFormat="1" applyFont="1" applyFill="1" applyBorder="1" applyAlignment="1">
      <alignment horizontal="center" vertical="center"/>
    </xf>
    <xf numFmtId="0" fontId="1" fillId="31" borderId="96" xfId="0" applyFont="1" applyFill="1" applyBorder="1" applyAlignment="1">
      <alignment horizontal="left" vertical="center"/>
    </xf>
    <xf numFmtId="0" fontId="59" fillId="31" borderId="96" xfId="0" applyFont="1" applyFill="1" applyBorder="1" applyAlignment="1">
      <alignment horizontal="left" vertical="center"/>
    </xf>
    <xf numFmtId="0" fontId="59" fillId="31" borderId="96" xfId="0" quotePrefix="1" applyFont="1" applyFill="1" applyBorder="1" applyAlignment="1">
      <alignment horizontal="center" vertical="center" wrapText="1"/>
    </xf>
    <xf numFmtId="2" fontId="1" fillId="3" borderId="99" xfId="1" applyNumberFormat="1" applyFill="1" applyBorder="1" applyAlignment="1">
      <alignment horizontal="center" vertical="center"/>
    </xf>
    <xf numFmtId="0" fontId="28" fillId="29" borderId="0" xfId="0" applyFont="1" applyFill="1" applyAlignment="1">
      <alignment horizontal="center" vertical="center"/>
    </xf>
    <xf numFmtId="0" fontId="1" fillId="44" borderId="96" xfId="0" applyFont="1" applyFill="1" applyBorder="1" applyAlignment="1">
      <alignment horizontal="center" vertical="center"/>
    </xf>
    <xf numFmtId="2" fontId="1" fillId="44" borderId="96" xfId="0" applyNumberFormat="1" applyFont="1" applyFill="1" applyBorder="1" applyAlignment="1">
      <alignment horizontal="center" vertical="center"/>
    </xf>
    <xf numFmtId="0" fontId="71" fillId="43" borderId="96" xfId="0" applyFont="1" applyFill="1" applyBorder="1" applyAlignment="1">
      <alignment horizontal="center" vertical="center"/>
    </xf>
    <xf numFmtId="166" fontId="71" fillId="43" borderId="96" xfId="1" applyNumberFormat="1" applyFont="1" applyFill="1" applyBorder="1" applyAlignment="1">
      <alignment horizontal="center" vertical="center"/>
    </xf>
    <xf numFmtId="0" fontId="47" fillId="30" borderId="64" xfId="0" applyFont="1" applyFill="1" applyBorder="1" applyAlignment="1">
      <alignment horizontal="center" vertical="center" wrapText="1"/>
    </xf>
    <xf numFmtId="0" fontId="47" fillId="30" borderId="65" xfId="0" applyFont="1" applyFill="1" applyBorder="1" applyAlignment="1">
      <alignment horizontal="center" vertical="center" wrapText="1"/>
    </xf>
    <xf numFmtId="0" fontId="47" fillId="30" borderId="66" xfId="0" applyFont="1" applyFill="1" applyBorder="1" applyAlignment="1">
      <alignment horizontal="center" vertical="center" wrapText="1"/>
    </xf>
    <xf numFmtId="0" fontId="36" fillId="31" borderId="82" xfId="0" applyFont="1" applyFill="1" applyBorder="1" applyAlignment="1">
      <alignment horizontal="center" vertical="center" wrapText="1"/>
    </xf>
    <xf numFmtId="0" fontId="36" fillId="31" borderId="0" xfId="0" applyFont="1" applyFill="1" applyAlignment="1">
      <alignment horizontal="center" vertical="center" wrapText="1"/>
    </xf>
    <xf numFmtId="0" fontId="36" fillId="3" borderId="78" xfId="0" applyFont="1" applyFill="1" applyBorder="1" applyAlignment="1">
      <alignment horizontal="left" vertical="center" wrapText="1"/>
    </xf>
    <xf numFmtId="169" fontId="36" fillId="36" borderId="79" xfId="0" applyNumberFormat="1" applyFont="1" applyFill="1" applyBorder="1" applyAlignment="1">
      <alignment horizontal="center" vertical="center" wrapText="1"/>
    </xf>
    <xf numFmtId="169" fontId="36" fillId="36" borderId="31" xfId="0" applyNumberFormat="1" applyFont="1" applyFill="1" applyBorder="1" applyAlignment="1">
      <alignment horizontal="center" vertical="center" wrapText="1"/>
    </xf>
    <xf numFmtId="169" fontId="36" fillId="36" borderId="1" xfId="0" applyNumberFormat="1" applyFont="1" applyFill="1" applyBorder="1" applyAlignment="1">
      <alignment horizontal="center" vertical="center" wrapText="1"/>
    </xf>
    <xf numFmtId="169" fontId="36" fillId="48" borderId="79" xfId="0" applyNumberFormat="1" applyFont="1" applyFill="1" applyBorder="1" applyAlignment="1">
      <alignment horizontal="center" vertical="center" wrapText="1"/>
    </xf>
    <xf numFmtId="169" fontId="36" fillId="48" borderId="31" xfId="0" applyNumberFormat="1" applyFont="1" applyFill="1" applyBorder="1" applyAlignment="1">
      <alignment horizontal="center" vertical="center" wrapText="1"/>
    </xf>
    <xf numFmtId="169" fontId="36" fillId="48" borderId="1" xfId="0" applyNumberFormat="1" applyFont="1" applyFill="1" applyBorder="1" applyAlignment="1">
      <alignment horizontal="center" vertical="center" wrapText="1"/>
    </xf>
    <xf numFmtId="0" fontId="36" fillId="48" borderId="79" xfId="0" applyFont="1" applyFill="1" applyBorder="1" applyAlignment="1">
      <alignment horizontal="center" vertical="center" wrapText="1"/>
    </xf>
    <xf numFmtId="0" fontId="36" fillId="48" borderId="31" xfId="0" applyFont="1" applyFill="1" applyBorder="1" applyAlignment="1">
      <alignment horizontal="center" vertical="center" wrapText="1"/>
    </xf>
    <xf numFmtId="0" fontId="36" fillId="48" borderId="1" xfId="0" applyFont="1" applyFill="1" applyBorder="1" applyAlignment="1">
      <alignment horizontal="center" vertical="center" wrapText="1"/>
    </xf>
    <xf numFmtId="0" fontId="36" fillId="36" borderId="79" xfId="0" applyFont="1" applyFill="1" applyBorder="1" applyAlignment="1">
      <alignment horizontal="center" vertical="center" wrapText="1"/>
    </xf>
    <xf numFmtId="0" fontId="36" fillId="36" borderId="31" xfId="0" applyFont="1" applyFill="1" applyBorder="1" applyAlignment="1">
      <alignment horizontal="center" vertical="center" wrapText="1"/>
    </xf>
    <xf numFmtId="0" fontId="36" fillId="36" borderId="1" xfId="0" applyFont="1" applyFill="1" applyBorder="1" applyAlignment="1">
      <alignment horizontal="center" vertical="center" wrapText="1"/>
    </xf>
    <xf numFmtId="169" fontId="36" fillId="0" borderId="79" xfId="0" applyNumberFormat="1" applyFont="1" applyBorder="1" applyAlignment="1">
      <alignment horizontal="center" vertical="center" wrapText="1"/>
    </xf>
    <xf numFmtId="169" fontId="36" fillId="0" borderId="1" xfId="0" applyNumberFormat="1" applyFont="1" applyBorder="1" applyAlignment="1">
      <alignment horizontal="center" vertical="center" wrapText="1"/>
    </xf>
    <xf numFmtId="0" fontId="3" fillId="31" borderId="72" xfId="0" applyFont="1" applyFill="1" applyBorder="1" applyAlignment="1">
      <alignment horizontal="center" vertical="center"/>
    </xf>
    <xf numFmtId="0" fontId="3" fillId="31" borderId="23" xfId="0" applyFont="1" applyFill="1" applyBorder="1" applyAlignment="1">
      <alignment horizontal="center" vertical="center"/>
    </xf>
    <xf numFmtId="0" fontId="3" fillId="27" borderId="100" xfId="0" applyFont="1" applyFill="1" applyBorder="1" applyAlignment="1">
      <alignment horizontal="center" vertical="center"/>
    </xf>
    <xf numFmtId="0" fontId="3" fillId="27" borderId="22" xfId="0" applyFont="1" applyFill="1" applyBorder="1" applyAlignment="1">
      <alignment horizontal="center" vertical="center"/>
    </xf>
    <xf numFmtId="0" fontId="3" fillId="27" borderId="24" xfId="0" applyFont="1" applyFill="1" applyBorder="1" applyAlignment="1">
      <alignment horizontal="center" vertical="center"/>
    </xf>
    <xf numFmtId="0" fontId="3" fillId="27" borderId="77" xfId="0" applyFont="1" applyFill="1" applyBorder="1" applyAlignment="1">
      <alignment horizontal="center" vertical="center"/>
    </xf>
    <xf numFmtId="0" fontId="3" fillId="27" borderId="79" xfId="0" applyFont="1" applyFill="1" applyBorder="1" applyAlignment="1">
      <alignment horizontal="center" vertical="center"/>
    </xf>
    <xf numFmtId="0" fontId="3" fillId="27" borderId="77" xfId="0" applyFont="1" applyFill="1" applyBorder="1" applyAlignment="1">
      <alignment horizontal="center" vertical="center" wrapText="1"/>
    </xf>
    <xf numFmtId="0" fontId="3" fillId="27" borderId="79" xfId="0" applyFont="1" applyFill="1" applyBorder="1" applyAlignment="1">
      <alignment horizontal="center" vertical="center" wrapText="1"/>
    </xf>
    <xf numFmtId="0" fontId="3" fillId="27" borderId="73" xfId="0" applyFont="1" applyFill="1" applyBorder="1" applyAlignment="1">
      <alignment horizontal="center" vertical="center" wrapText="1"/>
    </xf>
    <xf numFmtId="0" fontId="3" fillId="27" borderId="74" xfId="0" applyFont="1" applyFill="1" applyBorder="1" applyAlignment="1">
      <alignment horizontal="center" vertical="center" wrapText="1"/>
    </xf>
    <xf numFmtId="0" fontId="3" fillId="27" borderId="80" xfId="0" applyFont="1" applyFill="1" applyBorder="1" applyAlignment="1">
      <alignment horizontal="center" vertical="center" wrapText="1"/>
    </xf>
    <xf numFmtId="0" fontId="3" fillId="27" borderId="89" xfId="0" applyFont="1" applyFill="1" applyBorder="1" applyAlignment="1">
      <alignment horizontal="center" vertical="center" wrapText="1"/>
    </xf>
    <xf numFmtId="0" fontId="3" fillId="27" borderId="91" xfId="0" applyFont="1" applyFill="1" applyBorder="1" applyAlignment="1">
      <alignment horizontal="center" vertical="center" wrapText="1"/>
    </xf>
    <xf numFmtId="0" fontId="3" fillId="27" borderId="81" xfId="0" applyFont="1" applyFill="1" applyBorder="1" applyAlignment="1">
      <alignment horizontal="center" vertical="center"/>
    </xf>
    <xf numFmtId="0" fontId="31" fillId="27" borderId="14" xfId="0" applyFont="1" applyFill="1" applyBorder="1" applyAlignment="1">
      <alignment horizontal="left" vertical="center"/>
    </xf>
    <xf numFmtId="0" fontId="31" fillId="27" borderId="15" xfId="0" applyFont="1" applyFill="1" applyBorder="1" applyAlignment="1">
      <alignment horizontal="left" vertical="center"/>
    </xf>
    <xf numFmtId="0" fontId="31" fillId="27" borderId="16" xfId="0" applyFont="1" applyFill="1" applyBorder="1" applyAlignment="1">
      <alignment horizontal="left" vertical="center"/>
    </xf>
    <xf numFmtId="0" fontId="3" fillId="27" borderId="1" xfId="0" applyFont="1" applyFill="1" applyBorder="1" applyAlignment="1">
      <alignment horizontal="center" vertical="center" wrapText="1"/>
    </xf>
    <xf numFmtId="0" fontId="45" fillId="0" borderId="0" xfId="0" applyFont="1" applyAlignment="1">
      <alignment horizontal="center" vertical="center" wrapText="1"/>
    </xf>
    <xf numFmtId="0" fontId="3" fillId="27" borderId="90" xfId="0" applyFont="1" applyFill="1" applyBorder="1" applyAlignment="1">
      <alignment horizontal="center" vertical="center" wrapText="1"/>
    </xf>
    <xf numFmtId="0" fontId="3" fillId="27" borderId="25" xfId="0" applyFont="1" applyFill="1" applyBorder="1" applyAlignment="1">
      <alignment horizontal="center" vertical="center" wrapText="1"/>
    </xf>
    <xf numFmtId="0" fontId="31" fillId="27" borderId="14" xfId="0" applyFont="1" applyFill="1" applyBorder="1" applyAlignment="1">
      <alignment horizontal="center" vertical="center"/>
    </xf>
    <xf numFmtId="0" fontId="31" fillId="27" borderId="15" xfId="0" applyFont="1" applyFill="1" applyBorder="1" applyAlignment="1">
      <alignment horizontal="center" vertical="center"/>
    </xf>
    <xf numFmtId="0" fontId="31" fillId="27" borderId="16" xfId="0" applyFont="1" applyFill="1" applyBorder="1" applyAlignment="1">
      <alignment horizontal="center" vertical="center"/>
    </xf>
    <xf numFmtId="0" fontId="30" fillId="27" borderId="89" xfId="0" applyFont="1" applyFill="1" applyBorder="1" applyAlignment="1">
      <alignment horizontal="center" vertical="center" wrapText="1"/>
    </xf>
    <xf numFmtId="0" fontId="6" fillId="2" borderId="0" xfId="0" applyFont="1" applyFill="1" applyAlignment="1">
      <alignment horizontal="center" vertical="center"/>
    </xf>
    <xf numFmtId="0" fontId="3" fillId="27" borderId="76" xfId="0" applyFont="1" applyFill="1" applyBorder="1" applyAlignment="1">
      <alignment horizontal="center" vertical="center" wrapText="1"/>
    </xf>
    <xf numFmtId="0" fontId="4" fillId="0" borderId="0" xfId="0" applyFont="1" applyAlignment="1">
      <alignment horizontal="center" vertical="center" wrapText="1"/>
    </xf>
    <xf numFmtId="0" fontId="3" fillId="31" borderId="81" xfId="0" applyFont="1" applyFill="1" applyBorder="1" applyAlignment="1">
      <alignment horizontal="center" vertical="center" wrapText="1"/>
    </xf>
    <xf numFmtId="0" fontId="3" fillId="31" borderId="24" xfId="0" applyFont="1" applyFill="1" applyBorder="1" applyAlignment="1">
      <alignment horizontal="center" vertical="center" wrapText="1"/>
    </xf>
    <xf numFmtId="2" fontId="36" fillId="46" borderId="98" xfId="1" applyNumberFormat="1" applyFont="1" applyFill="1" applyBorder="1" applyAlignment="1">
      <alignment horizontal="center" vertical="center"/>
    </xf>
    <xf numFmtId="2" fontId="36" fillId="46" borderId="99" xfId="1" applyNumberFormat="1" applyFont="1" applyFill="1" applyBorder="1" applyAlignment="1">
      <alignment horizontal="center" vertical="center"/>
    </xf>
    <xf numFmtId="2" fontId="1" fillId="46" borderId="98" xfId="1" applyNumberFormat="1" applyFill="1" applyBorder="1" applyAlignment="1">
      <alignment horizontal="center" vertical="center"/>
    </xf>
    <xf numFmtId="2" fontId="1" fillId="46" borderId="99" xfId="1" applyNumberFormat="1" applyFill="1" applyBorder="1" applyAlignment="1">
      <alignment horizontal="center" vertical="center"/>
    </xf>
    <xf numFmtId="0" fontId="36" fillId="30" borderId="96" xfId="0" applyFont="1" applyFill="1" applyBorder="1" applyAlignment="1">
      <alignment horizontal="center" vertical="center" wrapText="1"/>
    </xf>
    <xf numFmtId="0" fontId="28" fillId="0" borderId="0" xfId="0" applyFont="1" applyAlignment="1">
      <alignment horizontal="center" vertical="center"/>
    </xf>
    <xf numFmtId="0" fontId="28" fillId="0" borderId="0" xfId="0" applyFont="1" applyAlignment="1">
      <alignment horizontal="left" vertical="center"/>
    </xf>
    <xf numFmtId="0" fontId="43" fillId="0" borderId="0" xfId="0" applyFont="1" applyAlignment="1">
      <alignment horizontal="center" vertical="center" wrapText="1"/>
    </xf>
    <xf numFmtId="0" fontId="43" fillId="3" borderId="0" xfId="0" applyFont="1" applyFill="1" applyAlignment="1">
      <alignment horizontal="center" vertical="center" wrapText="1"/>
    </xf>
    <xf numFmtId="0" fontId="43" fillId="30" borderId="96" xfId="1" applyFont="1" applyFill="1" applyBorder="1" applyAlignment="1">
      <alignment horizontal="center" vertical="center"/>
    </xf>
    <xf numFmtId="0" fontId="43" fillId="30" borderId="96" xfId="1" applyFont="1" applyFill="1" applyBorder="1" applyAlignment="1">
      <alignment horizontal="left" vertical="center"/>
    </xf>
    <xf numFmtId="0" fontId="43" fillId="3" borderId="96" xfId="1" applyFont="1" applyFill="1" applyBorder="1" applyAlignment="1">
      <alignment horizontal="center" vertical="center"/>
    </xf>
    <xf numFmtId="0" fontId="43" fillId="30" borderId="96" xfId="0" applyFont="1" applyFill="1" applyBorder="1" applyAlignment="1">
      <alignment horizontal="center" vertical="center" wrapText="1"/>
    </xf>
    <xf numFmtId="0" fontId="36" fillId="30" borderId="96" xfId="0" applyFont="1" applyFill="1" applyBorder="1" applyAlignment="1">
      <alignment horizontal="left" vertical="center"/>
    </xf>
    <xf numFmtId="0" fontId="36" fillId="30" borderId="96" xfId="0" applyFont="1" applyFill="1" applyBorder="1" applyAlignment="1">
      <alignment horizontal="center" vertical="center"/>
    </xf>
    <xf numFmtId="0" fontId="36" fillId="3" borderId="96" xfId="0" applyFont="1" applyFill="1" applyBorder="1" applyAlignment="1">
      <alignment horizontal="center" vertical="center" wrapText="1"/>
    </xf>
    <xf numFmtId="2" fontId="36" fillId="3" borderId="99" xfId="1" applyNumberFormat="1" applyFont="1" applyFill="1" applyBorder="1" applyAlignment="1">
      <alignment horizontal="center" vertical="center"/>
    </xf>
    <xf numFmtId="2" fontId="1" fillId="3" borderId="99" xfId="1" applyNumberFormat="1" applyFill="1" applyBorder="1" applyAlignment="1">
      <alignment horizontal="center" vertical="center"/>
    </xf>
    <xf numFmtId="0" fontId="1" fillId="0" borderId="26" xfId="1" applyBorder="1" applyAlignment="1">
      <alignment horizontal="center" vertical="center"/>
    </xf>
    <xf numFmtId="0" fontId="28" fillId="0" borderId="0" xfId="1" applyFont="1" applyAlignment="1">
      <alignment horizontal="center" vertical="center"/>
    </xf>
    <xf numFmtId="0" fontId="43" fillId="0" borderId="0" xfId="1" applyFont="1" applyAlignment="1">
      <alignment horizontal="center" vertical="center" wrapText="1"/>
    </xf>
    <xf numFmtId="0" fontId="3" fillId="27" borderId="96" xfId="0" applyFont="1" applyFill="1" applyBorder="1" applyAlignment="1">
      <alignment horizontal="center" vertical="center" wrapText="1"/>
    </xf>
    <xf numFmtId="0" fontId="3" fillId="27" borderId="102" xfId="0" applyFont="1" applyFill="1" applyBorder="1" applyAlignment="1">
      <alignment horizontal="center" vertical="center" wrapText="1"/>
    </xf>
    <xf numFmtId="0" fontId="3" fillId="27" borderId="98" xfId="0" applyFont="1" applyFill="1" applyBorder="1" applyAlignment="1">
      <alignment horizontal="center" vertical="center" wrapText="1"/>
    </xf>
    <xf numFmtId="0" fontId="3" fillId="27" borderId="99" xfId="0" applyFont="1" applyFill="1" applyBorder="1" applyAlignment="1">
      <alignment horizontal="center" vertical="center" wrapText="1"/>
    </xf>
    <xf numFmtId="0" fontId="3" fillId="27" borderId="97" xfId="0" applyFont="1" applyFill="1" applyBorder="1" applyAlignment="1">
      <alignment horizontal="center" vertical="center" wrapText="1"/>
    </xf>
    <xf numFmtId="0" fontId="3" fillId="31" borderId="103" xfId="0" applyFont="1" applyFill="1" applyBorder="1" applyAlignment="1">
      <alignment horizontal="center" vertical="center" wrapText="1"/>
    </xf>
    <xf numFmtId="0" fontId="3" fillId="27" borderId="95" xfId="0" applyFont="1" applyFill="1" applyBorder="1" applyAlignment="1">
      <alignment horizontal="center" vertical="center" wrapText="1"/>
    </xf>
    <xf numFmtId="0" fontId="3" fillId="27" borderId="103" xfId="0" applyFont="1" applyFill="1" applyBorder="1" applyAlignment="1">
      <alignment horizontal="center" vertical="center"/>
    </xf>
    <xf numFmtId="0" fontId="3" fillId="27" borderId="96" xfId="0" applyFont="1" applyFill="1" applyBorder="1" applyAlignment="1">
      <alignment horizontal="center" vertical="center"/>
    </xf>
    <xf numFmtId="0" fontId="3" fillId="27" borderId="102" xfId="0" applyFont="1" applyFill="1" applyBorder="1" applyAlignment="1">
      <alignment horizontal="center" vertical="center"/>
    </xf>
    <xf numFmtId="0" fontId="30" fillId="27" borderId="96" xfId="0" applyFont="1" applyFill="1" applyBorder="1" applyAlignment="1">
      <alignment horizontal="center" vertical="center" wrapText="1"/>
    </xf>
    <xf numFmtId="0" fontId="3" fillId="27" borderId="101" xfId="0" applyFont="1" applyFill="1" applyBorder="1" applyAlignment="1">
      <alignment horizontal="center" vertical="center" wrapText="1"/>
    </xf>
    <xf numFmtId="0" fontId="3" fillId="27" borderId="105" xfId="0" applyFont="1" applyFill="1" applyBorder="1" applyAlignment="1">
      <alignment horizontal="center" vertical="center" wrapText="1"/>
    </xf>
    <xf numFmtId="0" fontId="3" fillId="27" borderId="105" xfId="0" applyFont="1" applyFill="1" applyBorder="1" applyAlignment="1">
      <alignment horizontal="center" vertical="center"/>
    </xf>
    <xf numFmtId="0" fontId="3" fillId="27" borderId="109" xfId="0" applyFont="1" applyFill="1" applyBorder="1" applyAlignment="1">
      <alignment horizontal="center" vertical="center"/>
    </xf>
    <xf numFmtId="0" fontId="3" fillId="31" borderId="109" xfId="0" applyFont="1" applyFill="1" applyBorder="1" applyAlignment="1">
      <alignment horizontal="center" vertical="center" wrapText="1"/>
    </xf>
    <xf numFmtId="0" fontId="3" fillId="27" borderId="111" xfId="0" applyFont="1" applyFill="1" applyBorder="1" applyAlignment="1">
      <alignment horizontal="center" vertical="center" wrapText="1"/>
    </xf>
    <xf numFmtId="0" fontId="3" fillId="31" borderId="113" xfId="0" applyFont="1" applyFill="1" applyBorder="1" applyAlignment="1">
      <alignment horizontal="center" vertical="center" wrapText="1"/>
    </xf>
    <xf numFmtId="0" fontId="3" fillId="27" borderId="113" xfId="0" applyFont="1" applyFill="1" applyBorder="1" applyAlignment="1">
      <alignment horizontal="center" vertical="center"/>
    </xf>
    <xf numFmtId="0" fontId="3" fillId="27" borderId="111" xfId="0" applyFont="1" applyFill="1" applyBorder="1" applyAlignment="1">
      <alignment horizontal="center" vertical="center"/>
    </xf>
    <xf numFmtId="0" fontId="3" fillId="31" borderId="117" xfId="0" applyFont="1" applyFill="1" applyBorder="1" applyAlignment="1">
      <alignment horizontal="center" vertical="center"/>
    </xf>
    <xf numFmtId="0" fontId="66" fillId="0" borderId="98" xfId="0" applyFont="1" applyBorder="1" applyAlignment="1">
      <alignment horizontal="left" vertical="center" wrapText="1"/>
    </xf>
    <xf numFmtId="0" fontId="66" fillId="0" borderId="97" xfId="0" applyFont="1" applyBorder="1" applyAlignment="1">
      <alignment horizontal="left" vertical="center" wrapText="1"/>
    </xf>
    <xf numFmtId="0" fontId="64" fillId="30" borderId="96" xfId="0" applyFont="1" applyFill="1" applyBorder="1" applyAlignment="1">
      <alignment horizontal="center" vertical="center"/>
    </xf>
    <xf numFmtId="0" fontId="66" fillId="29" borderId="31" xfId="0" applyFont="1" applyFill="1" applyBorder="1" applyAlignment="1">
      <alignment horizontal="center" vertical="center" wrapText="1"/>
    </xf>
    <xf numFmtId="0" fontId="66" fillId="37" borderId="26" xfId="0" applyFont="1" applyFill="1" applyBorder="1" applyAlignment="1">
      <alignment horizontal="center" vertical="center" wrapText="1"/>
    </xf>
    <xf numFmtId="0" fontId="66" fillId="37" borderId="0" xfId="0" applyFont="1" applyFill="1" applyAlignment="1">
      <alignment horizontal="center" vertical="center" wrapText="1"/>
    </xf>
    <xf numFmtId="0" fontId="66" fillId="37" borderId="33" xfId="0" applyFont="1" applyFill="1" applyBorder="1" applyAlignment="1">
      <alignment horizontal="center" vertical="center" wrapText="1"/>
    </xf>
    <xf numFmtId="0" fontId="66" fillId="39" borderId="31" xfId="0" applyFont="1" applyFill="1" applyBorder="1" applyAlignment="1">
      <alignment horizontal="center" vertical="center"/>
    </xf>
    <xf numFmtId="0" fontId="66" fillId="31" borderId="26" xfId="0" applyFont="1" applyFill="1" applyBorder="1" applyAlignment="1">
      <alignment horizontal="center" vertical="center"/>
    </xf>
    <xf numFmtId="0" fontId="66" fillId="31" borderId="0" xfId="0" applyFont="1" applyFill="1" applyAlignment="1">
      <alignment horizontal="center" vertical="center"/>
    </xf>
    <xf numFmtId="0" fontId="66" fillId="31" borderId="33" xfId="0" applyFont="1" applyFill="1" applyBorder="1" applyAlignment="1">
      <alignment horizontal="center" vertical="center"/>
    </xf>
    <xf numFmtId="0" fontId="66" fillId="31" borderId="32" xfId="0" applyFont="1" applyFill="1" applyBorder="1" applyAlignment="1">
      <alignment horizontal="center" vertical="center"/>
    </xf>
    <xf numFmtId="0" fontId="66" fillId="31" borderId="23" xfId="0" applyFont="1" applyFill="1" applyBorder="1" applyAlignment="1">
      <alignment horizontal="center" vertical="center"/>
    </xf>
    <xf numFmtId="0" fontId="66" fillId="31" borderId="24" xfId="0" applyFont="1" applyFill="1" applyBorder="1" applyAlignment="1">
      <alignment horizontal="center" vertical="center"/>
    </xf>
    <xf numFmtId="0" fontId="36" fillId="3" borderId="1" xfId="0" applyFont="1" applyFill="1" applyBorder="1" applyAlignment="1">
      <alignment horizontal="left" vertical="center" wrapText="1"/>
    </xf>
    <xf numFmtId="0" fontId="36" fillId="3" borderId="96" xfId="0" applyFont="1" applyFill="1" applyBorder="1" applyAlignment="1">
      <alignment horizontal="left" vertical="center" wrapText="1"/>
    </xf>
  </cellXfs>
  <cellStyles count="102">
    <cellStyle name="20% - Accent1" xfId="10" xr:uid="{00000000-0005-0000-0000-000000000000}"/>
    <cellStyle name="20% - Accent2" xfId="13" xr:uid="{00000000-0005-0000-0000-000001000000}"/>
    <cellStyle name="20% - Accent3" xfId="12" xr:uid="{00000000-0005-0000-0000-000002000000}"/>
    <cellStyle name="20% - Accent4" xfId="11" xr:uid="{00000000-0005-0000-0000-000003000000}"/>
    <cellStyle name="20% - Accent5" xfId="14" xr:uid="{00000000-0005-0000-0000-000004000000}"/>
    <cellStyle name="20% - Accent6" xfId="15" xr:uid="{00000000-0005-0000-0000-000005000000}"/>
    <cellStyle name="40% - Accent1" xfId="16" xr:uid="{00000000-0005-0000-0000-000006000000}"/>
    <cellStyle name="40% - Accent2" xfId="17" xr:uid="{00000000-0005-0000-0000-000007000000}"/>
    <cellStyle name="40% - Accent3" xfId="18" xr:uid="{00000000-0005-0000-0000-000008000000}"/>
    <cellStyle name="40% - Accent4" xfId="19" xr:uid="{00000000-0005-0000-0000-000009000000}"/>
    <cellStyle name="40% - Accent5" xfId="20" xr:uid="{00000000-0005-0000-0000-00000A000000}"/>
    <cellStyle name="40% - Accent6" xfId="21" xr:uid="{00000000-0005-0000-0000-00000B000000}"/>
    <cellStyle name="60% - Accent1" xfId="22" xr:uid="{00000000-0005-0000-0000-00000C000000}"/>
    <cellStyle name="60% - Accent2" xfId="23" xr:uid="{00000000-0005-0000-0000-00000D000000}"/>
    <cellStyle name="60% - Accent3" xfId="24"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alculation 2" xfId="59" xr:uid="{5A744F57-F75B-42C6-A6EA-261F65E2D87A}"/>
    <cellStyle name="Calculation 2 2" xfId="83" xr:uid="{34EF6CC0-22D2-42CF-9A9D-D1A454DA4679}"/>
    <cellStyle name="Calculation 2 3" xfId="72" xr:uid="{3FA18454-E1C4-45D5-9C98-7962BCB16FBC}"/>
    <cellStyle name="Calculation 2 4" xfId="88" xr:uid="{CAF5E12B-C25D-4FDD-95F1-BD7A519DD74E}"/>
    <cellStyle name="Calculation 2 5" xfId="91" xr:uid="{9236ABF1-AA14-4EAD-9DAD-AD8ABB362D81}"/>
    <cellStyle name="Calculation 2 6" xfId="97" xr:uid="{D60A900C-EAB2-4271-9643-4C3C03C855DF}"/>
    <cellStyle name="Calculation 3" xfId="79" xr:uid="{FEA149CA-7775-4CD6-8E98-7682E7615951}"/>
    <cellStyle name="Calculation 4" xfId="94" xr:uid="{92F15C91-85F9-4097-95AF-D2DD624833BC}"/>
    <cellStyle name="Check Cell" xfId="36" xr:uid="{00000000-0005-0000-0000-00001A000000}"/>
    <cellStyle name="Comma [0] 2" xfId="56" xr:uid="{B52DFFEF-155D-4DC3-8575-4D25276BD95C}"/>
    <cellStyle name="Comma [0] 2 2" xfId="66" xr:uid="{31FB5A2B-947A-428B-92F2-0D5E2C2FB455}"/>
    <cellStyle name="Comma [0] 3" xfId="55" xr:uid="{1304C8A3-219A-4F35-A10A-A58B6B645462}"/>
    <cellStyle name="Comma [0] 3 2" xfId="65" xr:uid="{5C86576C-1919-4E95-94A1-DCDA2675BA3F}"/>
    <cellStyle name="Explanatory Text" xfId="37" xr:uid="{00000000-0005-0000-0000-00001B000000}"/>
    <cellStyle name="Good" xfId="38" xr:uid="{00000000-0005-0000-0000-00001C000000}"/>
    <cellStyle name="Heading 1" xfId="39" xr:uid="{00000000-0005-0000-0000-00001D000000}"/>
    <cellStyle name="Heading 2" xfId="40" xr:uid="{00000000-0005-0000-0000-00001E000000}"/>
    <cellStyle name="Heading 3" xfId="41" xr:uid="{00000000-0005-0000-0000-00001F000000}"/>
    <cellStyle name="Heading 4" xfId="42" xr:uid="{00000000-0005-0000-0000-000020000000}"/>
    <cellStyle name="Input" xfId="43" xr:uid="{00000000-0005-0000-0000-000021000000}"/>
    <cellStyle name="Input 2" xfId="60" xr:uid="{79D1ECBA-B88A-4AF2-B2C6-66C333AC1F32}"/>
    <cellStyle name="Input 2 2" xfId="84" xr:uid="{981C9F4E-2D04-4DDC-A7F9-3FB7476AAFDC}"/>
    <cellStyle name="Input 2 3" xfId="73" xr:uid="{7C895732-9AAA-439E-895C-9E6B5F494F84}"/>
    <cellStyle name="Input 2 4" xfId="82" xr:uid="{F7E36D15-8E23-45AC-962E-881EA4270A43}"/>
    <cellStyle name="Input 2 5" xfId="74" xr:uid="{DE977243-AAE5-4BE7-9B30-83B49DBD0CC3}"/>
    <cellStyle name="Input 2 6" xfId="98" xr:uid="{F24E98C2-E483-4AEF-900E-47C1255C13F6}"/>
    <cellStyle name="Input 3" xfId="78" xr:uid="{D3E9B237-7363-4BC2-85FF-1FFA0FD0BEFA}"/>
    <cellStyle name="Input 4" xfId="80" xr:uid="{A90BAB94-B651-4818-8DDC-5F8C9AE514A6}"/>
    <cellStyle name="Linked Cell" xfId="44" xr:uid="{00000000-0005-0000-0000-000022000000}"/>
    <cellStyle name="Neutral" xfId="45" xr:uid="{00000000-0005-0000-0000-000023000000}"/>
    <cellStyle name="Neutral 2" xfId="53" xr:uid="{00000000-0005-0000-0000-000024000000}"/>
    <cellStyle name="Neutral 3" xfId="57" xr:uid="{1B29CE4C-CDA9-4D26-ACB6-2F6A62E67E99}"/>
    <cellStyle name="Normal" xfId="0" builtinId="0"/>
    <cellStyle name="Normal 2" xfId="1" xr:uid="{00000000-0005-0000-0000-000026000000}"/>
    <cellStyle name="Normal 2 10 2" xfId="58" xr:uid="{F24CE8A4-2400-4997-9C71-BABEC68F53A8}"/>
    <cellStyle name="Normal 2 2" xfId="6" xr:uid="{00000000-0005-0000-0000-000027000000}"/>
    <cellStyle name="Normal 2 3" xfId="5" xr:uid="{00000000-0005-0000-0000-000028000000}"/>
    <cellStyle name="Normal 2 3 2" xfId="9" xr:uid="{00000000-0005-0000-0000-000029000000}"/>
    <cellStyle name="Normal 2 4" xfId="52" xr:uid="{00000000-0005-0000-0000-00002A000000}"/>
    <cellStyle name="Normal 2 4 2" xfId="64" xr:uid="{B8AF9B53-CBDA-422F-8DC5-9E5F671F5F49}"/>
    <cellStyle name="Normal 3" xfId="7" xr:uid="{00000000-0005-0000-0000-00002B000000}"/>
    <cellStyle name="Normal 4" xfId="8" xr:uid="{00000000-0005-0000-0000-00002C000000}"/>
    <cellStyle name="Normal 4 2" xfId="54" xr:uid="{00000000-0005-0000-0000-00002D000000}"/>
    <cellStyle name="Normal 5" xfId="4" xr:uid="{00000000-0005-0000-0000-00002E000000}"/>
    <cellStyle name="Normal 6" xfId="51" xr:uid="{00000000-0005-0000-0000-00002F000000}"/>
    <cellStyle name="Note" xfId="46" xr:uid="{00000000-0005-0000-0000-000030000000}"/>
    <cellStyle name="Note 2" xfId="61" xr:uid="{8F288DBE-526F-474F-907C-092294C4C96C}"/>
    <cellStyle name="Note 2 2" xfId="85" xr:uid="{124FE26A-6C13-44C7-BA27-5F14B4490825}"/>
    <cellStyle name="Note 2 3" xfId="71" xr:uid="{BAE2E1A4-2832-4348-BA5E-5B774F385254}"/>
    <cellStyle name="Note 2 4" xfId="69" xr:uid="{CC29A5E5-14CC-4EFE-B74C-C01D809E190F}"/>
    <cellStyle name="Note 2 5" xfId="67" xr:uid="{6DB9013F-BCA3-4968-B1B8-6162F2F5DFAF}"/>
    <cellStyle name="Note 2 6" xfId="99" xr:uid="{41D73E21-A75E-4D68-8029-A58B7CC08C9E}"/>
    <cellStyle name="Note 3" xfId="77" xr:uid="{95024262-6769-488A-98BB-4DB8BBBB375D}"/>
    <cellStyle name="Note 4" xfId="70" xr:uid="{649016C0-EB6C-48C2-A41A-F6DED16AE9DE}"/>
    <cellStyle name="Output" xfId="47" xr:uid="{00000000-0005-0000-0000-000031000000}"/>
    <cellStyle name="Output 2" xfId="62" xr:uid="{55CE0258-119E-472D-877A-9BB0D4046148}"/>
    <cellStyle name="Output 2 2" xfId="86" xr:uid="{39141006-3B6E-45D3-8F64-538A9630217D}"/>
    <cellStyle name="Output 2 3" xfId="89" xr:uid="{23B6222A-1F53-4E80-BC5E-0281695B78EF}"/>
    <cellStyle name="Output 2 4" xfId="92" xr:uid="{13257DFE-5257-43F3-A303-34337B0FB2F4}"/>
    <cellStyle name="Output 2 5" xfId="95" xr:uid="{5387607A-C109-4C7F-9904-BC82D7F820E8}"/>
    <cellStyle name="Output 2 6" xfId="100" xr:uid="{1947ABBC-A758-431E-8225-9B5E56B09D84}"/>
    <cellStyle name="Output 3" xfId="76" xr:uid="{4C3C7B9E-BE26-4DAD-9D1C-3D09927FC1BB}"/>
    <cellStyle name="Output 4" xfId="81" xr:uid="{98308FAA-0FF1-431A-B4A0-8CDEE4B6B9A5}"/>
    <cellStyle name="Title" xfId="48" xr:uid="{00000000-0005-0000-0000-000032000000}"/>
    <cellStyle name="Total" xfId="49" xr:uid="{00000000-0005-0000-0000-000033000000}"/>
    <cellStyle name="Total 2" xfId="63" xr:uid="{5FD562D1-EB4E-485C-ABB0-2A071B4DA514}"/>
    <cellStyle name="Total 2 2" xfId="87" xr:uid="{A9B76C61-32F3-44D1-8C30-DB7714800B92}"/>
    <cellStyle name="Total 2 3" xfId="90" xr:uid="{5B55A4D5-692C-4533-92D1-073AD4CC4B77}"/>
    <cellStyle name="Total 2 4" xfId="93" xr:uid="{299C9DD9-0011-4EAF-965D-7772ABE7FF68}"/>
    <cellStyle name="Total 2 5" xfId="96" xr:uid="{3898BDB4-FFAA-4CCF-B355-70B2D5868809}"/>
    <cellStyle name="Total 2 6" xfId="101" xr:uid="{529E700E-3D93-4F22-ADC4-D79665017D88}"/>
    <cellStyle name="Total 3" xfId="75" xr:uid="{AB9B9F4C-B4AF-4F4A-AFF9-A8A91BCC946D}"/>
    <cellStyle name="Total 4" xfId="68" xr:uid="{165E0E8E-075F-40B1-ADFB-C8733BFE9E8C}"/>
    <cellStyle name="Warning Text" xfId="50" xr:uid="{00000000-0005-0000-0000-000034000000}"/>
    <cellStyle name="표준 3" xfId="2" xr:uid="{00000000-0005-0000-0000-000035000000}"/>
    <cellStyle name="표준_Load-List-Cal-D" xfId="3" xr:uid="{00000000-0005-0000-0000-000036000000}"/>
  </cellStyles>
  <dxfs count="25">
    <dxf>
      <fill>
        <patternFill>
          <bgColor rgb="FFFF0000"/>
        </patternFill>
      </fill>
    </dxf>
    <dxf>
      <font>
        <strike val="0"/>
        <color auto="1"/>
      </font>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color auto="1"/>
      </font>
      <fill>
        <patternFill>
          <bgColor theme="9" tint="0.39994506668294322"/>
        </patternFill>
      </fill>
    </dxf>
  </dxfs>
  <tableStyles count="0" defaultTableStyle="TableStyleMedium9" defaultPivotStyle="PivotStyleLight16"/>
  <colors>
    <mruColors>
      <color rgb="FFFFCCFF"/>
      <color rgb="FF0000CC"/>
      <color rgb="FF00FFFF"/>
      <color rgb="FFFF99FF"/>
      <color rgb="FF66FFFF"/>
      <color rgb="FFFF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17929</xdr:colOff>
      <xdr:row>94</xdr:row>
      <xdr:rowOff>126065</xdr:rowOff>
    </xdr:from>
    <xdr:to>
      <xdr:col>24</xdr:col>
      <xdr:colOff>142337</xdr:colOff>
      <xdr:row>109</xdr:row>
      <xdr:rowOff>6474</xdr:rowOff>
    </xdr:to>
    <xdr:pic>
      <xdr:nvPicPr>
        <xdr:cNvPr id="2" name="Picture 1">
          <a:extLst>
            <a:ext uri="{FF2B5EF4-FFF2-40B4-BE49-F238E27FC236}">
              <a16:creationId xmlns:a16="http://schemas.microsoft.com/office/drawing/2014/main" id="{1CEAF23F-8036-D240-79B3-9C827912A847}"/>
            </a:ext>
          </a:extLst>
        </xdr:cNvPr>
        <xdr:cNvPicPr>
          <a:picLocks noChangeAspect="1"/>
        </xdr:cNvPicPr>
      </xdr:nvPicPr>
      <xdr:blipFill>
        <a:blip xmlns:r="http://schemas.openxmlformats.org/officeDocument/2006/relationships" r:embed="rId1"/>
        <a:stretch>
          <a:fillRect/>
        </a:stretch>
      </xdr:blipFill>
      <xdr:spPr>
        <a:xfrm>
          <a:off x="4932829" y="23100365"/>
          <a:ext cx="8182558" cy="23092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108857</xdr:colOff>
      <xdr:row>174</xdr:row>
      <xdr:rowOff>217714</xdr:rowOff>
    </xdr:from>
    <xdr:to>
      <xdr:col>15</xdr:col>
      <xdr:colOff>400917</xdr:colOff>
      <xdr:row>176</xdr:row>
      <xdr:rowOff>318489</xdr:rowOff>
    </xdr:to>
    <xdr:pic>
      <xdr:nvPicPr>
        <xdr:cNvPr id="2" name="Picture 1">
          <a:extLst>
            <a:ext uri="{FF2B5EF4-FFF2-40B4-BE49-F238E27FC236}">
              <a16:creationId xmlns:a16="http://schemas.microsoft.com/office/drawing/2014/main" id="{CAFA90A2-AF02-42D7-A4BC-080AF38DDF28}"/>
            </a:ext>
          </a:extLst>
        </xdr:cNvPr>
        <xdr:cNvPicPr>
          <a:picLocks noChangeAspect="1"/>
        </xdr:cNvPicPr>
      </xdr:nvPicPr>
      <xdr:blipFill>
        <a:blip xmlns:r="http://schemas.openxmlformats.org/officeDocument/2006/relationships" r:embed="rId1"/>
        <a:stretch>
          <a:fillRect/>
        </a:stretch>
      </xdr:blipFill>
      <xdr:spPr>
        <a:xfrm>
          <a:off x="7081157" y="53567239"/>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7926E47C-FA7F-4CB3-A254-AB50B84A0780}"/>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twoCellAnchor editAs="oneCell">
    <xdr:from>
      <xdr:col>9</xdr:col>
      <xdr:colOff>0</xdr:colOff>
      <xdr:row>134</xdr:row>
      <xdr:rowOff>0</xdr:rowOff>
    </xdr:from>
    <xdr:to>
      <xdr:col>18</xdr:col>
      <xdr:colOff>250509</xdr:colOff>
      <xdr:row>136</xdr:row>
      <xdr:rowOff>213993</xdr:rowOff>
    </xdr:to>
    <xdr:pic>
      <xdr:nvPicPr>
        <xdr:cNvPr id="5" name="Picture 4">
          <a:extLst>
            <a:ext uri="{FF2B5EF4-FFF2-40B4-BE49-F238E27FC236}">
              <a16:creationId xmlns:a16="http://schemas.microsoft.com/office/drawing/2014/main" id="{6576FD25-0A7B-4847-8018-66F1FD24FA63}"/>
            </a:ext>
          </a:extLst>
        </xdr:cNvPr>
        <xdr:cNvPicPr>
          <a:picLocks noChangeAspect="1"/>
        </xdr:cNvPicPr>
      </xdr:nvPicPr>
      <xdr:blipFill>
        <a:blip xmlns:r="http://schemas.openxmlformats.org/officeDocument/2006/relationships" r:embed="rId3"/>
        <a:stretch>
          <a:fillRect/>
        </a:stretch>
      </xdr:blipFill>
      <xdr:spPr>
        <a:xfrm>
          <a:off x="7586382" y="40879059"/>
          <a:ext cx="7612774" cy="7070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108857</xdr:colOff>
      <xdr:row>135</xdr:row>
      <xdr:rowOff>217714</xdr:rowOff>
    </xdr:from>
    <xdr:to>
      <xdr:col>15</xdr:col>
      <xdr:colOff>400917</xdr:colOff>
      <xdr:row>137</xdr:row>
      <xdr:rowOff>318489</xdr:rowOff>
    </xdr:to>
    <xdr:pic>
      <xdr:nvPicPr>
        <xdr:cNvPr id="2" name="Picture 1">
          <a:extLst>
            <a:ext uri="{FF2B5EF4-FFF2-40B4-BE49-F238E27FC236}">
              <a16:creationId xmlns:a16="http://schemas.microsoft.com/office/drawing/2014/main" id="{767BBB6B-D8B7-4D88-B968-7F0FED75DBFD}"/>
            </a:ext>
          </a:extLst>
        </xdr:cNvPr>
        <xdr:cNvPicPr>
          <a:picLocks noChangeAspect="1"/>
        </xdr:cNvPicPr>
      </xdr:nvPicPr>
      <xdr:blipFill>
        <a:blip xmlns:r="http://schemas.openxmlformats.org/officeDocument/2006/relationships" r:embed="rId1"/>
        <a:stretch>
          <a:fillRect/>
        </a:stretch>
      </xdr:blipFill>
      <xdr:spPr>
        <a:xfrm>
          <a:off x="7081157" y="41441914"/>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7C9FB54E-E7F3-435D-9B88-0B1744151291}"/>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108857</xdr:colOff>
      <xdr:row>174</xdr:row>
      <xdr:rowOff>217714</xdr:rowOff>
    </xdr:from>
    <xdr:to>
      <xdr:col>15</xdr:col>
      <xdr:colOff>400917</xdr:colOff>
      <xdr:row>176</xdr:row>
      <xdr:rowOff>318489</xdr:rowOff>
    </xdr:to>
    <xdr:pic>
      <xdr:nvPicPr>
        <xdr:cNvPr id="2" name="Picture 1">
          <a:extLst>
            <a:ext uri="{FF2B5EF4-FFF2-40B4-BE49-F238E27FC236}">
              <a16:creationId xmlns:a16="http://schemas.microsoft.com/office/drawing/2014/main" id="{329D3B58-7491-4E1A-87DA-813AD4D81861}"/>
            </a:ext>
          </a:extLst>
        </xdr:cNvPr>
        <xdr:cNvPicPr>
          <a:picLocks noChangeAspect="1"/>
        </xdr:cNvPicPr>
      </xdr:nvPicPr>
      <xdr:blipFill>
        <a:blip xmlns:r="http://schemas.openxmlformats.org/officeDocument/2006/relationships" r:embed="rId1"/>
        <a:stretch>
          <a:fillRect/>
        </a:stretch>
      </xdr:blipFill>
      <xdr:spPr>
        <a:xfrm>
          <a:off x="7081157" y="53567239"/>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2FEAF8A0-D80D-4A3C-BF82-7A6D077A385F}"/>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oneCellAnchor>
    <xdr:from>
      <xdr:col>8</xdr:col>
      <xdr:colOff>381000</xdr:colOff>
      <xdr:row>133</xdr:row>
      <xdr:rowOff>176892</xdr:rowOff>
    </xdr:from>
    <xdr:ext cx="6106377" cy="628738"/>
    <xdr:pic>
      <xdr:nvPicPr>
        <xdr:cNvPr id="4" name="Picture 3">
          <a:extLst>
            <a:ext uri="{FF2B5EF4-FFF2-40B4-BE49-F238E27FC236}">
              <a16:creationId xmlns:a16="http://schemas.microsoft.com/office/drawing/2014/main" id="{52EA3E86-0ED3-4FE5-B7B8-DF07A2A91CCE}"/>
            </a:ext>
          </a:extLst>
        </xdr:cNvPr>
        <xdr:cNvPicPr>
          <a:picLocks noChangeAspect="1"/>
        </xdr:cNvPicPr>
      </xdr:nvPicPr>
      <xdr:blipFill>
        <a:blip xmlns:r="http://schemas.openxmlformats.org/officeDocument/2006/relationships" r:embed="rId2"/>
        <a:stretch>
          <a:fillRect/>
        </a:stretch>
      </xdr:blipFill>
      <xdr:spPr>
        <a:xfrm>
          <a:off x="7353300" y="40905792"/>
          <a:ext cx="6106377" cy="62873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74CB-330F-4CE3-B392-CC991606A8A1}">
  <sheetPr codeName="Sheet1">
    <pageSetUpPr fitToPage="1"/>
  </sheetPr>
  <dimension ref="A1:E18"/>
  <sheetViews>
    <sheetView view="pageBreakPreview" zoomScale="85" zoomScaleNormal="115" zoomScaleSheetLayoutView="85" workbookViewId="0">
      <selection activeCell="B15" sqref="B15"/>
    </sheetView>
  </sheetViews>
  <sheetFormatPr defaultColWidth="9.1796875" defaultRowHeight="15.5"/>
  <cols>
    <col min="1" max="1" width="6.54296875" style="66" customWidth="1"/>
    <col min="2" max="2" width="114.81640625" style="68" customWidth="1"/>
    <col min="3" max="3" width="4.54296875" style="66" customWidth="1"/>
    <col min="4" max="4" width="8.7265625" style="66" customWidth="1"/>
    <col min="5" max="5" width="67.453125" style="66" customWidth="1"/>
    <col min="6" max="6" width="9.1796875" style="66"/>
    <col min="7" max="7" width="9.7265625" style="66" customWidth="1"/>
    <col min="8" max="16384" width="9.1796875" style="66"/>
  </cols>
  <sheetData>
    <row r="1" spans="1:5" ht="16" thickBot="1">
      <c r="A1" s="64"/>
      <c r="B1" s="65"/>
      <c r="C1" s="64"/>
    </row>
    <row r="2" spans="1:5" ht="29.25" customHeight="1">
      <c r="A2" s="612" t="s">
        <v>0</v>
      </c>
      <c r="B2" s="613"/>
      <c r="C2" s="614"/>
    </row>
    <row r="3" spans="1:5">
      <c r="A3" s="119"/>
      <c r="B3" s="65"/>
      <c r="C3" s="120"/>
    </row>
    <row r="4" spans="1:5" ht="18.75" customHeight="1">
      <c r="A4" s="121" t="s">
        <v>1</v>
      </c>
      <c r="B4" s="122" t="s">
        <v>2</v>
      </c>
      <c r="C4" s="120"/>
    </row>
    <row r="5" spans="1:5" ht="18.75" customHeight="1">
      <c r="A5" s="121" t="s">
        <v>3</v>
      </c>
      <c r="B5" s="122" t="s">
        <v>4</v>
      </c>
      <c r="C5" s="120"/>
    </row>
    <row r="6" spans="1:5" ht="35.25" customHeight="1">
      <c r="A6" s="121" t="s">
        <v>5</v>
      </c>
      <c r="B6" s="122" t="s">
        <v>6</v>
      </c>
      <c r="C6" s="120"/>
    </row>
    <row r="7" spans="1:5" ht="18.75" customHeight="1">
      <c r="A7" s="121" t="s">
        <v>7</v>
      </c>
      <c r="B7" s="122" t="s">
        <v>8</v>
      </c>
      <c r="C7" s="120"/>
      <c r="E7" s="67"/>
    </row>
    <row r="8" spans="1:5" ht="89.25" customHeight="1">
      <c r="A8" s="121" t="s">
        <v>9</v>
      </c>
      <c r="B8" s="122" t="s">
        <v>10</v>
      </c>
      <c r="C8" s="120"/>
    </row>
    <row r="9" spans="1:5" ht="32.25" customHeight="1">
      <c r="A9" s="121" t="s">
        <v>11</v>
      </c>
      <c r="B9" s="122" t="s">
        <v>12</v>
      </c>
      <c r="C9" s="120"/>
    </row>
    <row r="10" spans="1:5" ht="22.5" customHeight="1">
      <c r="A10" s="121" t="s">
        <v>13</v>
      </c>
      <c r="B10" s="122" t="s">
        <v>14</v>
      </c>
      <c r="C10" s="120"/>
    </row>
    <row r="11" spans="1:5" ht="52.5" customHeight="1">
      <c r="A11" s="121" t="s">
        <v>15</v>
      </c>
      <c r="B11" s="122" t="s">
        <v>16</v>
      </c>
      <c r="C11" s="120"/>
    </row>
    <row r="12" spans="1:5" ht="36" customHeight="1">
      <c r="A12" s="121" t="s">
        <v>17</v>
      </c>
      <c r="B12" s="122" t="s">
        <v>18</v>
      </c>
      <c r="C12" s="120"/>
    </row>
    <row r="13" spans="1:5" ht="36.75" customHeight="1">
      <c r="A13" s="121" t="s">
        <v>19</v>
      </c>
      <c r="B13" s="122" t="s">
        <v>20</v>
      </c>
      <c r="C13" s="120"/>
    </row>
    <row r="14" spans="1:5" ht="40.5" customHeight="1">
      <c r="A14" s="121" t="s">
        <v>21</v>
      </c>
      <c r="B14" s="122" t="s">
        <v>22</v>
      </c>
      <c r="C14" s="120"/>
    </row>
    <row r="15" spans="1:5" ht="180" customHeight="1">
      <c r="A15" s="121" t="s">
        <v>23</v>
      </c>
      <c r="B15" s="122" t="s">
        <v>24</v>
      </c>
      <c r="C15" s="120"/>
    </row>
    <row r="16" spans="1:5" ht="16" thickBot="1">
      <c r="A16" s="123"/>
      <c r="B16" s="124"/>
      <c r="C16" s="125"/>
    </row>
    <row r="18" spans="2:2">
      <c r="B18" s="126" t="s">
        <v>25</v>
      </c>
    </row>
  </sheetData>
  <mergeCells count="1">
    <mergeCell ref="A2:C2"/>
  </mergeCells>
  <printOptions horizontalCentered="1"/>
  <pageMargins left="0.70866141732283472" right="0.70866141732283472" top="0.74803149606299213" bottom="0.74803149606299213" header="0.31496062992125984" footer="0.31496062992125984"/>
  <pageSetup paperSize="9"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E17"/>
  <sheetViews>
    <sheetView view="pageBreakPreview" zoomScale="80" zoomScaleNormal="115" zoomScaleSheetLayoutView="80" workbookViewId="0">
      <selection activeCell="B8" sqref="B8"/>
    </sheetView>
  </sheetViews>
  <sheetFormatPr defaultColWidth="9.1796875" defaultRowHeight="15.5"/>
  <cols>
    <col min="1" max="1" width="6.54296875" style="66" customWidth="1"/>
    <col min="2" max="2" width="115.1796875" style="68" customWidth="1"/>
    <col min="3" max="3" width="4.54296875" style="66" customWidth="1"/>
    <col min="4" max="4" width="8.7265625" style="66" customWidth="1"/>
    <col min="5" max="5" width="67.453125" style="66" customWidth="1"/>
    <col min="6" max="6" width="9.1796875" style="66"/>
    <col min="7" max="7" width="9.7265625" style="66" customWidth="1"/>
    <col min="8" max="16384" width="9.1796875" style="66"/>
  </cols>
  <sheetData>
    <row r="1" spans="1:5">
      <c r="A1" s="64"/>
      <c r="B1" s="65"/>
      <c r="C1" s="64"/>
    </row>
    <row r="2" spans="1:5" ht="29.25" customHeight="1">
      <c r="A2" s="612" t="s">
        <v>972</v>
      </c>
      <c r="B2" s="613"/>
      <c r="C2" s="614"/>
    </row>
    <row r="3" spans="1:5">
      <c r="A3" s="119"/>
      <c r="B3" s="65"/>
      <c r="C3" s="120"/>
    </row>
    <row r="4" spans="1:5" ht="21" customHeight="1">
      <c r="A4" s="121" t="s">
        <v>1</v>
      </c>
      <c r="B4" s="122" t="s">
        <v>2</v>
      </c>
      <c r="C4" s="120"/>
    </row>
    <row r="5" spans="1:5" ht="24" customHeight="1">
      <c r="A5" s="121" t="s">
        <v>3</v>
      </c>
      <c r="B5" s="122" t="s">
        <v>4</v>
      </c>
      <c r="C5" s="120"/>
    </row>
    <row r="6" spans="1:5" ht="40.5" customHeight="1">
      <c r="A6" s="121" t="s">
        <v>5</v>
      </c>
      <c r="B6" s="122" t="s">
        <v>6</v>
      </c>
      <c r="C6" s="120"/>
    </row>
    <row r="7" spans="1:5" ht="18.75" customHeight="1">
      <c r="A7" s="121" t="s">
        <v>7</v>
      </c>
      <c r="B7" s="122" t="s">
        <v>8</v>
      </c>
      <c r="C7" s="120"/>
      <c r="E7" s="67"/>
    </row>
    <row r="8" spans="1:5" ht="81" customHeight="1">
      <c r="A8" s="121" t="s">
        <v>9</v>
      </c>
      <c r="B8" s="122" t="s">
        <v>967</v>
      </c>
      <c r="C8" s="120"/>
    </row>
    <row r="9" spans="1:5" ht="41.25" customHeight="1">
      <c r="A9" s="121" t="s">
        <v>11</v>
      </c>
      <c r="B9" s="122" t="s">
        <v>12</v>
      </c>
      <c r="C9" s="120"/>
    </row>
    <row r="10" spans="1:5" ht="21.75" customHeight="1">
      <c r="A10" s="121" t="s">
        <v>13</v>
      </c>
      <c r="B10" s="122" t="s">
        <v>14</v>
      </c>
      <c r="C10" s="120"/>
    </row>
    <row r="11" spans="1:5" ht="37.5" customHeight="1">
      <c r="A11" s="121" t="s">
        <v>15</v>
      </c>
      <c r="B11" s="122" t="s">
        <v>16</v>
      </c>
      <c r="C11" s="120"/>
    </row>
    <row r="12" spans="1:5" ht="111" customHeight="1">
      <c r="A12" s="121" t="s">
        <v>17</v>
      </c>
      <c r="B12" s="122" t="s">
        <v>968</v>
      </c>
      <c r="C12" s="120"/>
    </row>
    <row r="13" spans="1:5" ht="25.5" customHeight="1">
      <c r="A13" s="121" t="s">
        <v>19</v>
      </c>
      <c r="B13" s="122" t="s">
        <v>20</v>
      </c>
      <c r="C13" s="120"/>
    </row>
    <row r="14" spans="1:5" ht="30.75" customHeight="1">
      <c r="A14" s="121" t="s">
        <v>21</v>
      </c>
      <c r="B14" s="122" t="s">
        <v>22</v>
      </c>
      <c r="C14" s="120"/>
    </row>
    <row r="15" spans="1:5" ht="40.5" customHeight="1">
      <c r="A15" s="121" t="s">
        <v>971</v>
      </c>
      <c r="B15" s="122" t="s">
        <v>970</v>
      </c>
      <c r="C15" s="120"/>
    </row>
    <row r="16" spans="1:5" ht="180" customHeight="1">
      <c r="A16" s="121" t="s">
        <v>962</v>
      </c>
      <c r="B16" s="122" t="s">
        <v>969</v>
      </c>
      <c r="C16" s="120"/>
    </row>
    <row r="17" spans="1:3">
      <c r="A17" s="123"/>
      <c r="B17" s="124"/>
      <c r="C17" s="125"/>
    </row>
  </sheetData>
  <mergeCells count="1">
    <mergeCell ref="A2:C2"/>
  </mergeCells>
  <printOptions horizontalCentered="1"/>
  <pageMargins left="0.70866141732283472" right="0.70866141732283472" top="0.74803149606299213" bottom="0.74803149606299213" header="0.31496062992125984" footer="0.31496062992125984"/>
  <pageSetup paperSize="9" scale="7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7AF5-0FA2-4057-9834-D5910957FF23}">
  <sheetPr codeName="Sheet3">
    <tabColor rgb="FFFFFF00"/>
  </sheetPr>
  <dimension ref="B4:BA131"/>
  <sheetViews>
    <sheetView view="pageBreakPreview" zoomScaleNormal="85" zoomScaleSheetLayoutView="100" workbookViewId="0">
      <pane xSplit="4" ySplit="5" topLeftCell="E60" activePane="bottomRight" state="frozen"/>
      <selection pane="topRight" activeCell="F1" sqref="F1"/>
      <selection pane="bottomLeft" activeCell="B6" sqref="B6"/>
      <selection pane="bottomRight" activeCell="F52" sqref="F52"/>
    </sheetView>
  </sheetViews>
  <sheetFormatPr defaultColWidth="9.1796875" defaultRowHeight="12.5"/>
  <cols>
    <col min="1" max="1" width="9.1796875" style="63" customWidth="1"/>
    <col min="2" max="2" width="27.81640625" style="63" customWidth="1"/>
    <col min="3" max="3" width="14.54296875" style="63" customWidth="1"/>
    <col min="4" max="4" width="8.7265625" style="63" customWidth="1"/>
    <col min="5" max="6" width="6.7265625" style="63" customWidth="1"/>
    <col min="7" max="7" width="6.7265625" style="11" customWidth="1"/>
    <col min="8" max="53" width="6.7265625" style="63" customWidth="1"/>
    <col min="54" max="16384" width="9.1796875" style="63"/>
  </cols>
  <sheetData>
    <row r="4" spans="2:53" ht="33" customHeight="1">
      <c r="B4" s="137" t="s">
        <v>26</v>
      </c>
      <c r="C4" s="137"/>
      <c r="D4" s="137"/>
      <c r="E4" s="136" t="s">
        <v>27</v>
      </c>
      <c r="F4" s="136" t="s">
        <v>28</v>
      </c>
      <c r="G4" s="136" t="s">
        <v>29</v>
      </c>
      <c r="H4" s="136" t="s">
        <v>30</v>
      </c>
      <c r="I4" s="136" t="s">
        <v>31</v>
      </c>
      <c r="J4" s="138" t="s">
        <v>32</v>
      </c>
      <c r="K4" s="139" t="s">
        <v>33</v>
      </c>
      <c r="L4" s="139" t="s">
        <v>34</v>
      </c>
      <c r="M4" s="139" t="s">
        <v>35</v>
      </c>
      <c r="N4" s="138" t="s">
        <v>36</v>
      </c>
      <c r="O4" s="136" t="s">
        <v>37</v>
      </c>
      <c r="P4" s="140" t="s">
        <v>38</v>
      </c>
      <c r="Q4" s="140" t="s">
        <v>39</v>
      </c>
      <c r="R4" s="140" t="s">
        <v>40</v>
      </c>
      <c r="S4" s="140" t="s">
        <v>41</v>
      </c>
      <c r="T4" s="140" t="s">
        <v>42</v>
      </c>
      <c r="U4" s="140" t="s">
        <v>43</v>
      </c>
      <c r="V4" s="136" t="s">
        <v>44</v>
      </c>
      <c r="W4" s="136" t="s">
        <v>45</v>
      </c>
      <c r="X4" s="136" t="s">
        <v>46</v>
      </c>
      <c r="Y4" s="136" t="s">
        <v>47</v>
      </c>
      <c r="Z4" s="136" t="s">
        <v>48</v>
      </c>
      <c r="AA4" s="136" t="s">
        <v>49</v>
      </c>
      <c r="AB4" s="136" t="s">
        <v>50</v>
      </c>
      <c r="AC4" s="136" t="s">
        <v>51</v>
      </c>
      <c r="AD4" s="136" t="s">
        <v>52</v>
      </c>
      <c r="AE4" s="136" t="s">
        <v>53</v>
      </c>
      <c r="AF4" s="136" t="s">
        <v>54</v>
      </c>
      <c r="AG4" s="136" t="s">
        <v>55</v>
      </c>
      <c r="AH4" s="136" t="s">
        <v>56</v>
      </c>
      <c r="AI4" s="136" t="s">
        <v>57</v>
      </c>
      <c r="AJ4" s="136" t="s">
        <v>58</v>
      </c>
      <c r="AK4" s="136" t="s">
        <v>59</v>
      </c>
      <c r="AL4" s="136" t="s">
        <v>60</v>
      </c>
      <c r="AM4" s="136" t="s">
        <v>61</v>
      </c>
      <c r="AN4" s="136" t="s">
        <v>62</v>
      </c>
      <c r="AO4" s="136" t="s">
        <v>63</v>
      </c>
      <c r="AP4" s="136" t="s">
        <v>64</v>
      </c>
      <c r="AQ4" s="136" t="s">
        <v>65</v>
      </c>
      <c r="AR4" s="136" t="s">
        <v>66</v>
      </c>
      <c r="AS4" s="141" t="s">
        <v>67</v>
      </c>
      <c r="AT4" s="136" t="s">
        <v>68</v>
      </c>
      <c r="AU4" s="136" t="s">
        <v>69</v>
      </c>
      <c r="AV4" s="136" t="s">
        <v>70</v>
      </c>
      <c r="AW4" s="136" t="s">
        <v>71</v>
      </c>
      <c r="AX4" s="136" t="s">
        <v>72</v>
      </c>
      <c r="AY4" s="136" t="s">
        <v>73</v>
      </c>
      <c r="AZ4" s="136" t="s">
        <v>74</v>
      </c>
      <c r="BA4" s="136" t="s">
        <v>75</v>
      </c>
    </row>
    <row r="5" spans="2:53" ht="21" customHeight="1">
      <c r="B5" s="137"/>
      <c r="C5" s="137"/>
      <c r="D5" s="137"/>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c r="AO5" s="136"/>
      <c r="AP5" s="136"/>
      <c r="AQ5" s="136"/>
      <c r="AR5" s="136"/>
      <c r="AS5" s="136"/>
      <c r="AT5" s="136"/>
      <c r="AU5" s="136"/>
      <c r="AV5" s="136"/>
      <c r="AW5" s="136"/>
      <c r="AX5" s="136"/>
      <c r="AY5" s="136"/>
      <c r="AZ5" s="136"/>
      <c r="BA5" s="136"/>
    </row>
    <row r="6" spans="2:53" s="78" customFormat="1" ht="27" customHeight="1">
      <c r="B6" s="142" t="s">
        <v>76</v>
      </c>
      <c r="C6" s="143"/>
      <c r="D6" s="143"/>
      <c r="E6" s="142"/>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row>
    <row r="7" spans="2:53">
      <c r="B7" s="144" t="s">
        <v>77</v>
      </c>
      <c r="C7" s="145" t="s">
        <v>78</v>
      </c>
      <c r="D7" s="146"/>
      <c r="E7" s="146" t="e">
        <f>SUMIF(#REF!,'Tray Sizing'!E$4,#REF!)</f>
        <v>#REF!</v>
      </c>
      <c r="F7" s="146" t="e">
        <f>SUMIF(#REF!,'Tray Sizing'!F$4,#REF!)</f>
        <v>#REF!</v>
      </c>
      <c r="G7" s="147" t="e">
        <f>SUMIF(#REF!,'Tray Sizing'!G$4,#REF!)</f>
        <v>#REF!</v>
      </c>
      <c r="H7" s="146" t="e">
        <f>SUMIF(#REF!,'Tray Sizing'!H$4,#REF!)</f>
        <v>#REF!</v>
      </c>
      <c r="I7" s="146" t="e">
        <f>SUMIF(#REF!,'Tray Sizing'!I$4,#REF!)</f>
        <v>#REF!</v>
      </c>
      <c r="J7" s="146" t="e">
        <f>SUMIF(#REF!,'Tray Sizing'!J$4,#REF!)</f>
        <v>#REF!</v>
      </c>
      <c r="K7" s="146" t="e">
        <f>SUMIF(#REF!,'Tray Sizing'!K$4,#REF!)</f>
        <v>#REF!</v>
      </c>
      <c r="L7" s="146" t="e">
        <f>SUMIF(#REF!,'Tray Sizing'!L$4,#REF!)</f>
        <v>#REF!</v>
      </c>
      <c r="M7" s="146" t="e">
        <f>SUMIF(#REF!,'Tray Sizing'!M$4,#REF!)</f>
        <v>#REF!</v>
      </c>
      <c r="N7" s="146" t="e">
        <f>SUMIF(#REF!,'Tray Sizing'!N$4,#REF!)</f>
        <v>#REF!</v>
      </c>
      <c r="O7" s="146" t="e">
        <f>SUMIF(#REF!,'Tray Sizing'!O$4,#REF!)</f>
        <v>#REF!</v>
      </c>
      <c r="P7" s="146" t="e">
        <f>SUMIF(#REF!,'Tray Sizing'!P$4,#REF!)</f>
        <v>#REF!</v>
      </c>
      <c r="Q7" s="146" t="e">
        <f>SUMIF(#REF!,'Tray Sizing'!Q$4,#REF!)</f>
        <v>#REF!</v>
      </c>
      <c r="R7" s="146" t="e">
        <f>SUMIF(#REF!,'Tray Sizing'!R$4,#REF!)</f>
        <v>#REF!</v>
      </c>
      <c r="S7" s="146" t="e">
        <f>SUMIF(#REF!,'Tray Sizing'!S$4,#REF!)</f>
        <v>#REF!</v>
      </c>
      <c r="T7" s="146" t="e">
        <f>SUMIF(#REF!,'Tray Sizing'!T$4,#REF!)</f>
        <v>#REF!</v>
      </c>
      <c r="U7" s="146" t="e">
        <f>SUMIF(#REF!,'Tray Sizing'!U$4,#REF!)</f>
        <v>#REF!</v>
      </c>
      <c r="V7" s="146" t="e">
        <f>SUMIF(#REF!,'Tray Sizing'!V$4,#REF!)</f>
        <v>#REF!</v>
      </c>
      <c r="W7" s="146" t="e">
        <f>SUMIF(#REF!,'Tray Sizing'!W$4,#REF!)</f>
        <v>#REF!</v>
      </c>
      <c r="X7" s="146" t="e">
        <f>SUMIF(#REF!,'Tray Sizing'!X$4,#REF!)</f>
        <v>#REF!</v>
      </c>
      <c r="Y7" s="146" t="e">
        <f>SUMIF(#REF!,'Tray Sizing'!Y$4,#REF!)</f>
        <v>#REF!</v>
      </c>
      <c r="Z7" s="146" t="e">
        <f>SUMIF(#REF!,'Tray Sizing'!Z$4,#REF!)</f>
        <v>#REF!</v>
      </c>
      <c r="AA7" s="146" t="e">
        <f>SUMIF(#REF!,'Tray Sizing'!AA$4,#REF!)</f>
        <v>#REF!</v>
      </c>
      <c r="AB7" s="146" t="e">
        <f>SUMIF(#REF!,'Tray Sizing'!AB$4,#REF!)</f>
        <v>#REF!</v>
      </c>
      <c r="AC7" s="146" t="e">
        <f>SUMIF(#REF!,'Tray Sizing'!AC$4,#REF!)</f>
        <v>#REF!</v>
      </c>
      <c r="AD7" s="146" t="e">
        <f>SUMIF(#REF!,'Tray Sizing'!AD$4,#REF!)</f>
        <v>#REF!</v>
      </c>
      <c r="AE7" s="146" t="e">
        <f>SUMIF(#REF!,'Tray Sizing'!AE$4,#REF!)</f>
        <v>#REF!</v>
      </c>
      <c r="AF7" s="146" t="e">
        <f>SUMIF(#REF!,'Tray Sizing'!AF$4,#REF!)</f>
        <v>#REF!</v>
      </c>
      <c r="AG7" s="146" t="e">
        <f>SUMIF(#REF!,'Tray Sizing'!AG$4,#REF!)</f>
        <v>#REF!</v>
      </c>
      <c r="AH7" s="146" t="e">
        <f>SUMIF(#REF!,'Tray Sizing'!AH$4,#REF!)</f>
        <v>#REF!</v>
      </c>
      <c r="AI7" s="146" t="e">
        <f>SUMIF(#REF!,'Tray Sizing'!AI$4,#REF!)</f>
        <v>#REF!</v>
      </c>
      <c r="AJ7" s="146" t="e">
        <f>SUMIF(#REF!,'Tray Sizing'!AJ$4,#REF!)</f>
        <v>#REF!</v>
      </c>
      <c r="AK7" s="146" t="e">
        <f>SUMIF(#REF!,'Tray Sizing'!AK$4,#REF!)</f>
        <v>#REF!</v>
      </c>
      <c r="AL7" s="146" t="e">
        <f>SUMIF(#REF!,'Tray Sizing'!AL$4,#REF!)</f>
        <v>#REF!</v>
      </c>
      <c r="AM7" s="146" t="e">
        <f>SUMIF(#REF!,'Tray Sizing'!AM$4,#REF!)</f>
        <v>#REF!</v>
      </c>
      <c r="AN7" s="146" t="e">
        <f>SUMIF(#REF!,'Tray Sizing'!AN$4,#REF!)</f>
        <v>#REF!</v>
      </c>
      <c r="AO7" s="146" t="e">
        <f>SUMIF(#REF!,'Tray Sizing'!AO$4,#REF!)</f>
        <v>#REF!</v>
      </c>
      <c r="AP7" s="146" t="e">
        <f>SUMIF(#REF!,'Tray Sizing'!AP$4,#REF!)</f>
        <v>#REF!</v>
      </c>
      <c r="AQ7" s="146" t="e">
        <f>SUMIF(#REF!,'Tray Sizing'!AQ$4,#REF!)</f>
        <v>#REF!</v>
      </c>
      <c r="AR7" s="146" t="e">
        <f>SUMIF(#REF!,'Tray Sizing'!AR$4,#REF!)</f>
        <v>#REF!</v>
      </c>
      <c r="AS7" s="146" t="e">
        <f>SUMIF(#REF!,'Tray Sizing'!AS$4,#REF!)</f>
        <v>#REF!</v>
      </c>
      <c r="AT7" s="146" t="e">
        <f>SUMIF(#REF!,'Tray Sizing'!AT$4,#REF!)</f>
        <v>#REF!</v>
      </c>
      <c r="AU7" s="146" t="e">
        <f>SUMIF(#REF!,'Tray Sizing'!AU$4,#REF!)</f>
        <v>#REF!</v>
      </c>
      <c r="AV7" s="146" t="e">
        <f>SUMIF(#REF!,'Tray Sizing'!AV$4,#REF!)</f>
        <v>#REF!</v>
      </c>
      <c r="AW7" s="146" t="e">
        <f>SUMIF(#REF!,'Tray Sizing'!AW$4,#REF!)</f>
        <v>#REF!</v>
      </c>
      <c r="AX7" s="146" t="e">
        <f>SUMIF(#REF!,'Tray Sizing'!AX$4,#REF!)</f>
        <v>#REF!</v>
      </c>
      <c r="AY7" s="146" t="e">
        <f>SUMIF(#REF!,'Tray Sizing'!AY$4,#REF!)</f>
        <v>#REF!</v>
      </c>
      <c r="AZ7" s="146" t="e">
        <f>SUMIF(#REF!,'Tray Sizing'!AZ$4,#REF!)</f>
        <v>#REF!</v>
      </c>
      <c r="BA7" s="146" t="e">
        <f>SUMIF(#REF!,'Tray Sizing'!BA$4,#REF!)</f>
        <v>#REF!</v>
      </c>
    </row>
    <row r="8" spans="2:53">
      <c r="B8" s="148"/>
      <c r="C8" s="146"/>
      <c r="D8" s="146"/>
      <c r="E8" s="146"/>
      <c r="F8" s="146"/>
      <c r="G8" s="147"/>
      <c r="H8" s="146"/>
      <c r="I8" s="146"/>
      <c r="J8" s="146"/>
      <c r="K8" s="146"/>
      <c r="L8" s="146"/>
      <c r="M8" s="146"/>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row>
    <row r="9" spans="2:53" ht="25">
      <c r="B9" s="144" t="s">
        <v>79</v>
      </c>
      <c r="C9" s="145" t="s">
        <v>80</v>
      </c>
      <c r="D9" s="145"/>
      <c r="E9" s="146" t="e">
        <f>E7*1.2</f>
        <v>#REF!</v>
      </c>
      <c r="F9" s="146" t="e">
        <f t="shared" ref="F9:BA9" si="0">F7*1.2</f>
        <v>#REF!</v>
      </c>
      <c r="G9" s="147" t="e">
        <f t="shared" si="0"/>
        <v>#REF!</v>
      </c>
      <c r="H9" s="146" t="e">
        <f t="shared" si="0"/>
        <v>#REF!</v>
      </c>
      <c r="I9" s="146" t="e">
        <f t="shared" si="0"/>
        <v>#REF!</v>
      </c>
      <c r="J9" s="146" t="e">
        <f t="shared" si="0"/>
        <v>#REF!</v>
      </c>
      <c r="K9" s="146" t="e">
        <f t="shared" si="0"/>
        <v>#REF!</v>
      </c>
      <c r="L9" s="146" t="e">
        <f t="shared" si="0"/>
        <v>#REF!</v>
      </c>
      <c r="M9" s="146" t="e">
        <f t="shared" si="0"/>
        <v>#REF!</v>
      </c>
      <c r="N9" s="146" t="e">
        <f t="shared" si="0"/>
        <v>#REF!</v>
      </c>
      <c r="O9" s="146" t="e">
        <f t="shared" si="0"/>
        <v>#REF!</v>
      </c>
      <c r="P9" s="146" t="e">
        <f t="shared" si="0"/>
        <v>#REF!</v>
      </c>
      <c r="Q9" s="146" t="e">
        <f t="shared" si="0"/>
        <v>#REF!</v>
      </c>
      <c r="R9" s="146" t="e">
        <f t="shared" si="0"/>
        <v>#REF!</v>
      </c>
      <c r="S9" s="146" t="e">
        <f t="shared" si="0"/>
        <v>#REF!</v>
      </c>
      <c r="T9" s="146" t="e">
        <f t="shared" si="0"/>
        <v>#REF!</v>
      </c>
      <c r="U9" s="146" t="e">
        <f t="shared" si="0"/>
        <v>#REF!</v>
      </c>
      <c r="V9" s="146" t="e">
        <f t="shared" si="0"/>
        <v>#REF!</v>
      </c>
      <c r="W9" s="146" t="e">
        <f t="shared" si="0"/>
        <v>#REF!</v>
      </c>
      <c r="X9" s="146" t="e">
        <f t="shared" si="0"/>
        <v>#REF!</v>
      </c>
      <c r="Y9" s="146" t="e">
        <f t="shared" si="0"/>
        <v>#REF!</v>
      </c>
      <c r="Z9" s="146" t="e">
        <f t="shared" si="0"/>
        <v>#REF!</v>
      </c>
      <c r="AA9" s="146" t="e">
        <f t="shared" si="0"/>
        <v>#REF!</v>
      </c>
      <c r="AB9" s="146" t="e">
        <f t="shared" si="0"/>
        <v>#REF!</v>
      </c>
      <c r="AC9" s="146" t="e">
        <f t="shared" si="0"/>
        <v>#REF!</v>
      </c>
      <c r="AD9" s="146" t="e">
        <f t="shared" si="0"/>
        <v>#REF!</v>
      </c>
      <c r="AE9" s="146" t="e">
        <f t="shared" si="0"/>
        <v>#REF!</v>
      </c>
      <c r="AF9" s="146" t="e">
        <f t="shared" si="0"/>
        <v>#REF!</v>
      </c>
      <c r="AG9" s="146" t="e">
        <f t="shared" si="0"/>
        <v>#REF!</v>
      </c>
      <c r="AH9" s="146" t="e">
        <f t="shared" si="0"/>
        <v>#REF!</v>
      </c>
      <c r="AI9" s="146" t="e">
        <f t="shared" si="0"/>
        <v>#REF!</v>
      </c>
      <c r="AJ9" s="146" t="e">
        <f t="shared" si="0"/>
        <v>#REF!</v>
      </c>
      <c r="AK9" s="146" t="e">
        <f t="shared" si="0"/>
        <v>#REF!</v>
      </c>
      <c r="AL9" s="146" t="e">
        <f t="shared" si="0"/>
        <v>#REF!</v>
      </c>
      <c r="AM9" s="146" t="e">
        <f t="shared" si="0"/>
        <v>#REF!</v>
      </c>
      <c r="AN9" s="146" t="e">
        <f t="shared" si="0"/>
        <v>#REF!</v>
      </c>
      <c r="AO9" s="146" t="e">
        <f t="shared" si="0"/>
        <v>#REF!</v>
      </c>
      <c r="AP9" s="146" t="e">
        <f t="shared" si="0"/>
        <v>#REF!</v>
      </c>
      <c r="AQ9" s="146" t="e">
        <f t="shared" si="0"/>
        <v>#REF!</v>
      </c>
      <c r="AR9" s="146" t="e">
        <f t="shared" si="0"/>
        <v>#REF!</v>
      </c>
      <c r="AS9" s="146" t="e">
        <f t="shared" si="0"/>
        <v>#REF!</v>
      </c>
      <c r="AT9" s="146" t="e">
        <f t="shared" si="0"/>
        <v>#REF!</v>
      </c>
      <c r="AU9" s="146" t="e">
        <f t="shared" si="0"/>
        <v>#REF!</v>
      </c>
      <c r="AV9" s="146" t="e">
        <f t="shared" si="0"/>
        <v>#REF!</v>
      </c>
      <c r="AW9" s="146" t="e">
        <f t="shared" si="0"/>
        <v>#REF!</v>
      </c>
      <c r="AX9" s="146" t="e">
        <f t="shared" ref="AX9:AY9" si="1">AX7*1.2</f>
        <v>#REF!</v>
      </c>
      <c r="AY9" s="146" t="e">
        <f t="shared" si="1"/>
        <v>#REF!</v>
      </c>
      <c r="AZ9" s="146" t="e">
        <f t="shared" si="0"/>
        <v>#REF!</v>
      </c>
      <c r="BA9" s="147" t="e">
        <f t="shared" si="0"/>
        <v>#REF!</v>
      </c>
    </row>
    <row r="10" spans="2:53">
      <c r="B10" s="148"/>
      <c r="C10" s="146"/>
      <c r="D10" s="146"/>
      <c r="E10" s="146"/>
      <c r="F10" s="146"/>
      <c r="G10" s="147"/>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6"/>
      <c r="AF10" s="146"/>
      <c r="AG10" s="146"/>
      <c r="AH10" s="146"/>
      <c r="AI10" s="146"/>
      <c r="AJ10" s="146"/>
      <c r="AK10" s="146"/>
      <c r="AL10" s="146"/>
      <c r="AM10" s="146"/>
      <c r="AN10" s="146"/>
      <c r="AO10" s="146"/>
      <c r="AP10" s="146"/>
      <c r="AQ10" s="146"/>
      <c r="AR10" s="146"/>
      <c r="AS10" s="146"/>
      <c r="AT10" s="146"/>
      <c r="AU10" s="146"/>
      <c r="AV10" s="146"/>
      <c r="AW10" s="146"/>
      <c r="AX10" s="146"/>
      <c r="AY10" s="146"/>
      <c r="AZ10" s="146"/>
      <c r="BA10" s="146"/>
    </row>
    <row r="11" spans="2:53" s="11" customFormat="1" ht="12.75" customHeight="1">
      <c r="B11" s="149"/>
      <c r="C11" s="630">
        <v>600</v>
      </c>
      <c r="D11" s="145"/>
      <c r="E11" s="151" t="e">
        <f t="shared" ref="E11:AJ11" si="2">E9/$C$11</f>
        <v>#REF!</v>
      </c>
      <c r="F11" s="151" t="e">
        <f t="shared" si="2"/>
        <v>#REF!</v>
      </c>
      <c r="G11" s="151" t="e">
        <f t="shared" si="2"/>
        <v>#REF!</v>
      </c>
      <c r="H11" s="151" t="e">
        <f t="shared" si="2"/>
        <v>#REF!</v>
      </c>
      <c r="I11" s="151" t="e">
        <f t="shared" si="2"/>
        <v>#REF!</v>
      </c>
      <c r="J11" s="151" t="e">
        <f t="shared" si="2"/>
        <v>#REF!</v>
      </c>
      <c r="K11" s="151" t="e">
        <f t="shared" si="2"/>
        <v>#REF!</v>
      </c>
      <c r="L11" s="151" t="e">
        <f t="shared" si="2"/>
        <v>#REF!</v>
      </c>
      <c r="M11" s="151" t="e">
        <f t="shared" si="2"/>
        <v>#REF!</v>
      </c>
      <c r="N11" s="151" t="e">
        <f t="shared" si="2"/>
        <v>#REF!</v>
      </c>
      <c r="O11" s="151" t="e">
        <f t="shared" si="2"/>
        <v>#REF!</v>
      </c>
      <c r="P11" s="151" t="e">
        <f t="shared" si="2"/>
        <v>#REF!</v>
      </c>
      <c r="Q11" s="151" t="e">
        <f t="shared" si="2"/>
        <v>#REF!</v>
      </c>
      <c r="R11" s="151" t="e">
        <f t="shared" si="2"/>
        <v>#REF!</v>
      </c>
      <c r="S11" s="151" t="e">
        <f t="shared" si="2"/>
        <v>#REF!</v>
      </c>
      <c r="T11" s="151" t="e">
        <f t="shared" si="2"/>
        <v>#REF!</v>
      </c>
      <c r="U11" s="151" t="e">
        <f t="shared" si="2"/>
        <v>#REF!</v>
      </c>
      <c r="V11" s="151" t="e">
        <f t="shared" si="2"/>
        <v>#REF!</v>
      </c>
      <c r="W11" s="151" t="e">
        <f t="shared" si="2"/>
        <v>#REF!</v>
      </c>
      <c r="X11" s="151" t="e">
        <f t="shared" si="2"/>
        <v>#REF!</v>
      </c>
      <c r="Y11" s="151" t="e">
        <f t="shared" si="2"/>
        <v>#REF!</v>
      </c>
      <c r="Z11" s="151" t="e">
        <f t="shared" si="2"/>
        <v>#REF!</v>
      </c>
      <c r="AA11" s="151" t="e">
        <f t="shared" si="2"/>
        <v>#REF!</v>
      </c>
      <c r="AB11" s="151" t="e">
        <f t="shared" si="2"/>
        <v>#REF!</v>
      </c>
      <c r="AC11" s="151" t="e">
        <f t="shared" si="2"/>
        <v>#REF!</v>
      </c>
      <c r="AD11" s="151" t="e">
        <f t="shared" si="2"/>
        <v>#REF!</v>
      </c>
      <c r="AE11" s="151" t="e">
        <f t="shared" si="2"/>
        <v>#REF!</v>
      </c>
      <c r="AF11" s="151" t="e">
        <f t="shared" si="2"/>
        <v>#REF!</v>
      </c>
      <c r="AG11" s="151" t="e">
        <f t="shared" si="2"/>
        <v>#REF!</v>
      </c>
      <c r="AH11" s="151" t="e">
        <f t="shared" si="2"/>
        <v>#REF!</v>
      </c>
      <c r="AI11" s="151" t="e">
        <f t="shared" si="2"/>
        <v>#REF!</v>
      </c>
      <c r="AJ11" s="151" t="e">
        <f t="shared" si="2"/>
        <v>#REF!</v>
      </c>
      <c r="AK11" s="151" t="e">
        <f t="shared" ref="AK11:BA11" si="3">AK9/$C$11</f>
        <v>#REF!</v>
      </c>
      <c r="AL11" s="151" t="e">
        <f t="shared" si="3"/>
        <v>#REF!</v>
      </c>
      <c r="AM11" s="151" t="e">
        <f t="shared" si="3"/>
        <v>#REF!</v>
      </c>
      <c r="AN11" s="151" t="e">
        <f t="shared" si="3"/>
        <v>#REF!</v>
      </c>
      <c r="AO11" s="151" t="e">
        <f t="shared" si="3"/>
        <v>#REF!</v>
      </c>
      <c r="AP11" s="151" t="e">
        <f t="shared" si="3"/>
        <v>#REF!</v>
      </c>
      <c r="AQ11" s="151" t="e">
        <f t="shared" si="3"/>
        <v>#REF!</v>
      </c>
      <c r="AR11" s="151" t="e">
        <f t="shared" si="3"/>
        <v>#REF!</v>
      </c>
      <c r="AS11" s="151" t="e">
        <f t="shared" si="3"/>
        <v>#REF!</v>
      </c>
      <c r="AT11" s="151" t="e">
        <f t="shared" si="3"/>
        <v>#REF!</v>
      </c>
      <c r="AU11" s="151" t="e">
        <f t="shared" si="3"/>
        <v>#REF!</v>
      </c>
      <c r="AV11" s="151" t="e">
        <f t="shared" si="3"/>
        <v>#REF!</v>
      </c>
      <c r="AW11" s="151" t="e">
        <f t="shared" si="3"/>
        <v>#REF!</v>
      </c>
      <c r="AX11" s="151" t="e">
        <f t="shared" si="3"/>
        <v>#REF!</v>
      </c>
      <c r="AY11" s="151" t="e">
        <f t="shared" si="3"/>
        <v>#REF!</v>
      </c>
      <c r="AZ11" s="151" t="e">
        <f t="shared" si="3"/>
        <v>#REF!</v>
      </c>
      <c r="BA11" s="151" t="e">
        <f t="shared" si="3"/>
        <v>#REF!</v>
      </c>
    </row>
    <row r="12" spans="2:53" s="11" customFormat="1" ht="23.25" customHeight="1">
      <c r="B12" s="152" t="s">
        <v>76</v>
      </c>
      <c r="C12" s="631"/>
      <c r="D12" s="145"/>
      <c r="E12" s="153" t="e">
        <f t="shared" ref="E12:AJ12" si="4">ROUNDUP(E11,0)</f>
        <v>#REF!</v>
      </c>
      <c r="F12" s="153" t="e">
        <f t="shared" si="4"/>
        <v>#REF!</v>
      </c>
      <c r="G12" s="153" t="e">
        <f t="shared" si="4"/>
        <v>#REF!</v>
      </c>
      <c r="H12" s="153" t="e">
        <f t="shared" si="4"/>
        <v>#REF!</v>
      </c>
      <c r="I12" s="153" t="e">
        <f t="shared" si="4"/>
        <v>#REF!</v>
      </c>
      <c r="J12" s="153" t="e">
        <f t="shared" si="4"/>
        <v>#REF!</v>
      </c>
      <c r="K12" s="153" t="e">
        <f t="shared" si="4"/>
        <v>#REF!</v>
      </c>
      <c r="L12" s="153" t="e">
        <f t="shared" si="4"/>
        <v>#REF!</v>
      </c>
      <c r="M12" s="153" t="e">
        <f t="shared" si="4"/>
        <v>#REF!</v>
      </c>
      <c r="N12" s="153" t="e">
        <f t="shared" si="4"/>
        <v>#REF!</v>
      </c>
      <c r="O12" s="153" t="e">
        <f t="shared" si="4"/>
        <v>#REF!</v>
      </c>
      <c r="P12" s="153" t="e">
        <f t="shared" si="4"/>
        <v>#REF!</v>
      </c>
      <c r="Q12" s="153" t="e">
        <f t="shared" si="4"/>
        <v>#REF!</v>
      </c>
      <c r="R12" s="153" t="e">
        <f t="shared" si="4"/>
        <v>#REF!</v>
      </c>
      <c r="S12" s="153" t="e">
        <f t="shared" si="4"/>
        <v>#REF!</v>
      </c>
      <c r="T12" s="153" t="e">
        <f t="shared" si="4"/>
        <v>#REF!</v>
      </c>
      <c r="U12" s="153" t="e">
        <f t="shared" si="4"/>
        <v>#REF!</v>
      </c>
      <c r="V12" s="153" t="e">
        <f t="shared" si="4"/>
        <v>#REF!</v>
      </c>
      <c r="W12" s="153" t="e">
        <f t="shared" si="4"/>
        <v>#REF!</v>
      </c>
      <c r="X12" s="153" t="e">
        <f t="shared" si="4"/>
        <v>#REF!</v>
      </c>
      <c r="Y12" s="153" t="e">
        <f t="shared" si="4"/>
        <v>#REF!</v>
      </c>
      <c r="Z12" s="153" t="e">
        <f t="shared" si="4"/>
        <v>#REF!</v>
      </c>
      <c r="AA12" s="153" t="e">
        <f t="shared" si="4"/>
        <v>#REF!</v>
      </c>
      <c r="AB12" s="153" t="e">
        <f t="shared" si="4"/>
        <v>#REF!</v>
      </c>
      <c r="AC12" s="153" t="e">
        <f t="shared" si="4"/>
        <v>#REF!</v>
      </c>
      <c r="AD12" s="153" t="e">
        <f t="shared" si="4"/>
        <v>#REF!</v>
      </c>
      <c r="AE12" s="153" t="e">
        <f t="shared" si="4"/>
        <v>#REF!</v>
      </c>
      <c r="AF12" s="153" t="e">
        <f t="shared" si="4"/>
        <v>#REF!</v>
      </c>
      <c r="AG12" s="153" t="e">
        <f t="shared" si="4"/>
        <v>#REF!</v>
      </c>
      <c r="AH12" s="153" t="e">
        <f t="shared" si="4"/>
        <v>#REF!</v>
      </c>
      <c r="AI12" s="153" t="e">
        <f t="shared" si="4"/>
        <v>#REF!</v>
      </c>
      <c r="AJ12" s="153" t="e">
        <f t="shared" si="4"/>
        <v>#REF!</v>
      </c>
      <c r="AK12" s="153" t="e">
        <f t="shared" ref="AK12:BA12" si="5">ROUNDUP(AK11,0)</f>
        <v>#REF!</v>
      </c>
      <c r="AL12" s="153" t="e">
        <f t="shared" si="5"/>
        <v>#REF!</v>
      </c>
      <c r="AM12" s="153" t="e">
        <f t="shared" si="5"/>
        <v>#REF!</v>
      </c>
      <c r="AN12" s="153" t="e">
        <f t="shared" si="5"/>
        <v>#REF!</v>
      </c>
      <c r="AO12" s="153" t="e">
        <f t="shared" si="5"/>
        <v>#REF!</v>
      </c>
      <c r="AP12" s="153" t="e">
        <f t="shared" si="5"/>
        <v>#REF!</v>
      </c>
      <c r="AQ12" s="153" t="e">
        <f t="shared" si="5"/>
        <v>#REF!</v>
      </c>
      <c r="AR12" s="153" t="e">
        <f t="shared" si="5"/>
        <v>#REF!</v>
      </c>
      <c r="AS12" s="153" t="e">
        <f t="shared" si="5"/>
        <v>#REF!</v>
      </c>
      <c r="AT12" s="153" t="e">
        <f t="shared" si="5"/>
        <v>#REF!</v>
      </c>
      <c r="AU12" s="153" t="e">
        <f t="shared" si="5"/>
        <v>#REF!</v>
      </c>
      <c r="AV12" s="153" t="e">
        <f t="shared" si="5"/>
        <v>#REF!</v>
      </c>
      <c r="AW12" s="153" t="e">
        <f t="shared" si="5"/>
        <v>#REF!</v>
      </c>
      <c r="AX12" s="153" t="e">
        <f t="shared" si="5"/>
        <v>#REF!</v>
      </c>
      <c r="AY12" s="153" t="e">
        <f t="shared" si="5"/>
        <v>#REF!</v>
      </c>
      <c r="AZ12" s="153" t="e">
        <f t="shared" si="5"/>
        <v>#REF!</v>
      </c>
      <c r="BA12" s="153" t="e">
        <f t="shared" si="5"/>
        <v>#REF!</v>
      </c>
    </row>
    <row r="13" spans="2:53" ht="23.25" customHeight="1">
      <c r="B13" s="84"/>
      <c r="C13" s="150"/>
      <c r="D13" s="154"/>
      <c r="E13" s="155"/>
      <c r="F13" s="155"/>
      <c r="G13" s="155"/>
      <c r="H13" s="155"/>
      <c r="I13" s="155"/>
      <c r="J13" s="155"/>
      <c r="K13" s="155"/>
      <c r="L13" s="155"/>
      <c r="M13" s="155"/>
      <c r="N13" s="155"/>
      <c r="O13" s="155"/>
      <c r="P13" s="155"/>
      <c r="Q13" s="155"/>
      <c r="R13" s="155"/>
      <c r="S13" s="155"/>
      <c r="T13" s="155"/>
      <c r="U13" s="155"/>
      <c r="V13" s="155"/>
      <c r="W13" s="155"/>
      <c r="X13" s="155"/>
      <c r="Y13" s="155"/>
      <c r="Z13" s="155"/>
      <c r="AA13" s="155"/>
      <c r="AB13" s="155"/>
      <c r="AC13" s="155"/>
      <c r="AD13" s="155"/>
      <c r="AE13" s="155"/>
      <c r="AF13" s="155"/>
      <c r="AG13" s="155"/>
      <c r="AH13" s="155"/>
      <c r="AI13" s="155"/>
      <c r="AJ13" s="155"/>
      <c r="AK13" s="155"/>
      <c r="AL13" s="155"/>
      <c r="AM13" s="155"/>
      <c r="AN13" s="155"/>
      <c r="AO13" s="155"/>
      <c r="AP13" s="155"/>
      <c r="AQ13" s="155"/>
      <c r="AR13" s="155"/>
      <c r="AS13" s="155"/>
      <c r="AT13" s="155"/>
      <c r="AU13" s="155"/>
      <c r="AV13" s="155"/>
      <c r="AW13" s="155"/>
      <c r="AX13" s="155"/>
      <c r="AY13" s="155"/>
      <c r="AZ13" s="155"/>
      <c r="BA13" s="155"/>
    </row>
    <row r="14" spans="2:53" ht="23.25" customHeight="1">
      <c r="B14" s="84"/>
      <c r="C14" s="150"/>
      <c r="D14" s="154"/>
      <c r="E14" s="155"/>
      <c r="F14" s="155"/>
      <c r="G14" s="155"/>
      <c r="H14" s="155"/>
      <c r="I14" s="155"/>
      <c r="J14" s="155"/>
      <c r="K14" s="155"/>
      <c r="L14" s="155"/>
      <c r="M14" s="155"/>
      <c r="N14" s="155"/>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55"/>
      <c r="AU14" s="155"/>
      <c r="AV14" s="155"/>
      <c r="AW14" s="155"/>
      <c r="AX14" s="155"/>
      <c r="AY14" s="155"/>
      <c r="AZ14" s="155"/>
      <c r="BA14" s="155"/>
    </row>
    <row r="15" spans="2:53" ht="23.25" customHeight="1">
      <c r="B15" s="84"/>
      <c r="C15" s="150"/>
      <c r="D15" s="154"/>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row>
    <row r="16" spans="2:53" ht="23.25" customHeight="1">
      <c r="B16" s="84"/>
      <c r="C16" s="150"/>
      <c r="D16" s="154"/>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55"/>
      <c r="AJ16" s="155"/>
      <c r="AK16" s="155"/>
      <c r="AL16" s="155"/>
      <c r="AM16" s="155"/>
      <c r="AN16" s="155"/>
      <c r="AO16" s="155"/>
      <c r="AP16" s="155"/>
      <c r="AQ16" s="155"/>
      <c r="AR16" s="155"/>
      <c r="AS16" s="155"/>
      <c r="AT16" s="155"/>
      <c r="AU16" s="155"/>
      <c r="AV16" s="155"/>
      <c r="AW16" s="155"/>
      <c r="AX16" s="155"/>
      <c r="AY16" s="155"/>
      <c r="AZ16" s="155"/>
      <c r="BA16" s="155"/>
    </row>
    <row r="17" spans="2:53">
      <c r="B17" s="146"/>
      <c r="C17" s="146"/>
      <c r="D17" s="146"/>
      <c r="E17" s="146"/>
      <c r="F17" s="146"/>
      <c r="G17" s="147"/>
      <c r="H17" s="146"/>
      <c r="I17" s="146"/>
      <c r="J17" s="146"/>
      <c r="K17" s="146"/>
      <c r="L17" s="146"/>
      <c r="M17" s="146"/>
      <c r="N17" s="146"/>
      <c r="O17" s="146"/>
      <c r="P17" s="146"/>
      <c r="Q17" s="146"/>
      <c r="R17" s="146"/>
      <c r="S17" s="146"/>
      <c r="T17" s="146"/>
      <c r="U17" s="146"/>
      <c r="V17" s="146"/>
      <c r="W17" s="146"/>
      <c r="X17" s="146"/>
      <c r="Y17" s="146"/>
      <c r="Z17" s="146"/>
      <c r="AA17" s="146"/>
      <c r="AB17" s="146"/>
      <c r="AC17" s="146"/>
      <c r="AD17" s="146"/>
      <c r="AE17" s="146"/>
      <c r="AF17" s="146"/>
      <c r="AG17" s="146"/>
      <c r="AH17" s="146"/>
      <c r="AI17" s="146"/>
      <c r="AJ17" s="146"/>
      <c r="AK17" s="146"/>
      <c r="AL17" s="146"/>
      <c r="AM17" s="146"/>
      <c r="AN17" s="146"/>
      <c r="AO17" s="146"/>
      <c r="AP17" s="146"/>
      <c r="AQ17" s="146"/>
      <c r="AR17" s="146"/>
      <c r="AS17" s="146"/>
      <c r="AT17" s="146"/>
      <c r="AU17" s="146"/>
      <c r="AV17" s="146"/>
      <c r="AW17" s="146"/>
      <c r="AX17" s="146"/>
      <c r="AY17" s="146"/>
      <c r="AZ17" s="146"/>
      <c r="BA17" s="146"/>
    </row>
    <row r="18" spans="2:53" s="78" customFormat="1" ht="27" customHeight="1">
      <c r="B18" s="142" t="s">
        <v>81</v>
      </c>
      <c r="C18" s="143"/>
      <c r="D18" s="143"/>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c r="AY18" s="142"/>
      <c r="AZ18" s="142"/>
      <c r="BA18" s="142"/>
    </row>
    <row r="19" spans="2:53">
      <c r="B19" s="146"/>
      <c r="C19" s="146"/>
      <c r="D19" s="146"/>
      <c r="E19" s="146"/>
      <c r="F19" s="146"/>
      <c r="G19" s="147"/>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row>
    <row r="20" spans="2:53">
      <c r="B20" s="145" t="s">
        <v>82</v>
      </c>
      <c r="C20" s="145"/>
      <c r="D20" s="145"/>
      <c r="E20" s="146" t="e">
        <f>SUMIF(#REF!,'Tray Sizing'!E$4,#REF!)</f>
        <v>#REF!</v>
      </c>
      <c r="F20" s="146" t="e">
        <f>SUMIF(#REF!,'Tray Sizing'!F$4,#REF!)</f>
        <v>#REF!</v>
      </c>
      <c r="G20" s="147" t="e">
        <f>SUMIF(#REF!,'Tray Sizing'!G$4,#REF!)</f>
        <v>#REF!</v>
      </c>
      <c r="H20" s="146" t="e">
        <f>SUMIF(#REF!,'Tray Sizing'!H$4,#REF!)</f>
        <v>#REF!</v>
      </c>
      <c r="I20" s="146" t="e">
        <f>SUMIF(#REF!,'Tray Sizing'!I$4,#REF!)</f>
        <v>#REF!</v>
      </c>
      <c r="J20" s="146" t="e">
        <f>SUMIF(#REF!,'Tray Sizing'!J$4,#REF!)</f>
        <v>#REF!</v>
      </c>
      <c r="K20" s="146" t="e">
        <f>SUMIF(#REF!,'Tray Sizing'!K$4,#REF!)</f>
        <v>#REF!</v>
      </c>
      <c r="L20" s="146" t="e">
        <f>SUMIF(#REF!,'Tray Sizing'!L$4,#REF!)</f>
        <v>#REF!</v>
      </c>
      <c r="M20" s="146" t="e">
        <f>SUMIF(#REF!,'Tray Sizing'!M$4,#REF!)</f>
        <v>#REF!</v>
      </c>
      <c r="N20" s="146" t="e">
        <f>SUMIF(#REF!,'Tray Sizing'!N$4,#REF!)</f>
        <v>#REF!</v>
      </c>
      <c r="O20" s="146" t="e">
        <f>SUMIF(#REF!,'Tray Sizing'!O$4,#REF!)</f>
        <v>#REF!</v>
      </c>
      <c r="P20" s="146" t="e">
        <f>SUMIF(#REF!,'Tray Sizing'!P$4,#REF!)</f>
        <v>#REF!</v>
      </c>
      <c r="Q20" s="146" t="e">
        <f>SUMIF(#REF!,'Tray Sizing'!Q$4,#REF!)</f>
        <v>#REF!</v>
      </c>
      <c r="R20" s="146" t="e">
        <f>SUMIF(#REF!,'Tray Sizing'!R$4,#REF!)</f>
        <v>#REF!</v>
      </c>
      <c r="S20" s="146" t="e">
        <f>SUMIF(#REF!,'Tray Sizing'!S$4,#REF!)</f>
        <v>#REF!</v>
      </c>
      <c r="T20" s="146" t="e">
        <f>SUMIF(#REF!,'Tray Sizing'!T$4,#REF!)</f>
        <v>#REF!</v>
      </c>
      <c r="U20" s="146" t="e">
        <f>SUMIF(#REF!,'Tray Sizing'!U$4,#REF!)</f>
        <v>#REF!</v>
      </c>
      <c r="V20" s="146" t="e">
        <f>SUMIF(#REF!,'Tray Sizing'!V$4,#REF!)</f>
        <v>#REF!</v>
      </c>
      <c r="W20" s="146" t="e">
        <f>SUMIF(#REF!,'Tray Sizing'!W$4,#REF!)</f>
        <v>#REF!</v>
      </c>
      <c r="X20" s="146" t="e">
        <f>SUMIF(#REF!,'Tray Sizing'!X$4,#REF!)</f>
        <v>#REF!</v>
      </c>
      <c r="Y20" s="146" t="e">
        <f>SUMIF(#REF!,'Tray Sizing'!Y$4,#REF!)</f>
        <v>#REF!</v>
      </c>
      <c r="Z20" s="146" t="e">
        <f>SUMIF(#REF!,'Tray Sizing'!Z$4,#REF!)</f>
        <v>#REF!</v>
      </c>
      <c r="AA20" s="146" t="e">
        <f>SUMIF(#REF!,'Tray Sizing'!AA$4,#REF!)</f>
        <v>#REF!</v>
      </c>
      <c r="AB20" s="146" t="e">
        <f>SUMIF(#REF!,'Tray Sizing'!AB$4,#REF!)</f>
        <v>#REF!</v>
      </c>
      <c r="AC20" s="146" t="e">
        <f>SUMIF(#REF!,'Tray Sizing'!AC$4,#REF!)</f>
        <v>#REF!</v>
      </c>
      <c r="AD20" s="146" t="e">
        <f>SUMIF(#REF!,'Tray Sizing'!AD$4,#REF!)</f>
        <v>#REF!</v>
      </c>
      <c r="AE20" s="146" t="e">
        <f>SUMIF(#REF!,'Tray Sizing'!AE$4,#REF!)</f>
        <v>#REF!</v>
      </c>
      <c r="AF20" s="146" t="e">
        <f>SUMIF(#REF!,'Tray Sizing'!AF$4,#REF!)</f>
        <v>#REF!</v>
      </c>
      <c r="AG20" s="146" t="e">
        <f>SUMIF(#REF!,'Tray Sizing'!AG$4,#REF!)</f>
        <v>#REF!</v>
      </c>
      <c r="AH20" s="146" t="e">
        <f>SUMIF(#REF!,'Tray Sizing'!AH$4,#REF!)</f>
        <v>#REF!</v>
      </c>
      <c r="AI20" s="146" t="e">
        <f>SUMIF(#REF!,'Tray Sizing'!AI$4,#REF!)</f>
        <v>#REF!</v>
      </c>
      <c r="AJ20" s="146" t="e">
        <f>SUMIF(#REF!,'Tray Sizing'!AJ$4,#REF!)</f>
        <v>#REF!</v>
      </c>
      <c r="AK20" s="146" t="e">
        <f>SUMIF(#REF!,'Tray Sizing'!AK$4,#REF!)</f>
        <v>#REF!</v>
      </c>
      <c r="AL20" s="146" t="e">
        <f>SUMIF(#REF!,'Tray Sizing'!AL$4,#REF!)</f>
        <v>#REF!</v>
      </c>
      <c r="AM20" s="146" t="e">
        <f>SUMIF(#REF!,'Tray Sizing'!AM$4,#REF!)</f>
        <v>#REF!</v>
      </c>
      <c r="AN20" s="146" t="e">
        <f>SUMIF(#REF!,'Tray Sizing'!AN$4,#REF!)</f>
        <v>#REF!</v>
      </c>
      <c r="AO20" s="146" t="e">
        <f>SUMIF(#REF!,'Tray Sizing'!AO$4,#REF!)</f>
        <v>#REF!</v>
      </c>
      <c r="AP20" s="146" t="e">
        <f>SUMIF(#REF!,'Tray Sizing'!AP$4,#REF!)</f>
        <v>#REF!</v>
      </c>
      <c r="AQ20" s="146" t="e">
        <f>SUMIF(#REF!,'Tray Sizing'!AQ$4,#REF!)</f>
        <v>#REF!</v>
      </c>
      <c r="AR20" s="146" t="e">
        <f>SUMIF(#REF!,'Tray Sizing'!AR$4,#REF!)</f>
        <v>#REF!</v>
      </c>
      <c r="AS20" s="146" t="e">
        <f>SUMIF(#REF!,'Tray Sizing'!AS$4,#REF!)</f>
        <v>#REF!</v>
      </c>
      <c r="AT20" s="146" t="e">
        <f>SUMIF(#REF!,'Tray Sizing'!AT$4,#REF!)</f>
        <v>#REF!</v>
      </c>
      <c r="AU20" s="146" t="e">
        <f>SUMIF(#REF!,'Tray Sizing'!AU$4,#REF!)</f>
        <v>#REF!</v>
      </c>
      <c r="AV20" s="146" t="e">
        <f>SUMIF(#REF!,'Tray Sizing'!AV$4,#REF!)</f>
        <v>#REF!</v>
      </c>
      <c r="AW20" s="146" t="e">
        <f>SUMIF(#REF!,'Tray Sizing'!AW$4,#REF!)</f>
        <v>#REF!</v>
      </c>
      <c r="AX20" s="146" t="e">
        <f>SUMIF(#REF!,'Tray Sizing'!AX$4,#REF!)</f>
        <v>#REF!</v>
      </c>
      <c r="AY20" s="146" t="e">
        <f>SUMIF(#REF!,'Tray Sizing'!AY$4,#REF!)</f>
        <v>#REF!</v>
      </c>
      <c r="AZ20" s="146" t="e">
        <f>SUMIF(#REF!,'Tray Sizing'!AZ$4,#REF!)</f>
        <v>#REF!</v>
      </c>
      <c r="BA20" s="146" t="e">
        <f>SUMIF(#REF!,'Tray Sizing'!BA$4,#REF!)</f>
        <v>#REF!</v>
      </c>
    </row>
    <row r="21" spans="2:53">
      <c r="B21" s="154"/>
      <c r="C21" s="154"/>
      <c r="D21" s="154"/>
      <c r="E21" s="146"/>
      <c r="F21" s="146"/>
      <c r="G21" s="147"/>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row>
    <row r="22" spans="2:53" s="83" customFormat="1" ht="25">
      <c r="B22" s="156" t="s">
        <v>79</v>
      </c>
      <c r="C22" s="156"/>
      <c r="D22" s="156"/>
      <c r="E22" s="157" t="e">
        <f>E20*1.2</f>
        <v>#REF!</v>
      </c>
      <c r="F22" s="157" t="e">
        <f t="shared" ref="F22:BA22" si="6">F20*1.2</f>
        <v>#REF!</v>
      </c>
      <c r="G22" s="157" t="e">
        <f t="shared" si="6"/>
        <v>#REF!</v>
      </c>
      <c r="H22" s="157" t="e">
        <f t="shared" si="6"/>
        <v>#REF!</v>
      </c>
      <c r="I22" s="157" t="e">
        <f t="shared" si="6"/>
        <v>#REF!</v>
      </c>
      <c r="J22" s="157" t="e">
        <f t="shared" si="6"/>
        <v>#REF!</v>
      </c>
      <c r="K22" s="157" t="e">
        <f t="shared" si="6"/>
        <v>#REF!</v>
      </c>
      <c r="L22" s="157" t="e">
        <f t="shared" si="6"/>
        <v>#REF!</v>
      </c>
      <c r="M22" s="157" t="e">
        <f t="shared" si="6"/>
        <v>#REF!</v>
      </c>
      <c r="N22" s="157" t="e">
        <f t="shared" si="6"/>
        <v>#REF!</v>
      </c>
      <c r="O22" s="157" t="e">
        <f t="shared" si="6"/>
        <v>#REF!</v>
      </c>
      <c r="P22" s="157" t="e">
        <f t="shared" si="6"/>
        <v>#REF!</v>
      </c>
      <c r="Q22" s="157" t="e">
        <f t="shared" si="6"/>
        <v>#REF!</v>
      </c>
      <c r="R22" s="157" t="e">
        <f t="shared" si="6"/>
        <v>#REF!</v>
      </c>
      <c r="S22" s="157" t="e">
        <f t="shared" si="6"/>
        <v>#REF!</v>
      </c>
      <c r="T22" s="157" t="e">
        <f t="shared" si="6"/>
        <v>#REF!</v>
      </c>
      <c r="U22" s="157" t="e">
        <f t="shared" si="6"/>
        <v>#REF!</v>
      </c>
      <c r="V22" s="157" t="e">
        <f t="shared" si="6"/>
        <v>#REF!</v>
      </c>
      <c r="W22" s="157" t="e">
        <f t="shared" si="6"/>
        <v>#REF!</v>
      </c>
      <c r="X22" s="157" t="e">
        <f t="shared" si="6"/>
        <v>#REF!</v>
      </c>
      <c r="Y22" s="157" t="e">
        <f t="shared" si="6"/>
        <v>#REF!</v>
      </c>
      <c r="Z22" s="157" t="e">
        <f t="shared" si="6"/>
        <v>#REF!</v>
      </c>
      <c r="AA22" s="157" t="e">
        <f t="shared" si="6"/>
        <v>#REF!</v>
      </c>
      <c r="AB22" s="157" t="e">
        <f t="shared" si="6"/>
        <v>#REF!</v>
      </c>
      <c r="AC22" s="157" t="e">
        <f t="shared" si="6"/>
        <v>#REF!</v>
      </c>
      <c r="AD22" s="157" t="e">
        <f t="shared" si="6"/>
        <v>#REF!</v>
      </c>
      <c r="AE22" s="157" t="e">
        <f t="shared" si="6"/>
        <v>#REF!</v>
      </c>
      <c r="AF22" s="157" t="e">
        <f t="shared" si="6"/>
        <v>#REF!</v>
      </c>
      <c r="AG22" s="157" t="e">
        <f t="shared" si="6"/>
        <v>#REF!</v>
      </c>
      <c r="AH22" s="157" t="e">
        <f t="shared" si="6"/>
        <v>#REF!</v>
      </c>
      <c r="AI22" s="157" t="e">
        <f t="shared" si="6"/>
        <v>#REF!</v>
      </c>
      <c r="AJ22" s="157" t="e">
        <f t="shared" si="6"/>
        <v>#REF!</v>
      </c>
      <c r="AK22" s="157" t="e">
        <f t="shared" si="6"/>
        <v>#REF!</v>
      </c>
      <c r="AL22" s="157" t="e">
        <f t="shared" si="6"/>
        <v>#REF!</v>
      </c>
      <c r="AM22" s="157" t="e">
        <f t="shared" si="6"/>
        <v>#REF!</v>
      </c>
      <c r="AN22" s="157" t="e">
        <f t="shared" si="6"/>
        <v>#REF!</v>
      </c>
      <c r="AO22" s="157" t="e">
        <f t="shared" si="6"/>
        <v>#REF!</v>
      </c>
      <c r="AP22" s="157" t="e">
        <f t="shared" si="6"/>
        <v>#REF!</v>
      </c>
      <c r="AQ22" s="157" t="e">
        <f t="shared" si="6"/>
        <v>#REF!</v>
      </c>
      <c r="AR22" s="157" t="e">
        <f t="shared" si="6"/>
        <v>#REF!</v>
      </c>
      <c r="AS22" s="157" t="e">
        <f t="shared" si="6"/>
        <v>#REF!</v>
      </c>
      <c r="AT22" s="157" t="e">
        <f t="shared" si="6"/>
        <v>#REF!</v>
      </c>
      <c r="AU22" s="157" t="e">
        <f t="shared" si="6"/>
        <v>#REF!</v>
      </c>
      <c r="AV22" s="157" t="e">
        <f t="shared" si="6"/>
        <v>#REF!</v>
      </c>
      <c r="AW22" s="157" t="e">
        <f t="shared" si="6"/>
        <v>#REF!</v>
      </c>
      <c r="AX22" s="157" t="e">
        <f t="shared" ref="AX22:AY22" si="7">AX20*1.2</f>
        <v>#REF!</v>
      </c>
      <c r="AY22" s="157" t="e">
        <f t="shared" si="7"/>
        <v>#REF!</v>
      </c>
      <c r="AZ22" s="157" t="e">
        <f t="shared" si="6"/>
        <v>#REF!</v>
      </c>
      <c r="BA22" s="157" t="e">
        <f t="shared" si="6"/>
        <v>#REF!</v>
      </c>
    </row>
    <row r="23" spans="2:53">
      <c r="B23" s="154"/>
      <c r="C23" s="154"/>
      <c r="D23" s="154"/>
      <c r="E23" s="146"/>
      <c r="F23" s="146"/>
      <c r="G23" s="147"/>
      <c r="H23" s="146"/>
      <c r="I23" s="146"/>
      <c r="J23" s="146"/>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c r="AY23" s="146"/>
      <c r="AZ23" s="146"/>
      <c r="BA23" s="146"/>
    </row>
    <row r="24" spans="2:53">
      <c r="B24" s="158"/>
      <c r="C24" s="158"/>
      <c r="D24" s="154"/>
      <c r="E24" s="146"/>
      <c r="F24" s="146"/>
      <c r="G24" s="147"/>
      <c r="H24" s="146"/>
      <c r="I24" s="146"/>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6"/>
      <c r="AZ24" s="146"/>
      <c r="BA24" s="146"/>
    </row>
    <row r="25" spans="2:53">
      <c r="B25" s="158"/>
      <c r="C25" s="158"/>
      <c r="D25" s="154"/>
      <c r="E25" s="146"/>
      <c r="F25" s="146"/>
      <c r="G25" s="147"/>
      <c r="H25" s="146"/>
      <c r="I25" s="146"/>
      <c r="J25" s="146"/>
      <c r="K25" s="146"/>
      <c r="L25" s="146"/>
      <c r="M25" s="146"/>
      <c r="N25" s="146"/>
      <c r="O25" s="146"/>
      <c r="P25" s="146"/>
      <c r="Q25" s="146"/>
      <c r="R25" s="146"/>
      <c r="S25" s="146"/>
      <c r="T25" s="146"/>
      <c r="U25" s="146"/>
      <c r="V25" s="146"/>
      <c r="W25" s="146"/>
      <c r="X25" s="146"/>
      <c r="Y25" s="146"/>
      <c r="Z25" s="146"/>
      <c r="AA25" s="146"/>
      <c r="AB25" s="146"/>
      <c r="AC25" s="146"/>
      <c r="AD25" s="146"/>
      <c r="AE25" s="146"/>
      <c r="AF25" s="146"/>
      <c r="AG25" s="146"/>
      <c r="AH25" s="146"/>
      <c r="AI25" s="146"/>
      <c r="AJ25" s="146"/>
      <c r="AK25" s="146"/>
      <c r="AL25" s="146"/>
      <c r="AM25" s="146"/>
      <c r="AN25" s="146"/>
      <c r="AO25" s="146"/>
      <c r="AP25" s="146"/>
      <c r="AQ25" s="146"/>
      <c r="AR25" s="146"/>
      <c r="AS25" s="146"/>
      <c r="AT25" s="146"/>
      <c r="AU25" s="146"/>
      <c r="AV25" s="146"/>
      <c r="AW25" s="146"/>
      <c r="AX25" s="146"/>
      <c r="AY25" s="146"/>
      <c r="AZ25" s="146"/>
      <c r="BA25" s="146"/>
    </row>
    <row r="26" spans="2:53">
      <c r="B26" s="158"/>
      <c r="C26" s="158"/>
      <c r="D26" s="154"/>
      <c r="E26" s="146"/>
      <c r="F26" s="146"/>
      <c r="G26" s="147"/>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row>
    <row r="27" spans="2:53" ht="12.75" customHeight="1">
      <c r="B27" s="624" t="s">
        <v>83</v>
      </c>
      <c r="C27" s="621">
        <v>600</v>
      </c>
      <c r="D27" s="159"/>
      <c r="E27" s="151" t="e">
        <f>E22/$C$27</f>
        <v>#REF!</v>
      </c>
      <c r="F27" s="151" t="e">
        <f t="shared" ref="F27:BA27" si="8">F22/$C$27</f>
        <v>#REF!</v>
      </c>
      <c r="G27" s="151" t="e">
        <f t="shared" si="8"/>
        <v>#REF!</v>
      </c>
      <c r="H27" s="151" t="e">
        <f t="shared" si="8"/>
        <v>#REF!</v>
      </c>
      <c r="I27" s="151" t="e">
        <f t="shared" si="8"/>
        <v>#REF!</v>
      </c>
      <c r="J27" s="151" t="e">
        <f t="shared" si="8"/>
        <v>#REF!</v>
      </c>
      <c r="K27" s="151" t="e">
        <f t="shared" si="8"/>
        <v>#REF!</v>
      </c>
      <c r="L27" s="151" t="e">
        <f t="shared" si="8"/>
        <v>#REF!</v>
      </c>
      <c r="M27" s="151" t="e">
        <f t="shared" si="8"/>
        <v>#REF!</v>
      </c>
      <c r="N27" s="151" t="e">
        <f t="shared" si="8"/>
        <v>#REF!</v>
      </c>
      <c r="O27" s="151" t="e">
        <f t="shared" si="8"/>
        <v>#REF!</v>
      </c>
      <c r="P27" s="151" t="e">
        <f t="shared" si="8"/>
        <v>#REF!</v>
      </c>
      <c r="Q27" s="151" t="e">
        <f t="shared" si="8"/>
        <v>#REF!</v>
      </c>
      <c r="R27" s="151" t="e">
        <f t="shared" si="8"/>
        <v>#REF!</v>
      </c>
      <c r="S27" s="151" t="e">
        <f t="shared" si="8"/>
        <v>#REF!</v>
      </c>
      <c r="T27" s="151" t="e">
        <f t="shared" si="8"/>
        <v>#REF!</v>
      </c>
      <c r="U27" s="151" t="e">
        <f t="shared" si="8"/>
        <v>#REF!</v>
      </c>
      <c r="V27" s="151" t="e">
        <f t="shared" si="8"/>
        <v>#REF!</v>
      </c>
      <c r="W27" s="151" t="e">
        <f t="shared" si="8"/>
        <v>#REF!</v>
      </c>
      <c r="X27" s="151" t="e">
        <f t="shared" si="8"/>
        <v>#REF!</v>
      </c>
      <c r="Y27" s="151" t="e">
        <f t="shared" si="8"/>
        <v>#REF!</v>
      </c>
      <c r="Z27" s="151" t="e">
        <f t="shared" si="8"/>
        <v>#REF!</v>
      </c>
      <c r="AA27" s="151" t="e">
        <f t="shared" si="8"/>
        <v>#REF!</v>
      </c>
      <c r="AB27" s="151" t="e">
        <f t="shared" si="8"/>
        <v>#REF!</v>
      </c>
      <c r="AC27" s="151" t="e">
        <f t="shared" si="8"/>
        <v>#REF!</v>
      </c>
      <c r="AD27" s="151" t="e">
        <f t="shared" si="8"/>
        <v>#REF!</v>
      </c>
      <c r="AE27" s="151" t="e">
        <f t="shared" si="8"/>
        <v>#REF!</v>
      </c>
      <c r="AF27" s="151" t="e">
        <f t="shared" si="8"/>
        <v>#REF!</v>
      </c>
      <c r="AG27" s="151" t="e">
        <f t="shared" si="8"/>
        <v>#REF!</v>
      </c>
      <c r="AH27" s="151" t="e">
        <f t="shared" si="8"/>
        <v>#REF!</v>
      </c>
      <c r="AI27" s="151" t="e">
        <f t="shared" si="8"/>
        <v>#REF!</v>
      </c>
      <c r="AJ27" s="151" t="e">
        <f t="shared" si="8"/>
        <v>#REF!</v>
      </c>
      <c r="AK27" s="151" t="e">
        <f t="shared" si="8"/>
        <v>#REF!</v>
      </c>
      <c r="AL27" s="151" t="e">
        <f t="shared" si="8"/>
        <v>#REF!</v>
      </c>
      <c r="AM27" s="151" t="e">
        <f t="shared" si="8"/>
        <v>#REF!</v>
      </c>
      <c r="AN27" s="151" t="e">
        <f t="shared" si="8"/>
        <v>#REF!</v>
      </c>
      <c r="AO27" s="151" t="e">
        <f t="shared" si="8"/>
        <v>#REF!</v>
      </c>
      <c r="AP27" s="151" t="e">
        <f t="shared" si="8"/>
        <v>#REF!</v>
      </c>
      <c r="AQ27" s="151" t="e">
        <f t="shared" si="8"/>
        <v>#REF!</v>
      </c>
      <c r="AR27" s="151" t="e">
        <f t="shared" si="8"/>
        <v>#REF!</v>
      </c>
      <c r="AS27" s="151" t="e">
        <f t="shared" si="8"/>
        <v>#REF!</v>
      </c>
      <c r="AT27" s="151" t="e">
        <f t="shared" si="8"/>
        <v>#REF!</v>
      </c>
      <c r="AU27" s="151" t="e">
        <f t="shared" si="8"/>
        <v>#REF!</v>
      </c>
      <c r="AV27" s="151" t="e">
        <f t="shared" si="8"/>
        <v>#REF!</v>
      </c>
      <c r="AW27" s="151" t="e">
        <f t="shared" si="8"/>
        <v>#REF!</v>
      </c>
      <c r="AX27" s="151" t="e">
        <f t="shared" si="8"/>
        <v>#REF!</v>
      </c>
      <c r="AY27" s="151" t="e">
        <f t="shared" si="8"/>
        <v>#REF!</v>
      </c>
      <c r="AZ27" s="151" t="e">
        <f t="shared" si="8"/>
        <v>#REF!</v>
      </c>
      <c r="BA27" s="151" t="e">
        <f t="shared" si="8"/>
        <v>#REF!</v>
      </c>
    </row>
    <row r="28" spans="2:53" ht="13">
      <c r="B28" s="625"/>
      <c r="C28" s="622"/>
      <c r="D28" s="159"/>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K28" s="160"/>
      <c r="AL28" s="160"/>
      <c r="AM28" s="160"/>
      <c r="AN28" s="160"/>
      <c r="AO28" s="160"/>
      <c r="AP28" s="160"/>
      <c r="AQ28" s="160"/>
      <c r="AR28" s="160"/>
      <c r="AS28" s="160"/>
      <c r="AT28" s="160"/>
      <c r="AU28" s="160"/>
      <c r="AV28" s="160"/>
      <c r="AW28" s="160"/>
      <c r="AX28" s="160"/>
      <c r="AY28" s="160"/>
      <c r="AZ28" s="160"/>
      <c r="BA28" s="160"/>
    </row>
    <row r="29" spans="2:53" ht="27" customHeight="1">
      <c r="B29" s="625"/>
      <c r="C29" s="623"/>
      <c r="D29" s="154"/>
      <c r="E29" s="161" t="e">
        <f>ROUNDUP(E27,0)</f>
        <v>#REF!</v>
      </c>
      <c r="F29" s="161" t="e">
        <f t="shared" ref="F29:BA29" si="9">ROUNDUP(F27,0)</f>
        <v>#REF!</v>
      </c>
      <c r="G29" s="161" t="e">
        <f t="shared" si="9"/>
        <v>#REF!</v>
      </c>
      <c r="H29" s="161" t="e">
        <f t="shared" si="9"/>
        <v>#REF!</v>
      </c>
      <c r="I29" s="161" t="e">
        <f t="shared" si="9"/>
        <v>#REF!</v>
      </c>
      <c r="J29" s="162">
        <v>2</v>
      </c>
      <c r="K29" s="163">
        <v>0</v>
      </c>
      <c r="L29" s="163">
        <v>0</v>
      </c>
      <c r="M29" s="163">
        <v>0</v>
      </c>
      <c r="N29" s="162">
        <v>2</v>
      </c>
      <c r="O29" s="163">
        <v>0</v>
      </c>
      <c r="P29" s="162">
        <v>1</v>
      </c>
      <c r="Q29" s="161" t="e">
        <f t="shared" si="9"/>
        <v>#REF!</v>
      </c>
      <c r="R29" s="163">
        <v>0</v>
      </c>
      <c r="S29" s="163">
        <v>0</v>
      </c>
      <c r="T29" s="163">
        <v>0</v>
      </c>
      <c r="U29" s="163">
        <v>0</v>
      </c>
      <c r="V29" s="161">
        <v>1</v>
      </c>
      <c r="W29" s="161">
        <v>1</v>
      </c>
      <c r="X29" s="161" t="e">
        <f t="shared" si="9"/>
        <v>#REF!</v>
      </c>
      <c r="Y29" s="161" t="e">
        <f t="shared" si="9"/>
        <v>#REF!</v>
      </c>
      <c r="Z29" s="161" t="e">
        <f t="shared" si="9"/>
        <v>#REF!</v>
      </c>
      <c r="AA29" s="161" t="e">
        <f t="shared" si="9"/>
        <v>#REF!</v>
      </c>
      <c r="AB29" s="163">
        <v>0</v>
      </c>
      <c r="AC29" s="161" t="e">
        <f t="shared" si="9"/>
        <v>#REF!</v>
      </c>
      <c r="AD29" s="163">
        <v>0</v>
      </c>
      <c r="AE29" s="161" t="e">
        <f t="shared" si="9"/>
        <v>#REF!</v>
      </c>
      <c r="AF29" s="163">
        <v>0</v>
      </c>
      <c r="AG29" s="163">
        <v>0</v>
      </c>
      <c r="AH29" s="163">
        <v>0</v>
      </c>
      <c r="AI29" s="161" t="e">
        <f t="shared" si="9"/>
        <v>#REF!</v>
      </c>
      <c r="AJ29" s="161" t="e">
        <f t="shared" si="9"/>
        <v>#REF!</v>
      </c>
      <c r="AK29" s="161" t="e">
        <f t="shared" si="9"/>
        <v>#REF!</v>
      </c>
      <c r="AL29" s="161" t="e">
        <f t="shared" si="9"/>
        <v>#REF!</v>
      </c>
      <c r="AM29" s="161" t="e">
        <f t="shared" si="9"/>
        <v>#REF!</v>
      </c>
      <c r="AN29" s="161" t="e">
        <f t="shared" si="9"/>
        <v>#REF!</v>
      </c>
      <c r="AO29" s="161" t="e">
        <f t="shared" si="9"/>
        <v>#REF!</v>
      </c>
      <c r="AP29" s="161" t="e">
        <f t="shared" si="9"/>
        <v>#REF!</v>
      </c>
      <c r="AQ29" s="161" t="e">
        <f t="shared" si="9"/>
        <v>#REF!</v>
      </c>
      <c r="AR29" s="161" t="e">
        <f t="shared" si="9"/>
        <v>#REF!</v>
      </c>
      <c r="AS29" s="163">
        <v>0</v>
      </c>
      <c r="AT29" s="161" t="e">
        <f t="shared" si="9"/>
        <v>#REF!</v>
      </c>
      <c r="AU29" s="163">
        <v>0</v>
      </c>
      <c r="AV29" s="161" t="e">
        <f t="shared" si="9"/>
        <v>#REF!</v>
      </c>
      <c r="AW29" s="163">
        <v>0</v>
      </c>
      <c r="AX29" s="163">
        <v>0</v>
      </c>
      <c r="AY29" s="163">
        <v>0</v>
      </c>
      <c r="AZ29" s="161" t="e">
        <f t="shared" si="9"/>
        <v>#REF!</v>
      </c>
      <c r="BA29" s="161" t="e">
        <f t="shared" si="9"/>
        <v>#REF!</v>
      </c>
    </row>
    <row r="30" spans="2:53" ht="21.75" customHeight="1">
      <c r="B30" s="625"/>
      <c r="C30" s="154"/>
      <c r="D30" s="154"/>
      <c r="E30" s="146"/>
      <c r="F30" s="146"/>
      <c r="G30" s="147"/>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c r="AM30" s="146"/>
      <c r="AN30" s="146"/>
      <c r="AO30" s="146"/>
      <c r="AP30" s="146"/>
      <c r="AQ30" s="146"/>
      <c r="AR30" s="146"/>
      <c r="AS30" s="146"/>
      <c r="AT30" s="146"/>
      <c r="AU30" s="146"/>
      <c r="AV30" s="146"/>
      <c r="AW30" s="146"/>
      <c r="AX30" s="146"/>
      <c r="AY30" s="146"/>
      <c r="AZ30" s="146"/>
      <c r="BA30" s="146"/>
    </row>
    <row r="31" spans="2:53" ht="28.5" customHeight="1">
      <c r="B31" s="625"/>
      <c r="C31" s="164">
        <v>450</v>
      </c>
      <c r="D31" s="154"/>
      <c r="E31" s="146"/>
      <c r="F31" s="146"/>
      <c r="G31" s="147"/>
      <c r="H31" s="146"/>
      <c r="I31" s="146"/>
      <c r="J31" s="146"/>
      <c r="K31" s="146"/>
      <c r="L31" s="146"/>
      <c r="M31" s="146"/>
      <c r="N31" s="146"/>
      <c r="O31" s="146"/>
      <c r="P31" s="146"/>
      <c r="Q31" s="146"/>
      <c r="R31" s="161" t="e">
        <f>ROUNDUP(R27,0)</f>
        <v>#REF!</v>
      </c>
      <c r="S31" s="146"/>
      <c r="T31" s="146"/>
      <c r="U31" s="146"/>
      <c r="V31" s="146"/>
      <c r="W31" s="146"/>
      <c r="X31" s="146"/>
      <c r="Y31" s="146"/>
      <c r="Z31" s="146"/>
      <c r="AA31" s="146"/>
      <c r="AB31" s="161" t="e">
        <f>ROUNDUP(AB27,0)</f>
        <v>#REF!</v>
      </c>
      <c r="AC31" s="146"/>
      <c r="AD31" s="161" t="e">
        <f>ROUNDUP(AD27,0)</f>
        <v>#REF!</v>
      </c>
      <c r="AE31" s="146"/>
      <c r="AF31" s="146"/>
      <c r="AG31" s="146"/>
      <c r="AH31" s="146"/>
      <c r="AI31" s="146"/>
      <c r="AJ31" s="146"/>
      <c r="AK31" s="146"/>
      <c r="AL31" s="146"/>
      <c r="AM31" s="146"/>
      <c r="AN31" s="146"/>
      <c r="AO31" s="146"/>
      <c r="AP31" s="146"/>
      <c r="AQ31" s="146"/>
      <c r="AR31" s="146"/>
      <c r="AS31" s="161" t="e">
        <f>ROUNDUP(AS27,0)</f>
        <v>#REF!</v>
      </c>
      <c r="AT31" s="146"/>
      <c r="AU31" s="146"/>
      <c r="AV31" s="146"/>
      <c r="AW31" s="146"/>
      <c r="AX31" s="146"/>
      <c r="AY31" s="146"/>
      <c r="AZ31" s="146"/>
      <c r="BA31" s="146"/>
    </row>
    <row r="32" spans="2:53" ht="21.75" customHeight="1">
      <c r="B32" s="625"/>
      <c r="C32" s="154"/>
      <c r="D32" s="154"/>
      <c r="E32" s="146"/>
      <c r="F32" s="146"/>
      <c r="G32" s="147"/>
      <c r="H32" s="146"/>
      <c r="I32" s="146"/>
      <c r="J32" s="146"/>
      <c r="K32" s="146"/>
      <c r="L32" s="146"/>
      <c r="M32" s="146"/>
      <c r="N32" s="146"/>
      <c r="O32" s="146"/>
      <c r="P32" s="146"/>
      <c r="Q32" s="146"/>
      <c r="R32" s="146"/>
      <c r="S32" s="146"/>
      <c r="T32" s="146"/>
      <c r="U32" s="146"/>
      <c r="V32" s="146"/>
      <c r="W32" s="146"/>
      <c r="X32" s="146"/>
      <c r="Y32" s="146"/>
      <c r="Z32" s="146"/>
      <c r="AA32" s="146"/>
      <c r="AB32" s="146"/>
      <c r="AC32" s="146"/>
      <c r="AD32" s="146"/>
      <c r="AE32" s="146"/>
      <c r="AF32" s="146"/>
      <c r="AG32" s="146"/>
      <c r="AH32" s="146"/>
      <c r="AI32" s="146"/>
      <c r="AJ32" s="146"/>
      <c r="AK32" s="146"/>
      <c r="AL32" s="146"/>
      <c r="AM32" s="146"/>
      <c r="AN32" s="146"/>
      <c r="AO32" s="146"/>
      <c r="AP32" s="146"/>
      <c r="AQ32" s="146"/>
      <c r="AR32" s="146"/>
      <c r="AS32" s="146"/>
      <c r="AT32" s="146"/>
      <c r="AU32" s="146"/>
      <c r="AV32" s="146"/>
      <c r="AW32" s="146"/>
      <c r="AX32" s="146"/>
      <c r="AY32" s="146"/>
      <c r="AZ32" s="146"/>
      <c r="BA32" s="146"/>
    </row>
    <row r="33" spans="2:53" ht="32.25" customHeight="1">
      <c r="B33" s="626"/>
      <c r="C33" s="164">
        <v>300</v>
      </c>
      <c r="D33" s="154"/>
      <c r="E33" s="146"/>
      <c r="F33" s="146"/>
      <c r="G33" s="147"/>
      <c r="H33" s="146"/>
      <c r="I33" s="146"/>
      <c r="J33" s="165">
        <v>1</v>
      </c>
      <c r="K33" s="161" t="e">
        <f>ROUNDUP(K27,0)</f>
        <v>#REF!</v>
      </c>
      <c r="L33" s="161" t="e">
        <f>ROUNDUP(L27,0)</f>
        <v>#REF!</v>
      </c>
      <c r="M33" s="161" t="e">
        <f>ROUNDUP(M27,0)</f>
        <v>#REF!</v>
      </c>
      <c r="N33" s="165">
        <v>1</v>
      </c>
      <c r="O33" s="161" t="e">
        <f>ROUNDUP(O27,0)</f>
        <v>#REF!</v>
      </c>
      <c r="P33" s="166">
        <v>1</v>
      </c>
      <c r="Q33" s="146"/>
      <c r="R33" s="146"/>
      <c r="S33" s="161" t="e">
        <f>ROUNDUP(S27,0)</f>
        <v>#REF!</v>
      </c>
      <c r="T33" s="161" t="e">
        <f>ROUNDUP(T27,0)</f>
        <v>#REF!</v>
      </c>
      <c r="U33" s="161" t="e">
        <f>ROUNDUP(U27,0)</f>
        <v>#REF!</v>
      </c>
      <c r="V33" s="146"/>
      <c r="W33" s="146"/>
      <c r="X33" s="146"/>
      <c r="Y33" s="146"/>
      <c r="Z33" s="146"/>
      <c r="AA33" s="146"/>
      <c r="AB33" s="146"/>
      <c r="AC33" s="146"/>
      <c r="AD33" s="146"/>
      <c r="AE33" s="146"/>
      <c r="AF33" s="161" t="e">
        <f>ROUNDUP(AF27,0)</f>
        <v>#REF!</v>
      </c>
      <c r="AG33" s="161" t="e">
        <f>ROUNDUP(AG27,0)</f>
        <v>#REF!</v>
      </c>
      <c r="AH33" s="161" t="e">
        <f>ROUNDUP(AH27,0)</f>
        <v>#REF!</v>
      </c>
      <c r="AI33" s="146"/>
      <c r="AJ33" s="146"/>
      <c r="AK33" s="146"/>
      <c r="AL33" s="146"/>
      <c r="AM33" s="146"/>
      <c r="AN33" s="146"/>
      <c r="AO33" s="146"/>
      <c r="AP33" s="146"/>
      <c r="AQ33" s="146"/>
      <c r="AR33" s="146"/>
      <c r="AS33" s="146"/>
      <c r="AT33" s="146"/>
      <c r="AU33" s="161" t="e">
        <f>ROUNDUP(AU27,0)</f>
        <v>#REF!</v>
      </c>
      <c r="AV33" s="146"/>
      <c r="AW33" s="161" t="e">
        <f>ROUNDUP(AW27,0)</f>
        <v>#REF!</v>
      </c>
      <c r="AX33" s="161" t="e">
        <f>ROUNDUP(AX27,0)</f>
        <v>#REF!</v>
      </c>
      <c r="AY33" s="161" t="e">
        <f>ROUNDUP(AY27,0)</f>
        <v>#REF!</v>
      </c>
      <c r="AZ33" s="146"/>
      <c r="BA33" s="146"/>
    </row>
    <row r="34" spans="2:53" ht="21.75" customHeight="1">
      <c r="B34" s="154"/>
      <c r="C34" s="79"/>
      <c r="D34" s="154"/>
      <c r="E34" s="146"/>
      <c r="F34" s="146"/>
      <c r="G34" s="147"/>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row>
    <row r="35" spans="2:53" s="78" customFormat="1" ht="27" customHeight="1">
      <c r="B35" s="143" t="s">
        <v>84</v>
      </c>
      <c r="C35" s="143"/>
      <c r="D35" s="143"/>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row>
    <row r="36" spans="2:53" ht="25">
      <c r="B36" s="167" t="s">
        <v>85</v>
      </c>
      <c r="C36" s="167"/>
      <c r="D36" s="167"/>
      <c r="E36" s="168" t="e">
        <f>SUMIF('LV Cable sizing_SS-1'!#REF!,'Tray Sizing'!E$4,'LV Cable sizing_SS-1'!#REF!)</f>
        <v>#REF!</v>
      </c>
      <c r="F36" s="168" t="e">
        <f>SUMIF('LV Cable sizing_SS-1'!#REF!,'Tray Sizing'!F$4,'LV Cable sizing_SS-1'!#REF!)</f>
        <v>#REF!</v>
      </c>
      <c r="G36" s="168" t="e">
        <f>SUMIF('LV Cable sizing_SS-1'!#REF!,'Tray Sizing'!G$4,'LV Cable sizing_SS-1'!#REF!)</f>
        <v>#REF!</v>
      </c>
      <c r="H36" s="168" t="e">
        <f>SUMIF('LV Cable sizing_SS-1'!#REF!,'Tray Sizing'!H$4,'LV Cable sizing_SS-1'!#REF!)</f>
        <v>#REF!</v>
      </c>
      <c r="I36" s="168" t="e">
        <f>SUMIF('LV Cable sizing_SS-1'!#REF!,'Tray Sizing'!I$4,'LV Cable sizing_SS-1'!#REF!)</f>
        <v>#REF!</v>
      </c>
      <c r="J36" s="168" t="e">
        <f>SUMIF('LV Cable sizing_SS-1'!#REF!,'Tray Sizing'!J$4,'LV Cable sizing_SS-1'!#REF!)</f>
        <v>#REF!</v>
      </c>
      <c r="K36" s="168" t="e">
        <f>SUMIF('LV Cable sizing_SS-1'!#REF!,'Tray Sizing'!K$4,'LV Cable sizing_SS-1'!#REF!)</f>
        <v>#REF!</v>
      </c>
      <c r="L36" s="168" t="e">
        <f>SUMIF('LV Cable sizing_SS-1'!#REF!,'Tray Sizing'!L$4,'LV Cable sizing_SS-1'!#REF!)</f>
        <v>#REF!</v>
      </c>
      <c r="M36" s="168" t="e">
        <f>SUMIF('LV Cable sizing_SS-1'!#REF!,'Tray Sizing'!M$4,'LV Cable sizing_SS-1'!#REF!)</f>
        <v>#REF!</v>
      </c>
      <c r="N36" s="168" t="e">
        <f>SUMIF('LV Cable sizing_SS-1'!#REF!,'Tray Sizing'!N$4,'LV Cable sizing_SS-1'!#REF!)</f>
        <v>#REF!</v>
      </c>
      <c r="O36" s="168" t="e">
        <f>SUMIF('LV Cable sizing_SS-1'!#REF!,'Tray Sizing'!O$4,'LV Cable sizing_SS-1'!#REF!)</f>
        <v>#REF!</v>
      </c>
      <c r="P36" s="168" t="e">
        <f>SUMIF('LV Cable sizing_SS-1'!#REF!,'Tray Sizing'!P$4,'LV Cable sizing_SS-1'!#REF!)</f>
        <v>#REF!</v>
      </c>
      <c r="Q36" s="168" t="e">
        <f>SUMIF('LV Cable sizing_SS-1'!#REF!,'Tray Sizing'!Q$4,'LV Cable sizing_SS-1'!#REF!)</f>
        <v>#REF!</v>
      </c>
      <c r="R36" s="168" t="e">
        <f>SUMIF('LV Cable sizing_SS-1'!#REF!,'Tray Sizing'!R$4,'LV Cable sizing_SS-1'!#REF!)</f>
        <v>#REF!</v>
      </c>
      <c r="S36" s="168" t="e">
        <f>SUMIF('LV Cable sizing_SS-1'!#REF!,'Tray Sizing'!S$4,'LV Cable sizing_SS-1'!#REF!)</f>
        <v>#REF!</v>
      </c>
      <c r="T36" s="168" t="e">
        <f>SUMIF('LV Cable sizing_SS-1'!#REF!,'Tray Sizing'!T$4,'LV Cable sizing_SS-1'!#REF!)</f>
        <v>#REF!</v>
      </c>
      <c r="U36" s="168" t="e">
        <f>SUMIF('LV Cable sizing_SS-1'!#REF!,'Tray Sizing'!U$4,'LV Cable sizing_SS-1'!#REF!)</f>
        <v>#REF!</v>
      </c>
      <c r="V36" s="168" t="e">
        <f>SUMIF('LV Cable sizing_SS-1'!#REF!,'Tray Sizing'!V$4,'LV Cable sizing_SS-1'!#REF!)</f>
        <v>#REF!</v>
      </c>
      <c r="W36" s="168" t="e">
        <f>SUMIF('LV Cable sizing_SS-1'!#REF!,'Tray Sizing'!W$4,'LV Cable sizing_SS-1'!#REF!)</f>
        <v>#REF!</v>
      </c>
      <c r="X36" s="168" t="e">
        <f>SUMIF('LV Cable sizing_SS-1'!#REF!,'Tray Sizing'!X$4,'LV Cable sizing_SS-1'!#REF!)</f>
        <v>#REF!</v>
      </c>
      <c r="Y36" s="168" t="e">
        <f>SUMIF('LV Cable sizing_SS-1'!#REF!,'Tray Sizing'!Y$4,'LV Cable sizing_SS-1'!#REF!)</f>
        <v>#REF!</v>
      </c>
      <c r="Z36" s="168" t="e">
        <f>SUMIF('LV Cable sizing_SS-1'!#REF!,'Tray Sizing'!Z$4,'LV Cable sizing_SS-1'!#REF!)</f>
        <v>#REF!</v>
      </c>
      <c r="AA36" s="168" t="e">
        <f>SUMIF('LV Cable sizing_SS-1'!#REF!,'Tray Sizing'!AA$4,'LV Cable sizing_SS-1'!#REF!)</f>
        <v>#REF!</v>
      </c>
      <c r="AB36" s="168" t="e">
        <f>SUMIF('LV Cable sizing_SS-1'!#REF!,'Tray Sizing'!AB$4,'LV Cable sizing_SS-1'!#REF!)</f>
        <v>#REF!</v>
      </c>
      <c r="AC36" s="168" t="e">
        <f>SUMIF('LV Cable sizing_SS-1'!#REF!,'Tray Sizing'!AC$4,'LV Cable sizing_SS-1'!#REF!)</f>
        <v>#REF!</v>
      </c>
      <c r="AD36" s="168" t="e">
        <f>SUMIF('LV Cable sizing_SS-1'!#REF!,'Tray Sizing'!AD$4,'LV Cable sizing_SS-1'!#REF!)</f>
        <v>#REF!</v>
      </c>
      <c r="AE36" s="168" t="e">
        <f>SUMIF('LV Cable sizing_SS-1'!#REF!,'Tray Sizing'!AE$4,'LV Cable sizing_SS-1'!#REF!)</f>
        <v>#REF!</v>
      </c>
      <c r="AF36" s="168" t="e">
        <f>SUMIF('LV Cable sizing_SS-1'!#REF!,'Tray Sizing'!AF$4,'LV Cable sizing_SS-1'!#REF!)</f>
        <v>#REF!</v>
      </c>
      <c r="AG36" s="168" t="e">
        <f>SUMIF('LV Cable sizing_SS-1'!#REF!,'Tray Sizing'!AG$4,'LV Cable sizing_SS-1'!#REF!)</f>
        <v>#REF!</v>
      </c>
      <c r="AH36" s="168" t="e">
        <f>SUMIF('LV Cable sizing_SS-1'!#REF!,'Tray Sizing'!AH$4,'LV Cable sizing_SS-1'!#REF!)</f>
        <v>#REF!</v>
      </c>
      <c r="AI36" s="168" t="e">
        <f>SUMIF('LV Cable sizing_SS-1'!#REF!,'Tray Sizing'!AI$4,'LV Cable sizing_SS-1'!#REF!)</f>
        <v>#REF!</v>
      </c>
      <c r="AJ36" s="168" t="e">
        <f>SUMIF('LV Cable sizing_SS-1'!#REF!,'Tray Sizing'!AJ$4,'LV Cable sizing_SS-1'!#REF!)</f>
        <v>#REF!</v>
      </c>
      <c r="AK36" s="168" t="e">
        <f>SUMIF('LV Cable sizing_SS-1'!#REF!,'Tray Sizing'!AK$4,'LV Cable sizing_SS-1'!#REF!)</f>
        <v>#REF!</v>
      </c>
      <c r="AL36" s="168" t="e">
        <f>SUMIF('LV Cable sizing_SS-1'!#REF!,'Tray Sizing'!AL$4,'LV Cable sizing_SS-1'!#REF!)</f>
        <v>#REF!</v>
      </c>
      <c r="AM36" s="168" t="e">
        <f>SUMIF('LV Cable sizing_SS-1'!#REF!,'Tray Sizing'!AM$4,'LV Cable sizing_SS-1'!#REF!)</f>
        <v>#REF!</v>
      </c>
      <c r="AN36" s="168" t="e">
        <f>SUMIF('LV Cable sizing_SS-1'!#REF!,'Tray Sizing'!AN$4,'LV Cable sizing_SS-1'!#REF!)</f>
        <v>#REF!</v>
      </c>
      <c r="AO36" s="168" t="e">
        <f>SUMIF('LV Cable sizing_SS-1'!#REF!,'Tray Sizing'!AO$4,'LV Cable sizing_SS-1'!#REF!)</f>
        <v>#REF!</v>
      </c>
      <c r="AP36" s="168" t="e">
        <f>SUMIF('LV Cable sizing_SS-1'!#REF!,'Tray Sizing'!AP$4,'LV Cable sizing_SS-1'!#REF!)</f>
        <v>#REF!</v>
      </c>
      <c r="AQ36" s="168" t="e">
        <f>SUMIF('LV Cable sizing_SS-1'!#REF!,'Tray Sizing'!AQ$4,'LV Cable sizing_SS-1'!#REF!)</f>
        <v>#REF!</v>
      </c>
      <c r="AR36" s="168" t="e">
        <f>SUMIF('LV Cable sizing_SS-1'!#REF!,'Tray Sizing'!AR$4,'LV Cable sizing_SS-1'!#REF!)</f>
        <v>#REF!</v>
      </c>
      <c r="AS36" s="168" t="e">
        <f>SUMIF('LV Cable sizing_SS-1'!#REF!,'Tray Sizing'!AS$4,'LV Cable sizing_SS-1'!#REF!)</f>
        <v>#REF!</v>
      </c>
      <c r="AT36" s="168" t="e">
        <f>SUMIF('LV Cable sizing_SS-1'!#REF!,'Tray Sizing'!AT$4,'LV Cable sizing_SS-1'!#REF!)</f>
        <v>#REF!</v>
      </c>
      <c r="AU36" s="168" t="e">
        <f>SUMIF('LV Cable sizing_SS-1'!#REF!,'Tray Sizing'!AU$4,'LV Cable sizing_SS-1'!#REF!)</f>
        <v>#REF!</v>
      </c>
      <c r="AV36" s="168" t="e">
        <f>SUMIF('LV Cable sizing_SS-1'!#REF!,'Tray Sizing'!AV$4,'LV Cable sizing_SS-1'!#REF!)</f>
        <v>#REF!</v>
      </c>
      <c r="AW36" s="168" t="e">
        <f>SUMIF('LV Cable sizing_SS-1'!#REF!,'Tray Sizing'!AW$4,'LV Cable sizing_SS-1'!#REF!)</f>
        <v>#REF!</v>
      </c>
      <c r="AX36" s="168" t="e">
        <f>SUMIF('LV Cable sizing_SS-1'!#REF!,'Tray Sizing'!AX$4,'LV Cable sizing_SS-1'!#REF!)</f>
        <v>#REF!</v>
      </c>
      <c r="AY36" s="168" t="e">
        <f>SUMIF('LV Cable sizing_SS-1'!#REF!,'Tray Sizing'!AY$4,'LV Cable sizing_SS-1'!#REF!)</f>
        <v>#REF!</v>
      </c>
      <c r="AZ36" s="168" t="e">
        <f>SUMIF('LV Cable sizing_SS-1'!#REF!,'Tray Sizing'!AZ$4,'LV Cable sizing_SS-1'!#REF!)</f>
        <v>#REF!</v>
      </c>
      <c r="BA36" s="168" t="e">
        <f>SUMIF('LV Cable sizing_SS-1'!#REF!,'Tray Sizing'!BA$4,'LV Cable sizing_SS-1'!#REF!)</f>
        <v>#REF!</v>
      </c>
    </row>
    <row r="37" spans="2:53">
      <c r="B37" s="167"/>
      <c r="C37" s="167"/>
      <c r="D37" s="167"/>
      <c r="E37" s="168"/>
      <c r="F37" s="168"/>
      <c r="G37" s="168"/>
      <c r="H37" s="168"/>
      <c r="I37" s="168"/>
      <c r="J37" s="168"/>
      <c r="K37" s="168"/>
      <c r="L37" s="168"/>
      <c r="M37" s="168"/>
      <c r="N37" s="168"/>
      <c r="O37" s="168"/>
      <c r="P37" s="168"/>
      <c r="Q37" s="168"/>
      <c r="R37" s="168"/>
      <c r="S37" s="168"/>
      <c r="T37" s="168"/>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row>
    <row r="38" spans="2:53" ht="25">
      <c r="B38" s="167" t="s">
        <v>86</v>
      </c>
      <c r="C38" s="167"/>
      <c r="D38" s="167"/>
      <c r="E38" s="168" t="e">
        <f>SUMIF(#REF!,'Tray Sizing'!E$4,#REF!)</f>
        <v>#REF!</v>
      </c>
      <c r="F38" s="168" t="e">
        <f>SUMIF(#REF!,'Tray Sizing'!F$4,#REF!)</f>
        <v>#REF!</v>
      </c>
      <c r="G38" s="168" t="e">
        <f>SUMIF(#REF!,'Tray Sizing'!G$4,#REF!)</f>
        <v>#REF!</v>
      </c>
      <c r="H38" s="168" t="e">
        <f>SUMIF(#REF!,'Tray Sizing'!H$4,#REF!)</f>
        <v>#REF!</v>
      </c>
      <c r="I38" s="168" t="e">
        <f>SUMIF(#REF!,'Tray Sizing'!I$4,#REF!)</f>
        <v>#REF!</v>
      </c>
      <c r="J38" s="168" t="e">
        <f>SUMIF(#REF!,'Tray Sizing'!J$4,#REF!)</f>
        <v>#REF!</v>
      </c>
      <c r="K38" s="168" t="e">
        <f>SUMIF(#REF!,'Tray Sizing'!K$4,#REF!)</f>
        <v>#REF!</v>
      </c>
      <c r="L38" s="168" t="e">
        <f>SUMIF(#REF!,'Tray Sizing'!L$4,#REF!)</f>
        <v>#REF!</v>
      </c>
      <c r="M38" s="168" t="e">
        <f>SUMIF(#REF!,'Tray Sizing'!M$4,#REF!)</f>
        <v>#REF!</v>
      </c>
      <c r="N38" s="168" t="e">
        <f>SUMIF(#REF!,'Tray Sizing'!N$4,#REF!)</f>
        <v>#REF!</v>
      </c>
      <c r="O38" s="168" t="e">
        <f>SUMIF(#REF!,'Tray Sizing'!O$4,#REF!)</f>
        <v>#REF!</v>
      </c>
      <c r="P38" s="168" t="e">
        <f>SUMIF(#REF!,'Tray Sizing'!P$4,#REF!)</f>
        <v>#REF!</v>
      </c>
      <c r="Q38" s="168" t="e">
        <f>SUMIF(#REF!,'Tray Sizing'!Q$4,#REF!)</f>
        <v>#REF!</v>
      </c>
      <c r="R38" s="168" t="e">
        <f>SUMIF(#REF!,'Tray Sizing'!R$4,#REF!)</f>
        <v>#REF!</v>
      </c>
      <c r="S38" s="168" t="e">
        <f>SUMIF(#REF!,'Tray Sizing'!S$4,#REF!)</f>
        <v>#REF!</v>
      </c>
      <c r="T38" s="168" t="e">
        <f>SUMIF(#REF!,'Tray Sizing'!T$4,#REF!)</f>
        <v>#REF!</v>
      </c>
      <c r="U38" s="168" t="e">
        <f>SUMIF(#REF!,'Tray Sizing'!U$4,#REF!)</f>
        <v>#REF!</v>
      </c>
      <c r="V38" s="168" t="e">
        <f>SUMIF(#REF!,'Tray Sizing'!V$4,#REF!)</f>
        <v>#REF!</v>
      </c>
      <c r="W38" s="168" t="e">
        <f>SUMIF(#REF!,'Tray Sizing'!W$4,#REF!)</f>
        <v>#REF!</v>
      </c>
      <c r="X38" s="168" t="e">
        <f>SUMIF(#REF!,'Tray Sizing'!X$4,#REF!)</f>
        <v>#REF!</v>
      </c>
      <c r="Y38" s="168" t="e">
        <f>SUMIF(#REF!,'Tray Sizing'!Y$4,#REF!)</f>
        <v>#REF!</v>
      </c>
      <c r="Z38" s="168" t="e">
        <f>SUMIF(#REF!,'Tray Sizing'!Z$4,#REF!)</f>
        <v>#REF!</v>
      </c>
      <c r="AA38" s="168" t="e">
        <f>SUMIF(#REF!,'Tray Sizing'!AA$4,#REF!)</f>
        <v>#REF!</v>
      </c>
      <c r="AB38" s="168" t="e">
        <f>SUMIF(#REF!,'Tray Sizing'!AB$4,#REF!)</f>
        <v>#REF!</v>
      </c>
      <c r="AC38" s="168" t="e">
        <f>SUMIF(#REF!,'Tray Sizing'!AC$4,#REF!)</f>
        <v>#REF!</v>
      </c>
      <c r="AD38" s="168" t="e">
        <f>SUMIF(#REF!,'Tray Sizing'!AD$4,#REF!)</f>
        <v>#REF!</v>
      </c>
      <c r="AE38" s="168" t="e">
        <f>SUMIF(#REF!,'Tray Sizing'!AE$4,#REF!)</f>
        <v>#REF!</v>
      </c>
      <c r="AF38" s="168" t="e">
        <f>SUMIF(#REF!,'Tray Sizing'!AF$4,#REF!)</f>
        <v>#REF!</v>
      </c>
      <c r="AG38" s="168" t="e">
        <f>SUMIF(#REF!,'Tray Sizing'!AG$4,#REF!)</f>
        <v>#REF!</v>
      </c>
      <c r="AH38" s="168" t="e">
        <f>SUMIF(#REF!,'Tray Sizing'!AH$4,#REF!)</f>
        <v>#REF!</v>
      </c>
      <c r="AI38" s="168" t="e">
        <f>SUMIF(#REF!,'Tray Sizing'!AI$4,#REF!)</f>
        <v>#REF!</v>
      </c>
      <c r="AJ38" s="168" t="e">
        <f>SUMIF(#REF!,'Tray Sizing'!AJ$4,#REF!)</f>
        <v>#REF!</v>
      </c>
      <c r="AK38" s="168" t="e">
        <f>SUMIF(#REF!,'Tray Sizing'!AK$4,#REF!)</f>
        <v>#REF!</v>
      </c>
      <c r="AL38" s="168" t="e">
        <f>SUMIF(#REF!,'Tray Sizing'!AL$4,#REF!)</f>
        <v>#REF!</v>
      </c>
      <c r="AM38" s="168" t="e">
        <f>SUMIF(#REF!,'Tray Sizing'!AM$4,#REF!)</f>
        <v>#REF!</v>
      </c>
      <c r="AN38" s="168" t="e">
        <f>SUMIF(#REF!,'Tray Sizing'!AN$4,#REF!)</f>
        <v>#REF!</v>
      </c>
      <c r="AO38" s="168" t="e">
        <f>SUMIF(#REF!,'Tray Sizing'!AO$4,#REF!)</f>
        <v>#REF!</v>
      </c>
      <c r="AP38" s="168" t="e">
        <f>SUMIF(#REF!,'Tray Sizing'!AP$4,#REF!)</f>
        <v>#REF!</v>
      </c>
      <c r="AQ38" s="168" t="e">
        <f>SUMIF(#REF!,'Tray Sizing'!AQ$4,#REF!)</f>
        <v>#REF!</v>
      </c>
      <c r="AR38" s="168" t="e">
        <f>SUMIF(#REF!,'Tray Sizing'!AR$4,#REF!)</f>
        <v>#REF!</v>
      </c>
      <c r="AS38" s="168" t="e">
        <f>SUMIF(#REF!,'Tray Sizing'!AS$4,#REF!)</f>
        <v>#REF!</v>
      </c>
      <c r="AT38" s="168" t="e">
        <f>SUMIF(#REF!,'Tray Sizing'!AT$4,#REF!)</f>
        <v>#REF!</v>
      </c>
      <c r="AU38" s="168" t="e">
        <f>SUMIF(#REF!,'Tray Sizing'!AU$4,#REF!)</f>
        <v>#REF!</v>
      </c>
      <c r="AV38" s="168" t="e">
        <f>SUMIF(#REF!,'Tray Sizing'!AV$4,#REF!)</f>
        <v>#REF!</v>
      </c>
      <c r="AW38" s="168" t="e">
        <f>SUMIF(#REF!,'Tray Sizing'!AW$4,#REF!)</f>
        <v>#REF!</v>
      </c>
      <c r="AX38" s="168" t="e">
        <f>SUMIF(#REF!,'Tray Sizing'!AX$4,#REF!)</f>
        <v>#REF!</v>
      </c>
      <c r="AY38" s="168" t="e">
        <f>SUMIF(#REF!,'Tray Sizing'!AY$4,#REF!)</f>
        <v>#REF!</v>
      </c>
      <c r="AZ38" s="168" t="e">
        <f>SUMIF(#REF!,'Tray Sizing'!AZ$4,#REF!)</f>
        <v>#REF!</v>
      </c>
      <c r="BA38" s="168" t="e">
        <f>SUMIF(#REF!,'Tray Sizing'!BA$4,#REF!)</f>
        <v>#REF!</v>
      </c>
    </row>
    <row r="39" spans="2:53">
      <c r="B39" s="167"/>
      <c r="C39" s="167"/>
      <c r="D39" s="167"/>
      <c r="E39" s="168"/>
      <c r="F39" s="168"/>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row>
    <row r="40" spans="2:53" ht="25">
      <c r="B40" s="167" t="s">
        <v>87</v>
      </c>
      <c r="C40" s="167"/>
      <c r="D40" s="167"/>
      <c r="E40" s="168" t="e">
        <f>SUMIF(#REF!,'Tray Sizing'!E$4,#REF!)</f>
        <v>#REF!</v>
      </c>
      <c r="F40" s="168" t="e">
        <f>SUMIF(#REF!,'Tray Sizing'!F$4,#REF!)</f>
        <v>#REF!</v>
      </c>
      <c r="G40" s="168" t="e">
        <f>SUMIF(#REF!,'Tray Sizing'!G$4,#REF!)</f>
        <v>#REF!</v>
      </c>
      <c r="H40" s="168" t="e">
        <f>SUMIF(#REF!,'Tray Sizing'!H$4,#REF!)</f>
        <v>#REF!</v>
      </c>
      <c r="I40" s="168" t="e">
        <f>SUMIF(#REF!,'Tray Sizing'!I$4,#REF!)</f>
        <v>#REF!</v>
      </c>
      <c r="J40" s="168" t="e">
        <f>SUMIF(#REF!,'Tray Sizing'!J$4,#REF!)</f>
        <v>#REF!</v>
      </c>
      <c r="K40" s="168" t="e">
        <f>SUMIF(#REF!,'Tray Sizing'!K$4,#REF!)</f>
        <v>#REF!</v>
      </c>
      <c r="L40" s="168" t="e">
        <f>SUMIF(#REF!,'Tray Sizing'!L$4,#REF!)</f>
        <v>#REF!</v>
      </c>
      <c r="M40" s="168" t="e">
        <f>SUMIF(#REF!,'Tray Sizing'!M$4,#REF!)</f>
        <v>#REF!</v>
      </c>
      <c r="N40" s="168" t="e">
        <f>SUMIF(#REF!,'Tray Sizing'!N$4,#REF!)</f>
        <v>#REF!</v>
      </c>
      <c r="O40" s="168" t="e">
        <f>SUMIF(#REF!,'Tray Sizing'!O$4,#REF!)</f>
        <v>#REF!</v>
      </c>
      <c r="P40" s="168" t="e">
        <f>SUMIF(#REF!,'Tray Sizing'!P$4,#REF!)</f>
        <v>#REF!</v>
      </c>
      <c r="Q40" s="168" t="e">
        <f>SUMIF(#REF!,'Tray Sizing'!Q$4,#REF!)</f>
        <v>#REF!</v>
      </c>
      <c r="R40" s="168" t="e">
        <f>SUMIF(#REF!,'Tray Sizing'!R$4,#REF!)</f>
        <v>#REF!</v>
      </c>
      <c r="S40" s="168" t="e">
        <f>SUMIF(#REF!,'Tray Sizing'!S$4,#REF!)</f>
        <v>#REF!</v>
      </c>
      <c r="T40" s="168" t="e">
        <f>SUMIF(#REF!,'Tray Sizing'!T$4,#REF!)</f>
        <v>#REF!</v>
      </c>
      <c r="U40" s="168" t="e">
        <f>SUMIF(#REF!,'Tray Sizing'!U$4,#REF!)</f>
        <v>#REF!</v>
      </c>
      <c r="V40" s="168" t="e">
        <f>SUMIF(#REF!,'Tray Sizing'!V$4,#REF!)</f>
        <v>#REF!</v>
      </c>
      <c r="W40" s="168" t="e">
        <f>SUMIF(#REF!,'Tray Sizing'!W$4,#REF!)</f>
        <v>#REF!</v>
      </c>
      <c r="X40" s="168" t="e">
        <f>SUMIF(#REF!,'Tray Sizing'!X$4,#REF!)</f>
        <v>#REF!</v>
      </c>
      <c r="Y40" s="168" t="e">
        <f>SUMIF(#REF!,'Tray Sizing'!Y$4,#REF!)</f>
        <v>#REF!</v>
      </c>
      <c r="Z40" s="168" t="e">
        <f>SUMIF(#REF!,'Tray Sizing'!Z$4,#REF!)</f>
        <v>#REF!</v>
      </c>
      <c r="AA40" s="168" t="e">
        <f>SUMIF(#REF!,'Tray Sizing'!AA$4,#REF!)</f>
        <v>#REF!</v>
      </c>
      <c r="AB40" s="168" t="e">
        <f>SUMIF(#REF!,'Tray Sizing'!AB$4,#REF!)</f>
        <v>#REF!</v>
      </c>
      <c r="AC40" s="168" t="e">
        <f>SUMIF(#REF!,'Tray Sizing'!AC$4,#REF!)</f>
        <v>#REF!</v>
      </c>
      <c r="AD40" s="168" t="e">
        <f>SUMIF(#REF!,'Tray Sizing'!AD$4,#REF!)</f>
        <v>#REF!</v>
      </c>
      <c r="AE40" s="168" t="e">
        <f>SUMIF(#REF!,'Tray Sizing'!AE$4,#REF!)</f>
        <v>#REF!</v>
      </c>
      <c r="AF40" s="168" t="e">
        <f>SUMIF(#REF!,'Tray Sizing'!AF$4,#REF!)</f>
        <v>#REF!</v>
      </c>
      <c r="AG40" s="168" t="e">
        <f>SUMIF(#REF!,'Tray Sizing'!AG$4,#REF!)</f>
        <v>#REF!</v>
      </c>
      <c r="AH40" s="168" t="e">
        <f>SUMIF(#REF!,'Tray Sizing'!AH$4,#REF!)</f>
        <v>#REF!</v>
      </c>
      <c r="AI40" s="168" t="e">
        <f>SUMIF(#REF!,'Tray Sizing'!AI$4,#REF!)</f>
        <v>#REF!</v>
      </c>
      <c r="AJ40" s="168" t="e">
        <f>SUMIF(#REF!,'Tray Sizing'!AJ$4,#REF!)</f>
        <v>#REF!</v>
      </c>
      <c r="AK40" s="168" t="e">
        <f>SUMIF(#REF!,'Tray Sizing'!AK$4,#REF!)</f>
        <v>#REF!</v>
      </c>
      <c r="AL40" s="168" t="e">
        <f>SUMIF(#REF!,'Tray Sizing'!AL$4,#REF!)</f>
        <v>#REF!</v>
      </c>
      <c r="AM40" s="168" t="e">
        <f>SUMIF(#REF!,'Tray Sizing'!AM$4,#REF!)</f>
        <v>#REF!</v>
      </c>
      <c r="AN40" s="168" t="e">
        <f>SUMIF(#REF!,'Tray Sizing'!AN$4,#REF!)</f>
        <v>#REF!</v>
      </c>
      <c r="AO40" s="168" t="e">
        <f>SUMIF(#REF!,'Tray Sizing'!AO$4,#REF!)</f>
        <v>#REF!</v>
      </c>
      <c r="AP40" s="168" t="e">
        <f>SUMIF(#REF!,'Tray Sizing'!AP$4,#REF!)</f>
        <v>#REF!</v>
      </c>
      <c r="AQ40" s="168" t="e">
        <f>SUMIF(#REF!,'Tray Sizing'!AQ$4,#REF!)</f>
        <v>#REF!</v>
      </c>
      <c r="AR40" s="168" t="e">
        <f>SUMIF(#REF!,'Tray Sizing'!AR$4,#REF!)</f>
        <v>#REF!</v>
      </c>
      <c r="AS40" s="168" t="e">
        <f>SUMIF(#REF!,'Tray Sizing'!AS$4,#REF!)</f>
        <v>#REF!</v>
      </c>
      <c r="AT40" s="168" t="e">
        <f>SUMIF(#REF!,'Tray Sizing'!AT$4,#REF!)</f>
        <v>#REF!</v>
      </c>
      <c r="AU40" s="168" t="e">
        <f>SUMIF(#REF!,'Tray Sizing'!AU$4,#REF!)</f>
        <v>#REF!</v>
      </c>
      <c r="AV40" s="168" t="e">
        <f>SUMIF(#REF!,'Tray Sizing'!AV$4,#REF!)</f>
        <v>#REF!</v>
      </c>
      <c r="AW40" s="168" t="e">
        <f>SUMIF(#REF!,'Tray Sizing'!AW$4,#REF!)</f>
        <v>#REF!</v>
      </c>
      <c r="AX40" s="168" t="e">
        <f>SUMIF(#REF!,'Tray Sizing'!AX$4,#REF!)</f>
        <v>#REF!</v>
      </c>
      <c r="AY40" s="168" t="e">
        <f>SUMIF(#REF!,'Tray Sizing'!AY$4,#REF!)</f>
        <v>#REF!</v>
      </c>
      <c r="AZ40" s="168" t="e">
        <f>SUMIF(#REF!,'Tray Sizing'!AZ$4,#REF!)</f>
        <v>#REF!</v>
      </c>
      <c r="BA40" s="168" t="e">
        <f>SUMIF(#REF!,'Tray Sizing'!BA$4,#REF!)</f>
        <v>#REF!</v>
      </c>
    </row>
    <row r="41" spans="2:53">
      <c r="B41" s="167"/>
      <c r="C41" s="167"/>
      <c r="D41" s="167"/>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row>
    <row r="42" spans="2:53" ht="25">
      <c r="B42" s="167" t="s">
        <v>88</v>
      </c>
      <c r="C42" s="167"/>
      <c r="D42" s="167"/>
      <c r="E42" s="168" t="e">
        <f>SUMIF(#REF!,'Tray Sizing'!E$4,#REF!)</f>
        <v>#REF!</v>
      </c>
      <c r="F42" s="168" t="e">
        <f>SUMIF(#REF!,'Tray Sizing'!F$4,#REF!)</f>
        <v>#REF!</v>
      </c>
      <c r="G42" s="168" t="e">
        <f>SUMIF(#REF!,'Tray Sizing'!G$4,#REF!)</f>
        <v>#REF!</v>
      </c>
      <c r="H42" s="168" t="e">
        <f>SUMIF(#REF!,'Tray Sizing'!H$4,#REF!)</f>
        <v>#REF!</v>
      </c>
      <c r="I42" s="168" t="e">
        <f>SUMIF(#REF!,'Tray Sizing'!I$4,#REF!)</f>
        <v>#REF!</v>
      </c>
      <c r="J42" s="168" t="e">
        <f>SUMIF(#REF!,'Tray Sizing'!J$4,#REF!)</f>
        <v>#REF!</v>
      </c>
      <c r="K42" s="168" t="e">
        <f>SUMIF(#REF!,'Tray Sizing'!K$4,#REF!)</f>
        <v>#REF!</v>
      </c>
      <c r="L42" s="168" t="e">
        <f>SUMIF(#REF!,'Tray Sizing'!L$4,#REF!)</f>
        <v>#REF!</v>
      </c>
      <c r="M42" s="168" t="e">
        <f>SUMIF(#REF!,'Tray Sizing'!M$4,#REF!)</f>
        <v>#REF!</v>
      </c>
      <c r="N42" s="168" t="e">
        <f>SUMIF(#REF!,'Tray Sizing'!N$4,#REF!)</f>
        <v>#REF!</v>
      </c>
      <c r="O42" s="168" t="e">
        <f>SUMIF(#REF!,'Tray Sizing'!O$4,#REF!)</f>
        <v>#REF!</v>
      </c>
      <c r="P42" s="168" t="e">
        <f>SUMIF(#REF!,'Tray Sizing'!P$4,#REF!)</f>
        <v>#REF!</v>
      </c>
      <c r="Q42" s="168" t="e">
        <f>SUMIF(#REF!,'Tray Sizing'!Q$4,#REF!)</f>
        <v>#REF!</v>
      </c>
      <c r="R42" s="168" t="e">
        <f>SUMIF(#REF!,'Tray Sizing'!R$4,#REF!)</f>
        <v>#REF!</v>
      </c>
      <c r="S42" s="168" t="e">
        <f>SUMIF(#REF!,'Tray Sizing'!S$4,#REF!)</f>
        <v>#REF!</v>
      </c>
      <c r="T42" s="168" t="e">
        <f>SUMIF(#REF!,'Tray Sizing'!T$4,#REF!)</f>
        <v>#REF!</v>
      </c>
      <c r="U42" s="168" t="e">
        <f>SUMIF(#REF!,'Tray Sizing'!U$4,#REF!)</f>
        <v>#REF!</v>
      </c>
      <c r="V42" s="168" t="e">
        <f>SUMIF(#REF!,'Tray Sizing'!V$4,#REF!)</f>
        <v>#REF!</v>
      </c>
      <c r="W42" s="168" t="e">
        <f>SUMIF(#REF!,'Tray Sizing'!W$4,#REF!)</f>
        <v>#REF!</v>
      </c>
      <c r="X42" s="168" t="e">
        <f>SUMIF(#REF!,'Tray Sizing'!X$4,#REF!)</f>
        <v>#REF!</v>
      </c>
      <c r="Y42" s="168" t="e">
        <f>SUMIF(#REF!,'Tray Sizing'!Y$4,#REF!)</f>
        <v>#REF!</v>
      </c>
      <c r="Z42" s="168" t="e">
        <f>SUMIF(#REF!,'Tray Sizing'!Z$4,#REF!)</f>
        <v>#REF!</v>
      </c>
      <c r="AA42" s="168" t="e">
        <f>SUMIF(#REF!,'Tray Sizing'!AA$4,#REF!)</f>
        <v>#REF!</v>
      </c>
      <c r="AB42" s="168" t="e">
        <f>SUMIF(#REF!,'Tray Sizing'!AB$4,#REF!)</f>
        <v>#REF!</v>
      </c>
      <c r="AC42" s="168" t="e">
        <f>SUMIF(#REF!,'Tray Sizing'!AC$4,#REF!)</f>
        <v>#REF!</v>
      </c>
      <c r="AD42" s="168" t="e">
        <f>SUMIF(#REF!,'Tray Sizing'!AD$4,#REF!)</f>
        <v>#REF!</v>
      </c>
      <c r="AE42" s="168" t="e">
        <f>SUMIF(#REF!,'Tray Sizing'!AE$4,#REF!)</f>
        <v>#REF!</v>
      </c>
      <c r="AF42" s="168" t="e">
        <f>SUMIF(#REF!,'Tray Sizing'!AF$4,#REF!)</f>
        <v>#REF!</v>
      </c>
      <c r="AG42" s="168" t="e">
        <f>SUMIF(#REF!,'Tray Sizing'!AG$4,#REF!)</f>
        <v>#REF!</v>
      </c>
      <c r="AH42" s="168" t="e">
        <f>SUMIF(#REF!,'Tray Sizing'!AH$4,#REF!)</f>
        <v>#REF!</v>
      </c>
      <c r="AI42" s="168" t="e">
        <f>SUMIF(#REF!,'Tray Sizing'!AI$4,#REF!)</f>
        <v>#REF!</v>
      </c>
      <c r="AJ42" s="168" t="e">
        <f>SUMIF(#REF!,'Tray Sizing'!AJ$4,#REF!)</f>
        <v>#REF!</v>
      </c>
      <c r="AK42" s="168" t="e">
        <f>SUMIF(#REF!,'Tray Sizing'!AK$4,#REF!)</f>
        <v>#REF!</v>
      </c>
      <c r="AL42" s="168" t="e">
        <f>SUMIF(#REF!,'Tray Sizing'!AL$4,#REF!)</f>
        <v>#REF!</v>
      </c>
      <c r="AM42" s="168" t="e">
        <f>SUMIF(#REF!,'Tray Sizing'!AM$4,#REF!)</f>
        <v>#REF!</v>
      </c>
      <c r="AN42" s="168" t="e">
        <f>SUMIF(#REF!,'Tray Sizing'!AN$4,#REF!)</f>
        <v>#REF!</v>
      </c>
      <c r="AO42" s="168" t="e">
        <f>SUMIF(#REF!,'Tray Sizing'!AO$4,#REF!)</f>
        <v>#REF!</v>
      </c>
      <c r="AP42" s="168" t="e">
        <f>SUMIF(#REF!,'Tray Sizing'!AP$4,#REF!)</f>
        <v>#REF!</v>
      </c>
      <c r="AQ42" s="168" t="e">
        <f>SUMIF(#REF!,'Tray Sizing'!AQ$4,#REF!)</f>
        <v>#REF!</v>
      </c>
      <c r="AR42" s="168" t="e">
        <f>SUMIF(#REF!,'Tray Sizing'!AR$4,#REF!)</f>
        <v>#REF!</v>
      </c>
      <c r="AS42" s="168" t="e">
        <f>SUMIF(#REF!,'Tray Sizing'!AS$4,#REF!)</f>
        <v>#REF!</v>
      </c>
      <c r="AT42" s="168" t="e">
        <f>SUMIF(#REF!,'Tray Sizing'!AT$4,#REF!)</f>
        <v>#REF!</v>
      </c>
      <c r="AU42" s="168" t="e">
        <f>SUMIF(#REF!,'Tray Sizing'!AU$4,#REF!)</f>
        <v>#REF!</v>
      </c>
      <c r="AV42" s="168" t="e">
        <f>SUMIF(#REF!,'Tray Sizing'!AV$4,#REF!)</f>
        <v>#REF!</v>
      </c>
      <c r="AW42" s="168" t="e">
        <f>SUMIF(#REF!,'Tray Sizing'!AW$4,#REF!)</f>
        <v>#REF!</v>
      </c>
      <c r="AX42" s="168" t="e">
        <f>SUMIF(#REF!,'Tray Sizing'!AX$4,#REF!)</f>
        <v>#REF!</v>
      </c>
      <c r="AY42" s="168" t="e">
        <f>SUMIF(#REF!,'Tray Sizing'!AY$4,#REF!)</f>
        <v>#REF!</v>
      </c>
      <c r="AZ42" s="168" t="e">
        <f>SUMIF(#REF!,'Tray Sizing'!AZ$4,#REF!)</f>
        <v>#REF!</v>
      </c>
      <c r="BA42" s="168" t="e">
        <f>SUMIF(#REF!,'Tray Sizing'!BA$4,#REF!)</f>
        <v>#REF!</v>
      </c>
    </row>
    <row r="43" spans="2:53">
      <c r="B43" s="167"/>
      <c r="C43" s="167"/>
      <c r="D43" s="167"/>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row>
    <row r="44" spans="2:53" ht="25">
      <c r="B44" s="167" t="s">
        <v>89</v>
      </c>
      <c r="C44" s="167"/>
      <c r="D44" s="167"/>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row>
    <row r="45" spans="2:53">
      <c r="B45" s="167"/>
      <c r="C45" s="167"/>
      <c r="D45" s="167"/>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row>
    <row r="46" spans="2:53" ht="25">
      <c r="B46" s="167" t="s">
        <v>90</v>
      </c>
      <c r="C46" s="167"/>
      <c r="D46" s="167"/>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row>
    <row r="47" spans="2:53">
      <c r="B47" s="167"/>
      <c r="C47" s="167"/>
      <c r="D47" s="167"/>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row>
    <row r="48" spans="2:53" ht="25">
      <c r="B48" s="167" t="s">
        <v>91</v>
      </c>
      <c r="C48" s="167"/>
      <c r="D48" s="167"/>
      <c r="E48" s="169" t="e">
        <f t="shared" ref="E48:BA48" si="10">SUM(E36:E47)</f>
        <v>#REF!</v>
      </c>
      <c r="F48" s="169" t="e">
        <f t="shared" si="10"/>
        <v>#REF!</v>
      </c>
      <c r="G48" s="169" t="e">
        <f t="shared" si="10"/>
        <v>#REF!</v>
      </c>
      <c r="H48" s="169" t="e">
        <f t="shared" si="10"/>
        <v>#REF!</v>
      </c>
      <c r="I48" s="169" t="e">
        <f t="shared" si="10"/>
        <v>#REF!</v>
      </c>
      <c r="J48" s="169" t="e">
        <f t="shared" si="10"/>
        <v>#REF!</v>
      </c>
      <c r="K48" s="169" t="e">
        <f t="shared" si="10"/>
        <v>#REF!</v>
      </c>
      <c r="L48" s="169" t="e">
        <f t="shared" si="10"/>
        <v>#REF!</v>
      </c>
      <c r="M48" s="169" t="e">
        <f t="shared" si="10"/>
        <v>#REF!</v>
      </c>
      <c r="N48" s="169" t="e">
        <f t="shared" si="10"/>
        <v>#REF!</v>
      </c>
      <c r="O48" s="169" t="e">
        <f t="shared" si="10"/>
        <v>#REF!</v>
      </c>
      <c r="P48" s="169" t="e">
        <f t="shared" si="10"/>
        <v>#REF!</v>
      </c>
      <c r="Q48" s="169" t="e">
        <f t="shared" si="10"/>
        <v>#REF!</v>
      </c>
      <c r="R48" s="169" t="e">
        <f t="shared" si="10"/>
        <v>#REF!</v>
      </c>
      <c r="S48" s="169" t="e">
        <f t="shared" si="10"/>
        <v>#REF!</v>
      </c>
      <c r="T48" s="169" t="e">
        <f t="shared" si="10"/>
        <v>#REF!</v>
      </c>
      <c r="U48" s="169" t="e">
        <f t="shared" si="10"/>
        <v>#REF!</v>
      </c>
      <c r="V48" s="169" t="e">
        <f t="shared" si="10"/>
        <v>#REF!</v>
      </c>
      <c r="W48" s="169" t="e">
        <f t="shared" si="10"/>
        <v>#REF!</v>
      </c>
      <c r="X48" s="169" t="e">
        <f t="shared" si="10"/>
        <v>#REF!</v>
      </c>
      <c r="Y48" s="169" t="e">
        <f t="shared" si="10"/>
        <v>#REF!</v>
      </c>
      <c r="Z48" s="169" t="e">
        <f t="shared" si="10"/>
        <v>#REF!</v>
      </c>
      <c r="AA48" s="169" t="e">
        <f t="shared" si="10"/>
        <v>#REF!</v>
      </c>
      <c r="AB48" s="169" t="e">
        <f t="shared" si="10"/>
        <v>#REF!</v>
      </c>
      <c r="AC48" s="169" t="e">
        <f t="shared" si="10"/>
        <v>#REF!</v>
      </c>
      <c r="AD48" s="169" t="e">
        <f t="shared" si="10"/>
        <v>#REF!</v>
      </c>
      <c r="AE48" s="169" t="e">
        <f t="shared" si="10"/>
        <v>#REF!</v>
      </c>
      <c r="AF48" s="169" t="e">
        <f t="shared" si="10"/>
        <v>#REF!</v>
      </c>
      <c r="AG48" s="169" t="e">
        <f t="shared" si="10"/>
        <v>#REF!</v>
      </c>
      <c r="AH48" s="169" t="e">
        <f t="shared" si="10"/>
        <v>#REF!</v>
      </c>
      <c r="AI48" s="169" t="e">
        <f t="shared" si="10"/>
        <v>#REF!</v>
      </c>
      <c r="AJ48" s="169" t="e">
        <f t="shared" si="10"/>
        <v>#REF!</v>
      </c>
      <c r="AK48" s="169" t="e">
        <f t="shared" si="10"/>
        <v>#REF!</v>
      </c>
      <c r="AL48" s="169" t="e">
        <f t="shared" si="10"/>
        <v>#REF!</v>
      </c>
      <c r="AM48" s="169" t="e">
        <f t="shared" si="10"/>
        <v>#REF!</v>
      </c>
      <c r="AN48" s="169" t="e">
        <f t="shared" si="10"/>
        <v>#REF!</v>
      </c>
      <c r="AO48" s="169" t="e">
        <f t="shared" si="10"/>
        <v>#REF!</v>
      </c>
      <c r="AP48" s="169" t="e">
        <f t="shared" si="10"/>
        <v>#REF!</v>
      </c>
      <c r="AQ48" s="169" t="e">
        <f t="shared" si="10"/>
        <v>#REF!</v>
      </c>
      <c r="AR48" s="169" t="e">
        <f t="shared" si="10"/>
        <v>#REF!</v>
      </c>
      <c r="AS48" s="169" t="e">
        <f t="shared" si="10"/>
        <v>#REF!</v>
      </c>
      <c r="AT48" s="169" t="e">
        <f t="shared" si="10"/>
        <v>#REF!</v>
      </c>
      <c r="AU48" s="169" t="e">
        <f t="shared" si="10"/>
        <v>#REF!</v>
      </c>
      <c r="AV48" s="169" t="e">
        <f t="shared" si="10"/>
        <v>#REF!</v>
      </c>
      <c r="AW48" s="169" t="e">
        <f t="shared" si="10"/>
        <v>#REF!</v>
      </c>
      <c r="AX48" s="169" t="e">
        <f t="shared" ref="AX48:AY48" si="11">SUM(AX36:AX47)</f>
        <v>#REF!</v>
      </c>
      <c r="AY48" s="169" t="e">
        <f t="shared" si="11"/>
        <v>#REF!</v>
      </c>
      <c r="AZ48" s="169" t="e">
        <f t="shared" si="10"/>
        <v>#REF!</v>
      </c>
      <c r="BA48" s="169" t="e">
        <f t="shared" si="10"/>
        <v>#REF!</v>
      </c>
    </row>
    <row r="49" spans="2:53">
      <c r="B49" s="154"/>
      <c r="C49" s="154"/>
      <c r="D49" s="154"/>
      <c r="E49" s="146"/>
      <c r="F49" s="146"/>
      <c r="G49" s="147"/>
      <c r="H49" s="146"/>
      <c r="I49" s="146"/>
      <c r="J49" s="146"/>
      <c r="K49" s="146"/>
      <c r="L49" s="146"/>
      <c r="M49" s="146"/>
      <c r="N49" s="146"/>
      <c r="O49" s="146"/>
      <c r="P49" s="146"/>
      <c r="Q49" s="146"/>
      <c r="R49" s="146"/>
      <c r="S49" s="146"/>
      <c r="T49" s="146"/>
      <c r="U49" s="146"/>
      <c r="V49" s="146"/>
      <c r="W49" s="146"/>
      <c r="X49" s="146"/>
      <c r="Y49" s="146"/>
      <c r="Z49" s="146"/>
      <c r="AA49" s="146"/>
      <c r="AB49" s="146"/>
      <c r="AC49" s="146"/>
      <c r="AD49" s="146"/>
      <c r="AE49" s="146"/>
      <c r="AF49" s="146"/>
      <c r="AG49" s="146"/>
      <c r="AH49" s="146"/>
      <c r="AI49" s="146"/>
      <c r="AJ49" s="146"/>
      <c r="AK49" s="146"/>
      <c r="AL49" s="146"/>
      <c r="AM49" s="146"/>
      <c r="AN49" s="146"/>
      <c r="AO49" s="146"/>
      <c r="AP49" s="146"/>
      <c r="AQ49" s="146"/>
      <c r="AR49" s="146"/>
      <c r="AS49" s="146"/>
      <c r="AT49" s="146"/>
      <c r="AU49" s="146"/>
      <c r="AV49" s="146"/>
      <c r="AW49" s="146"/>
      <c r="AX49" s="146"/>
      <c r="AY49" s="146"/>
      <c r="AZ49" s="146"/>
      <c r="BA49" s="146"/>
    </row>
    <row r="50" spans="2:53" ht="25">
      <c r="B50" s="145" t="s">
        <v>79</v>
      </c>
      <c r="C50" s="145"/>
      <c r="D50" s="145"/>
      <c r="E50" s="146" t="e">
        <f>E48*1.2</f>
        <v>#REF!</v>
      </c>
      <c r="F50" s="146" t="e">
        <f t="shared" ref="F50:BA50" si="12">F48*1.2</f>
        <v>#REF!</v>
      </c>
      <c r="G50" s="147" t="e">
        <f t="shared" si="12"/>
        <v>#REF!</v>
      </c>
      <c r="H50" s="146" t="e">
        <f t="shared" si="12"/>
        <v>#REF!</v>
      </c>
      <c r="I50" s="146" t="e">
        <f t="shared" si="12"/>
        <v>#REF!</v>
      </c>
      <c r="J50" s="146" t="e">
        <f t="shared" si="12"/>
        <v>#REF!</v>
      </c>
      <c r="K50" s="146" t="e">
        <f t="shared" si="12"/>
        <v>#REF!</v>
      </c>
      <c r="L50" s="146" t="e">
        <f t="shared" si="12"/>
        <v>#REF!</v>
      </c>
      <c r="M50" s="146" t="e">
        <f t="shared" si="12"/>
        <v>#REF!</v>
      </c>
      <c r="N50" s="146" t="e">
        <f t="shared" si="12"/>
        <v>#REF!</v>
      </c>
      <c r="O50" s="146" t="e">
        <f t="shared" si="12"/>
        <v>#REF!</v>
      </c>
      <c r="P50" s="146" t="e">
        <f t="shared" si="12"/>
        <v>#REF!</v>
      </c>
      <c r="Q50" s="146" t="e">
        <f t="shared" si="12"/>
        <v>#REF!</v>
      </c>
      <c r="R50" s="146" t="e">
        <f t="shared" si="12"/>
        <v>#REF!</v>
      </c>
      <c r="S50" s="146" t="e">
        <f t="shared" si="12"/>
        <v>#REF!</v>
      </c>
      <c r="T50" s="146" t="e">
        <f t="shared" si="12"/>
        <v>#REF!</v>
      </c>
      <c r="U50" s="146" t="e">
        <f t="shared" si="12"/>
        <v>#REF!</v>
      </c>
      <c r="V50" s="146" t="e">
        <f t="shared" si="12"/>
        <v>#REF!</v>
      </c>
      <c r="W50" s="146" t="e">
        <f t="shared" si="12"/>
        <v>#REF!</v>
      </c>
      <c r="X50" s="146" t="e">
        <f t="shared" si="12"/>
        <v>#REF!</v>
      </c>
      <c r="Y50" s="146" t="e">
        <f t="shared" si="12"/>
        <v>#REF!</v>
      </c>
      <c r="Z50" s="146" t="e">
        <f t="shared" si="12"/>
        <v>#REF!</v>
      </c>
      <c r="AA50" s="146" t="e">
        <f t="shared" si="12"/>
        <v>#REF!</v>
      </c>
      <c r="AB50" s="146" t="e">
        <f t="shared" si="12"/>
        <v>#REF!</v>
      </c>
      <c r="AC50" s="146" t="e">
        <f t="shared" si="12"/>
        <v>#REF!</v>
      </c>
      <c r="AD50" s="146" t="e">
        <f t="shared" si="12"/>
        <v>#REF!</v>
      </c>
      <c r="AE50" s="146" t="e">
        <f t="shared" si="12"/>
        <v>#REF!</v>
      </c>
      <c r="AF50" s="146" t="e">
        <f t="shared" si="12"/>
        <v>#REF!</v>
      </c>
      <c r="AG50" s="146" t="e">
        <f t="shared" si="12"/>
        <v>#REF!</v>
      </c>
      <c r="AH50" s="146" t="e">
        <f t="shared" si="12"/>
        <v>#REF!</v>
      </c>
      <c r="AI50" s="146" t="e">
        <f t="shared" si="12"/>
        <v>#REF!</v>
      </c>
      <c r="AJ50" s="146" t="e">
        <f t="shared" si="12"/>
        <v>#REF!</v>
      </c>
      <c r="AK50" s="146" t="e">
        <f t="shared" si="12"/>
        <v>#REF!</v>
      </c>
      <c r="AL50" s="146" t="e">
        <f t="shared" si="12"/>
        <v>#REF!</v>
      </c>
      <c r="AM50" s="146" t="e">
        <f t="shared" si="12"/>
        <v>#REF!</v>
      </c>
      <c r="AN50" s="146" t="e">
        <f t="shared" si="12"/>
        <v>#REF!</v>
      </c>
      <c r="AO50" s="146" t="e">
        <f t="shared" si="12"/>
        <v>#REF!</v>
      </c>
      <c r="AP50" s="146" t="e">
        <f t="shared" si="12"/>
        <v>#REF!</v>
      </c>
      <c r="AQ50" s="146" t="e">
        <f t="shared" si="12"/>
        <v>#REF!</v>
      </c>
      <c r="AR50" s="146" t="e">
        <f t="shared" si="12"/>
        <v>#REF!</v>
      </c>
      <c r="AS50" s="146" t="e">
        <f t="shared" si="12"/>
        <v>#REF!</v>
      </c>
      <c r="AT50" s="146" t="e">
        <f t="shared" si="12"/>
        <v>#REF!</v>
      </c>
      <c r="AU50" s="146" t="e">
        <f t="shared" si="12"/>
        <v>#REF!</v>
      </c>
      <c r="AV50" s="146" t="e">
        <f t="shared" si="12"/>
        <v>#REF!</v>
      </c>
      <c r="AW50" s="146" t="e">
        <f t="shared" si="12"/>
        <v>#REF!</v>
      </c>
      <c r="AX50" s="146" t="e">
        <f t="shared" ref="AX50:AY50" si="13">AX48*1.2</f>
        <v>#REF!</v>
      </c>
      <c r="AY50" s="146" t="e">
        <f t="shared" si="13"/>
        <v>#REF!</v>
      </c>
      <c r="AZ50" s="146" t="e">
        <f t="shared" si="12"/>
        <v>#REF!</v>
      </c>
      <c r="BA50" s="147" t="e">
        <f t="shared" si="12"/>
        <v>#REF!</v>
      </c>
    </row>
    <row r="51" spans="2:53">
      <c r="B51" s="154"/>
      <c r="C51" s="154"/>
      <c r="D51" s="154"/>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7"/>
      <c r="AY51" s="147"/>
      <c r="AZ51" s="147"/>
      <c r="BA51" s="147"/>
    </row>
    <row r="52" spans="2:53" ht="12.75" customHeight="1">
      <c r="B52" s="627" t="s">
        <v>92</v>
      </c>
      <c r="C52" s="618">
        <v>600</v>
      </c>
      <c r="D52" s="159"/>
      <c r="E52" s="151" t="e">
        <f>E50/$C$52</f>
        <v>#REF!</v>
      </c>
      <c r="F52" s="151" t="e">
        <f t="shared" ref="F52:BA52" si="14">F50/$C$52</f>
        <v>#REF!</v>
      </c>
      <c r="G52" s="151" t="e">
        <f t="shared" si="14"/>
        <v>#REF!</v>
      </c>
      <c r="H52" s="151" t="e">
        <f t="shared" si="14"/>
        <v>#REF!</v>
      </c>
      <c r="I52" s="151" t="e">
        <f t="shared" si="14"/>
        <v>#REF!</v>
      </c>
      <c r="J52" s="151" t="e">
        <f t="shared" si="14"/>
        <v>#REF!</v>
      </c>
      <c r="K52" s="151" t="e">
        <f t="shared" si="14"/>
        <v>#REF!</v>
      </c>
      <c r="L52" s="151" t="e">
        <f t="shared" si="14"/>
        <v>#REF!</v>
      </c>
      <c r="M52" s="151" t="e">
        <f t="shared" si="14"/>
        <v>#REF!</v>
      </c>
      <c r="N52" s="151" t="e">
        <f t="shared" si="14"/>
        <v>#REF!</v>
      </c>
      <c r="O52" s="151" t="e">
        <f t="shared" si="14"/>
        <v>#REF!</v>
      </c>
      <c r="P52" s="151" t="e">
        <f t="shared" si="14"/>
        <v>#REF!</v>
      </c>
      <c r="Q52" s="151" t="e">
        <f t="shared" si="14"/>
        <v>#REF!</v>
      </c>
      <c r="R52" s="151" t="e">
        <f t="shared" si="14"/>
        <v>#REF!</v>
      </c>
      <c r="S52" s="151" t="e">
        <f t="shared" si="14"/>
        <v>#REF!</v>
      </c>
      <c r="T52" s="151" t="e">
        <f t="shared" si="14"/>
        <v>#REF!</v>
      </c>
      <c r="U52" s="151" t="e">
        <f t="shared" si="14"/>
        <v>#REF!</v>
      </c>
      <c r="V52" s="151" t="e">
        <f t="shared" si="14"/>
        <v>#REF!</v>
      </c>
      <c r="W52" s="151" t="e">
        <f t="shared" si="14"/>
        <v>#REF!</v>
      </c>
      <c r="X52" s="151" t="e">
        <f t="shared" si="14"/>
        <v>#REF!</v>
      </c>
      <c r="Y52" s="151" t="e">
        <f t="shared" si="14"/>
        <v>#REF!</v>
      </c>
      <c r="Z52" s="151" t="e">
        <f t="shared" si="14"/>
        <v>#REF!</v>
      </c>
      <c r="AA52" s="151" t="e">
        <f t="shared" si="14"/>
        <v>#REF!</v>
      </c>
      <c r="AB52" s="151" t="e">
        <f t="shared" si="14"/>
        <v>#REF!</v>
      </c>
      <c r="AC52" s="151" t="e">
        <f t="shared" si="14"/>
        <v>#REF!</v>
      </c>
      <c r="AD52" s="151" t="e">
        <f t="shared" si="14"/>
        <v>#REF!</v>
      </c>
      <c r="AE52" s="151" t="e">
        <f t="shared" si="14"/>
        <v>#REF!</v>
      </c>
      <c r="AF52" s="151" t="e">
        <f t="shared" si="14"/>
        <v>#REF!</v>
      </c>
      <c r="AG52" s="151" t="e">
        <f t="shared" si="14"/>
        <v>#REF!</v>
      </c>
      <c r="AH52" s="151" t="e">
        <f t="shared" si="14"/>
        <v>#REF!</v>
      </c>
      <c r="AI52" s="151" t="e">
        <f t="shared" si="14"/>
        <v>#REF!</v>
      </c>
      <c r="AJ52" s="151" t="e">
        <f t="shared" si="14"/>
        <v>#REF!</v>
      </c>
      <c r="AK52" s="151" t="e">
        <f t="shared" si="14"/>
        <v>#REF!</v>
      </c>
      <c r="AL52" s="151" t="e">
        <f t="shared" si="14"/>
        <v>#REF!</v>
      </c>
      <c r="AM52" s="151" t="e">
        <f t="shared" si="14"/>
        <v>#REF!</v>
      </c>
      <c r="AN52" s="151" t="e">
        <f t="shared" si="14"/>
        <v>#REF!</v>
      </c>
      <c r="AO52" s="151" t="e">
        <f t="shared" si="14"/>
        <v>#REF!</v>
      </c>
      <c r="AP52" s="151" t="e">
        <f t="shared" si="14"/>
        <v>#REF!</v>
      </c>
      <c r="AQ52" s="151" t="e">
        <f t="shared" si="14"/>
        <v>#REF!</v>
      </c>
      <c r="AR52" s="151" t="e">
        <f t="shared" si="14"/>
        <v>#REF!</v>
      </c>
      <c r="AS52" s="151" t="e">
        <f t="shared" si="14"/>
        <v>#REF!</v>
      </c>
      <c r="AT52" s="151" t="e">
        <f t="shared" si="14"/>
        <v>#REF!</v>
      </c>
      <c r="AU52" s="151" t="e">
        <f t="shared" si="14"/>
        <v>#REF!</v>
      </c>
      <c r="AV52" s="151" t="e">
        <f t="shared" si="14"/>
        <v>#REF!</v>
      </c>
      <c r="AW52" s="151" t="e">
        <f t="shared" si="14"/>
        <v>#REF!</v>
      </c>
      <c r="AX52" s="151" t="e">
        <f t="shared" ref="AX52:AY52" si="15">AX50/$C$52</f>
        <v>#REF!</v>
      </c>
      <c r="AY52" s="151" t="e">
        <f t="shared" si="15"/>
        <v>#REF!</v>
      </c>
      <c r="AZ52" s="151" t="e">
        <f t="shared" si="14"/>
        <v>#REF!</v>
      </c>
      <c r="BA52" s="151" t="e">
        <f t="shared" si="14"/>
        <v>#REF!</v>
      </c>
    </row>
    <row r="53" spans="2:53">
      <c r="B53" s="628"/>
      <c r="C53" s="619"/>
      <c r="D53" s="154"/>
      <c r="E53" s="146"/>
      <c r="F53" s="146"/>
      <c r="G53" s="147"/>
      <c r="H53" s="146"/>
      <c r="I53" s="146"/>
      <c r="J53" s="146"/>
      <c r="K53" s="146"/>
      <c r="L53" s="146"/>
      <c r="M53" s="146"/>
      <c r="N53" s="146"/>
      <c r="O53" s="146"/>
      <c r="P53" s="146"/>
      <c r="Q53" s="146"/>
      <c r="R53" s="146"/>
      <c r="S53" s="146"/>
      <c r="T53" s="146"/>
      <c r="U53" s="146"/>
      <c r="V53" s="146"/>
      <c r="W53" s="146"/>
      <c r="X53" s="146"/>
      <c r="Y53" s="146"/>
      <c r="Z53" s="146"/>
      <c r="AA53" s="146"/>
      <c r="AB53" s="146"/>
      <c r="AC53" s="146"/>
      <c r="AD53" s="146"/>
      <c r="AE53" s="146"/>
      <c r="AF53" s="146"/>
      <c r="AG53" s="146"/>
      <c r="AH53" s="146"/>
      <c r="AI53" s="146"/>
      <c r="AJ53" s="146"/>
      <c r="AK53" s="146"/>
      <c r="AL53" s="146"/>
      <c r="AM53" s="146"/>
      <c r="AN53" s="146"/>
      <c r="AO53" s="146"/>
      <c r="AP53" s="146"/>
      <c r="AQ53" s="146"/>
      <c r="AR53" s="146"/>
      <c r="AS53" s="146"/>
      <c r="AT53" s="146"/>
      <c r="AU53" s="146"/>
      <c r="AV53" s="146"/>
      <c r="AW53" s="146"/>
      <c r="AX53" s="146"/>
      <c r="AY53" s="146"/>
      <c r="AZ53" s="146"/>
      <c r="BA53" s="146"/>
    </row>
    <row r="54" spans="2:53" ht="33" customHeight="1">
      <c r="B54" s="628"/>
      <c r="C54" s="620"/>
      <c r="D54" s="154"/>
      <c r="E54" s="170" t="e">
        <f>ROUNDUP(E52,0)</f>
        <v>#REF!</v>
      </c>
      <c r="F54" s="171">
        <v>10</v>
      </c>
      <c r="G54" s="170" t="e">
        <f t="shared" ref="G54:BA54" si="16">ROUNDUP(G52,0)</f>
        <v>#REF!</v>
      </c>
      <c r="H54" s="170" t="e">
        <f t="shared" si="16"/>
        <v>#REF!</v>
      </c>
      <c r="I54" s="170" t="e">
        <f t="shared" si="16"/>
        <v>#REF!</v>
      </c>
      <c r="J54" s="170" t="e">
        <f t="shared" si="16"/>
        <v>#REF!</v>
      </c>
      <c r="K54" s="170" t="e">
        <f t="shared" si="16"/>
        <v>#REF!</v>
      </c>
      <c r="L54" s="80">
        <v>0</v>
      </c>
      <c r="M54" s="170" t="e">
        <f t="shared" si="16"/>
        <v>#REF!</v>
      </c>
      <c r="N54" s="170" t="e">
        <f t="shared" si="16"/>
        <v>#REF!</v>
      </c>
      <c r="O54" s="170" t="e">
        <f t="shared" si="16"/>
        <v>#REF!</v>
      </c>
      <c r="P54" s="170">
        <v>7</v>
      </c>
      <c r="Q54" s="170">
        <v>4</v>
      </c>
      <c r="R54" s="172">
        <v>3</v>
      </c>
      <c r="S54" s="172">
        <v>2</v>
      </c>
      <c r="T54" s="170">
        <v>1</v>
      </c>
      <c r="U54" s="173">
        <v>0</v>
      </c>
      <c r="V54" s="170" t="e">
        <f>ROUNDUP(V52,0)</f>
        <v>#REF!</v>
      </c>
      <c r="W54" s="170" t="e">
        <f t="shared" si="16"/>
        <v>#REF!</v>
      </c>
      <c r="X54" s="170">
        <v>1</v>
      </c>
      <c r="Y54" s="81">
        <v>0</v>
      </c>
      <c r="Z54" s="170">
        <v>1</v>
      </c>
      <c r="AA54" s="81">
        <v>0</v>
      </c>
      <c r="AB54" s="170">
        <v>1</v>
      </c>
      <c r="AC54" s="170" t="e">
        <f t="shared" si="16"/>
        <v>#REF!</v>
      </c>
      <c r="AD54" s="170" t="e">
        <f t="shared" si="16"/>
        <v>#REF!</v>
      </c>
      <c r="AE54" s="170" t="e">
        <f t="shared" si="16"/>
        <v>#REF!</v>
      </c>
      <c r="AF54" s="170" t="e">
        <f t="shared" si="16"/>
        <v>#REF!</v>
      </c>
      <c r="AG54" s="80">
        <v>0</v>
      </c>
      <c r="AH54" s="170" t="e">
        <f t="shared" si="16"/>
        <v>#REF!</v>
      </c>
      <c r="AI54" s="170" t="e">
        <f t="shared" si="16"/>
        <v>#REF!</v>
      </c>
      <c r="AJ54" s="170" t="e">
        <f t="shared" si="16"/>
        <v>#REF!</v>
      </c>
      <c r="AK54" s="170" t="e">
        <f t="shared" si="16"/>
        <v>#REF!</v>
      </c>
      <c r="AL54" s="170" t="e">
        <f t="shared" si="16"/>
        <v>#REF!</v>
      </c>
      <c r="AM54" s="170" t="e">
        <f t="shared" si="16"/>
        <v>#REF!</v>
      </c>
      <c r="AN54" s="170" t="e">
        <f t="shared" si="16"/>
        <v>#REF!</v>
      </c>
      <c r="AO54" s="174">
        <v>0</v>
      </c>
      <c r="AP54" s="174">
        <v>0</v>
      </c>
      <c r="AQ54" s="174">
        <v>0</v>
      </c>
      <c r="AR54" s="170" t="e">
        <f t="shared" si="16"/>
        <v>#REF!</v>
      </c>
      <c r="AS54" s="173">
        <v>0</v>
      </c>
      <c r="AT54" s="175">
        <v>0</v>
      </c>
      <c r="AU54" s="175">
        <v>0</v>
      </c>
      <c r="AV54" s="172">
        <v>5</v>
      </c>
      <c r="AW54" s="172">
        <v>5</v>
      </c>
      <c r="AX54" s="172">
        <v>4</v>
      </c>
      <c r="AY54" s="170" t="e">
        <f t="shared" ref="AY54" si="17">ROUNDUP(AY52,0)</f>
        <v>#REF!</v>
      </c>
      <c r="AZ54" s="172">
        <v>2</v>
      </c>
      <c r="BA54" s="170" t="e">
        <f t="shared" si="16"/>
        <v>#REF!</v>
      </c>
    </row>
    <row r="55" spans="2:53">
      <c r="B55" s="628"/>
      <c r="C55" s="154"/>
      <c r="D55" s="154"/>
      <c r="E55" s="146"/>
      <c r="F55" s="146"/>
      <c r="G55" s="147"/>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146"/>
      <c r="AH55" s="146"/>
      <c r="AI55" s="146"/>
      <c r="AJ55" s="146"/>
      <c r="AK55" s="146"/>
      <c r="AL55" s="146"/>
      <c r="AM55" s="146"/>
      <c r="AN55" s="146"/>
      <c r="AO55" s="146"/>
      <c r="AP55" s="146"/>
      <c r="AQ55" s="146"/>
      <c r="AR55" s="146"/>
      <c r="AS55" s="157"/>
      <c r="AT55" s="157"/>
      <c r="AU55" s="157"/>
      <c r="AV55" s="146"/>
      <c r="AW55" s="146"/>
      <c r="AX55" s="146"/>
      <c r="AY55" s="146"/>
      <c r="AZ55" s="146"/>
      <c r="BA55" s="146"/>
    </row>
    <row r="56" spans="2:53" ht="13">
      <c r="B56" s="628"/>
      <c r="C56" s="176">
        <v>450</v>
      </c>
      <c r="D56" s="154"/>
      <c r="E56" s="146"/>
      <c r="F56" s="146"/>
      <c r="G56" s="147"/>
      <c r="H56" s="146"/>
      <c r="I56" s="146"/>
      <c r="J56" s="146"/>
      <c r="K56" s="146"/>
      <c r="L56" s="146"/>
      <c r="M56" s="146"/>
      <c r="N56" s="146"/>
      <c r="O56" s="146"/>
      <c r="P56" s="146"/>
      <c r="Q56" s="170">
        <v>1</v>
      </c>
      <c r="R56" s="155"/>
      <c r="S56" s="155"/>
      <c r="T56" s="146"/>
      <c r="U56" s="170" t="e">
        <f>ROUNDUP(U52,0)</f>
        <v>#REF!</v>
      </c>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72" t="e">
        <f>ROUNDUP(AS52,0)</f>
        <v>#REF!</v>
      </c>
      <c r="AT56" s="157"/>
      <c r="AU56" s="157"/>
      <c r="AV56" s="146"/>
      <c r="AW56" s="146"/>
      <c r="AX56" s="146"/>
      <c r="AY56" s="146"/>
      <c r="AZ56" s="146"/>
      <c r="BA56" s="146"/>
    </row>
    <row r="57" spans="2:53">
      <c r="B57" s="628"/>
      <c r="C57" s="154"/>
      <c r="D57" s="154"/>
      <c r="E57" s="146"/>
      <c r="F57" s="146"/>
      <c r="G57" s="147"/>
      <c r="H57" s="146"/>
      <c r="I57" s="146"/>
      <c r="J57" s="146"/>
      <c r="K57" s="146"/>
      <c r="L57" s="146"/>
      <c r="M57" s="146"/>
      <c r="N57" s="146"/>
      <c r="O57" s="146"/>
      <c r="P57" s="146"/>
      <c r="Q57" s="146"/>
      <c r="R57" s="146"/>
      <c r="S57" s="146"/>
      <c r="T57" s="146"/>
      <c r="U57" s="146"/>
      <c r="V57" s="146"/>
      <c r="W57" s="146"/>
      <c r="X57" s="146"/>
      <c r="Y57" s="146"/>
      <c r="Z57" s="146"/>
      <c r="AA57" s="146"/>
      <c r="AB57" s="146"/>
      <c r="AC57" s="146"/>
      <c r="AD57" s="146"/>
      <c r="AE57" s="146"/>
      <c r="AF57" s="146"/>
      <c r="AG57" s="146"/>
      <c r="AH57" s="146"/>
      <c r="AI57" s="146"/>
      <c r="AJ57" s="146"/>
      <c r="AK57" s="146"/>
      <c r="AL57" s="146"/>
      <c r="AM57" s="146"/>
      <c r="AN57" s="146"/>
      <c r="AO57" s="146"/>
      <c r="AP57" s="146"/>
      <c r="AQ57" s="146"/>
      <c r="AR57" s="146"/>
      <c r="AS57" s="157"/>
      <c r="AT57" s="157"/>
      <c r="AU57" s="157"/>
      <c r="AV57" s="146"/>
      <c r="AW57" s="146"/>
      <c r="AX57" s="146"/>
      <c r="AY57" s="146"/>
      <c r="AZ57" s="146"/>
      <c r="BA57" s="146"/>
    </row>
    <row r="58" spans="2:53" ht="13">
      <c r="B58" s="629"/>
      <c r="C58" s="176">
        <v>300</v>
      </c>
      <c r="D58" s="154"/>
      <c r="E58" s="146"/>
      <c r="F58" s="146"/>
      <c r="G58" s="147"/>
      <c r="H58" s="146"/>
      <c r="I58" s="146"/>
      <c r="J58" s="146"/>
      <c r="K58" s="146"/>
      <c r="L58" s="170" t="e">
        <f>ROUNDUP(L52,0)</f>
        <v>#REF!</v>
      </c>
      <c r="M58" s="146"/>
      <c r="N58" s="146"/>
      <c r="O58" s="146"/>
      <c r="P58" s="146"/>
      <c r="Q58" s="146"/>
      <c r="R58" s="170">
        <v>1</v>
      </c>
      <c r="S58" s="170">
        <v>1</v>
      </c>
      <c r="T58" s="170">
        <v>1</v>
      </c>
      <c r="U58" s="146"/>
      <c r="W58" s="146"/>
      <c r="X58" s="170">
        <v>1</v>
      </c>
      <c r="Y58" s="170" t="e">
        <f>ROUNDUP(Y52,0)</f>
        <v>#REF!</v>
      </c>
      <c r="Z58" s="170">
        <v>1</v>
      </c>
      <c r="AA58" s="170" t="e">
        <f>ROUNDUP(AA52,0)</f>
        <v>#REF!</v>
      </c>
      <c r="AB58" s="170">
        <v>1</v>
      </c>
      <c r="AC58" s="146"/>
      <c r="AD58" s="146"/>
      <c r="AE58" s="146"/>
      <c r="AF58" s="146"/>
      <c r="AG58" s="170" t="e">
        <f>ROUNDUP(AG52,0)</f>
        <v>#REF!</v>
      </c>
      <c r="AH58" s="146"/>
      <c r="AI58" s="146"/>
      <c r="AJ58" s="146"/>
      <c r="AK58" s="146"/>
      <c r="AL58" s="146"/>
      <c r="AM58" s="146"/>
      <c r="AN58" s="146"/>
      <c r="AO58" s="170" t="e">
        <f>ROUNDUP(AO52,0)</f>
        <v>#REF!</v>
      </c>
      <c r="AP58" s="170" t="e">
        <f>ROUNDUP(AP52,0)</f>
        <v>#REF!</v>
      </c>
      <c r="AQ58" s="170" t="e">
        <f>ROUNDUP(AQ52,0)</f>
        <v>#REF!</v>
      </c>
      <c r="AR58" s="146"/>
      <c r="AS58" s="157"/>
      <c r="AT58" s="172" t="e">
        <f>ROUNDUP(AT52,0)</f>
        <v>#REF!</v>
      </c>
      <c r="AU58" s="172">
        <v>1</v>
      </c>
      <c r="AV58" s="146"/>
      <c r="AW58" s="146"/>
      <c r="AX58" s="172">
        <v>1</v>
      </c>
      <c r="AY58" s="146"/>
      <c r="AZ58" s="172">
        <v>1</v>
      </c>
      <c r="BA58" s="146"/>
    </row>
    <row r="59" spans="2:53">
      <c r="B59" s="154"/>
      <c r="C59" s="154"/>
      <c r="D59" s="154"/>
      <c r="E59" s="146"/>
      <c r="F59" s="146"/>
      <c r="G59" s="147"/>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row>
    <row r="60" spans="2:53" ht="34.5" customHeight="1">
      <c r="B60" s="615" t="s">
        <v>93</v>
      </c>
      <c r="C60" s="177">
        <v>600</v>
      </c>
      <c r="D60" s="146"/>
      <c r="E60" s="178">
        <v>1</v>
      </c>
      <c r="F60" s="178">
        <v>1</v>
      </c>
      <c r="G60" s="151">
        <v>1</v>
      </c>
      <c r="H60" s="178">
        <v>1</v>
      </c>
      <c r="I60" s="178">
        <v>1</v>
      </c>
      <c r="J60" s="178">
        <v>1</v>
      </c>
      <c r="K60" s="178">
        <v>1</v>
      </c>
      <c r="L60" s="178">
        <v>1</v>
      </c>
      <c r="M60" s="178">
        <v>1</v>
      </c>
      <c r="N60" s="178">
        <v>1</v>
      </c>
      <c r="O60" s="178">
        <v>1</v>
      </c>
      <c r="P60" s="178">
        <v>1</v>
      </c>
      <c r="Q60" s="178">
        <v>1</v>
      </c>
      <c r="R60" s="178">
        <v>1</v>
      </c>
      <c r="S60" s="178">
        <v>1</v>
      </c>
      <c r="T60" s="178">
        <v>1</v>
      </c>
      <c r="U60" s="179">
        <v>0</v>
      </c>
      <c r="V60" s="179">
        <v>0</v>
      </c>
      <c r="W60" s="178">
        <v>1</v>
      </c>
      <c r="X60" s="178">
        <v>1</v>
      </c>
      <c r="Y60" s="179">
        <v>0</v>
      </c>
      <c r="Z60" s="178">
        <v>1</v>
      </c>
      <c r="AA60" s="179">
        <v>0</v>
      </c>
      <c r="AB60" s="178">
        <v>1</v>
      </c>
      <c r="AC60" s="178">
        <v>1</v>
      </c>
      <c r="AD60" s="178">
        <v>1</v>
      </c>
      <c r="AE60" s="178">
        <v>1</v>
      </c>
      <c r="AF60" s="178">
        <v>1</v>
      </c>
      <c r="AG60" s="179">
        <v>0</v>
      </c>
      <c r="AH60" s="178">
        <v>1</v>
      </c>
      <c r="AI60" s="178">
        <v>1</v>
      </c>
      <c r="AJ60" s="178">
        <v>1</v>
      </c>
      <c r="AK60" s="178">
        <v>1</v>
      </c>
      <c r="AL60" s="178">
        <v>1</v>
      </c>
      <c r="AM60" s="178">
        <v>1</v>
      </c>
      <c r="AN60" s="178">
        <v>1</v>
      </c>
      <c r="AO60" s="179">
        <v>0</v>
      </c>
      <c r="AP60" s="179">
        <v>0</v>
      </c>
      <c r="AQ60" s="179">
        <v>0</v>
      </c>
      <c r="AR60" s="178">
        <v>1</v>
      </c>
      <c r="AS60" s="178">
        <v>1</v>
      </c>
      <c r="AT60" s="178">
        <v>1</v>
      </c>
      <c r="AU60" s="179">
        <v>0</v>
      </c>
      <c r="AV60" s="178">
        <v>1</v>
      </c>
      <c r="AW60" s="178">
        <v>1</v>
      </c>
      <c r="AX60" s="178">
        <v>1</v>
      </c>
      <c r="AY60" s="179">
        <v>0</v>
      </c>
      <c r="AZ60" s="179">
        <v>0</v>
      </c>
      <c r="BA60" s="179">
        <v>0</v>
      </c>
    </row>
    <row r="61" spans="2:53">
      <c r="B61" s="616"/>
      <c r="C61" s="146"/>
    </row>
    <row r="62" spans="2:53" ht="13">
      <c r="B62" s="616"/>
      <c r="C62" s="177">
        <v>450</v>
      </c>
      <c r="U62" s="180">
        <v>1</v>
      </c>
    </row>
    <row r="63" spans="2:53">
      <c r="B63" s="616"/>
      <c r="C63" s="154"/>
    </row>
    <row r="64" spans="2:53" ht="13">
      <c r="B64" s="616"/>
      <c r="C64" s="177">
        <v>300</v>
      </c>
      <c r="V64" s="181" t="e">
        <f>ROUNDUP(V54,0)</f>
        <v>#REF!</v>
      </c>
      <c r="W64" s="146"/>
      <c r="X64" s="146"/>
      <c r="Y64" s="181" t="e">
        <f>ROUNDUP(Y58,0)</f>
        <v>#REF!</v>
      </c>
      <c r="Z64" s="146"/>
      <c r="AA64" s="181" t="e">
        <f>ROUNDUP(AA58,0)</f>
        <v>#REF!</v>
      </c>
      <c r="AB64" s="146"/>
      <c r="AC64" s="181">
        <f>ROUNDUP(AC58,0)</f>
        <v>0</v>
      </c>
      <c r="AD64" s="181">
        <f>ROUNDUP(AD58,0)</f>
        <v>0</v>
      </c>
      <c r="AE64" s="146"/>
      <c r="AF64" s="146"/>
      <c r="AG64" s="181" t="e">
        <f>ROUNDUP(AG58,0)</f>
        <v>#REF!</v>
      </c>
      <c r="AH64" s="146"/>
      <c r="AO64" s="181">
        <v>0</v>
      </c>
      <c r="AP64" s="181" t="e">
        <f>ROUNDUP(AP58,0)</f>
        <v>#REF!</v>
      </c>
      <c r="AQ64" s="181" t="e">
        <f>ROUNDUP(AQ58,0)</f>
        <v>#REF!</v>
      </c>
      <c r="AS64" s="181">
        <v>1</v>
      </c>
      <c r="AT64" s="181" t="e">
        <f>ROUNDUP(AT58,0)</f>
        <v>#REF!</v>
      </c>
      <c r="AU64" s="181">
        <f>ROUNDUP(AU58,0)</f>
        <v>1</v>
      </c>
      <c r="AV64" s="181">
        <v>1</v>
      </c>
      <c r="AW64" s="181">
        <v>1</v>
      </c>
      <c r="AX64" s="181">
        <v>1</v>
      </c>
      <c r="AY64" s="182">
        <v>0</v>
      </c>
      <c r="AZ64" s="181">
        <v>1</v>
      </c>
      <c r="BA64" s="181">
        <v>1</v>
      </c>
    </row>
    <row r="67" spans="2:53">
      <c r="B67" s="11" t="s">
        <v>94</v>
      </c>
      <c r="E67" s="178">
        <v>1</v>
      </c>
      <c r="F67" s="178">
        <v>3</v>
      </c>
      <c r="G67" s="151">
        <v>3</v>
      </c>
      <c r="H67" s="178">
        <v>14</v>
      </c>
      <c r="I67" s="178">
        <v>8</v>
      </c>
      <c r="J67" s="178">
        <v>4</v>
      </c>
      <c r="K67" s="178">
        <v>4</v>
      </c>
      <c r="L67" s="178">
        <v>4</v>
      </c>
      <c r="M67" s="178">
        <v>4</v>
      </c>
      <c r="N67" s="178">
        <v>4</v>
      </c>
      <c r="O67" s="178">
        <v>4</v>
      </c>
      <c r="P67" s="178">
        <v>4</v>
      </c>
      <c r="Q67" s="178">
        <v>4</v>
      </c>
      <c r="R67" s="178">
        <v>4</v>
      </c>
      <c r="S67" s="178">
        <v>4</v>
      </c>
      <c r="T67" s="178">
        <v>4</v>
      </c>
      <c r="U67" s="178">
        <v>4</v>
      </c>
      <c r="V67" s="178"/>
      <c r="W67" s="178"/>
      <c r="X67" s="178"/>
      <c r="Y67" s="178"/>
      <c r="Z67" s="178"/>
      <c r="AA67" s="178"/>
      <c r="AB67" s="178"/>
      <c r="AC67" s="178"/>
      <c r="AD67" s="178"/>
      <c r="AE67" s="178"/>
      <c r="AF67" s="178"/>
      <c r="AG67" s="178"/>
      <c r="AH67" s="178"/>
      <c r="AI67" s="178"/>
      <c r="AJ67" s="178"/>
      <c r="AK67" s="178"/>
      <c r="AL67" s="178"/>
      <c r="AM67" s="178"/>
      <c r="AN67" s="178"/>
      <c r="AO67" s="178">
        <v>2</v>
      </c>
      <c r="AP67" s="178">
        <v>2</v>
      </c>
      <c r="AQ67" s="178"/>
      <c r="AR67" s="180">
        <v>2</v>
      </c>
      <c r="AS67" s="178">
        <v>2</v>
      </c>
      <c r="AT67" s="178">
        <v>1</v>
      </c>
      <c r="AU67" s="178">
        <v>2</v>
      </c>
      <c r="AV67" s="178">
        <v>2</v>
      </c>
      <c r="AW67" s="178">
        <v>2</v>
      </c>
      <c r="AX67" s="178">
        <v>2</v>
      </c>
      <c r="AY67" s="178">
        <v>1</v>
      </c>
      <c r="AZ67" s="178">
        <v>1</v>
      </c>
      <c r="BA67" s="178">
        <v>1</v>
      </c>
    </row>
    <row r="69" spans="2:53">
      <c r="E69" s="183">
        <v>1</v>
      </c>
      <c r="F69" s="184">
        <v>2</v>
      </c>
      <c r="G69" s="184">
        <v>12</v>
      </c>
      <c r="H69" s="184">
        <v>2</v>
      </c>
      <c r="I69" s="184">
        <v>8</v>
      </c>
      <c r="J69" s="184">
        <v>4</v>
      </c>
      <c r="K69" s="184">
        <v>4</v>
      </c>
      <c r="L69" s="184">
        <v>4</v>
      </c>
      <c r="M69" s="184">
        <v>4</v>
      </c>
      <c r="N69" s="184">
        <v>4</v>
      </c>
      <c r="O69" s="184">
        <v>4</v>
      </c>
      <c r="P69" s="184">
        <v>4</v>
      </c>
      <c r="Q69" s="184">
        <v>4</v>
      </c>
      <c r="R69" s="184">
        <v>4</v>
      </c>
      <c r="S69" s="185">
        <v>4</v>
      </c>
      <c r="T69" s="185">
        <v>4</v>
      </c>
      <c r="U69" s="185">
        <v>4</v>
      </c>
      <c r="V69" s="146"/>
      <c r="W69" s="146"/>
      <c r="X69" s="146"/>
      <c r="Y69" s="146"/>
      <c r="Z69" s="146"/>
      <c r="AA69" s="146"/>
      <c r="AB69" s="146"/>
      <c r="AC69" s="146"/>
      <c r="AD69" s="146"/>
      <c r="AE69" s="146"/>
      <c r="AF69" s="146"/>
      <c r="AG69" s="146"/>
      <c r="AH69" s="146"/>
      <c r="AI69" s="146"/>
      <c r="AJ69" s="146"/>
      <c r="AK69" s="146"/>
      <c r="AL69" s="146"/>
      <c r="AM69" s="146"/>
      <c r="AN69" s="146"/>
      <c r="AO69" s="185">
        <v>2</v>
      </c>
      <c r="AP69" s="185">
        <v>2</v>
      </c>
      <c r="AQ69" s="146"/>
      <c r="AR69" s="185">
        <v>2</v>
      </c>
      <c r="AS69" s="146"/>
      <c r="AT69" s="146"/>
      <c r="AU69" s="146"/>
      <c r="AV69" s="146"/>
      <c r="AW69" s="146"/>
      <c r="AX69" s="146"/>
      <c r="AY69" s="146"/>
      <c r="AZ69" s="146"/>
      <c r="BA69" s="146"/>
    </row>
    <row r="71" spans="2:53" ht="35.25" customHeight="1">
      <c r="B71" s="142" t="s">
        <v>94</v>
      </c>
      <c r="C71" s="186"/>
      <c r="D71" s="186"/>
      <c r="E71" s="186"/>
      <c r="F71" s="186"/>
      <c r="G71" s="187"/>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c r="AG71" s="186"/>
      <c r="AH71" s="186"/>
      <c r="AI71" s="186"/>
      <c r="AJ71" s="186"/>
      <c r="AK71" s="186"/>
      <c r="AL71" s="186"/>
      <c r="AM71" s="186"/>
      <c r="AN71" s="186"/>
      <c r="AO71" s="186"/>
      <c r="AP71" s="186"/>
      <c r="AQ71" s="186"/>
      <c r="AR71" s="186"/>
      <c r="AS71" s="186"/>
      <c r="AT71" s="186"/>
      <c r="AU71" s="186"/>
      <c r="AV71" s="186"/>
      <c r="AW71" s="186"/>
      <c r="AX71" s="186"/>
      <c r="AY71" s="186"/>
      <c r="AZ71" s="186"/>
      <c r="BA71" s="186"/>
    </row>
    <row r="72" spans="2:53" ht="23.25" customHeight="1">
      <c r="B72" s="617" t="s">
        <v>95</v>
      </c>
      <c r="C72" s="188" t="s">
        <v>78</v>
      </c>
      <c r="D72" s="146"/>
      <c r="E72" s="178"/>
      <c r="F72" s="178"/>
      <c r="G72" s="151"/>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row>
    <row r="73" spans="2:53" ht="33.75" customHeight="1">
      <c r="B73" s="617"/>
      <c r="C73" s="177">
        <v>600</v>
      </c>
      <c r="D73" s="146"/>
      <c r="E73" s="178"/>
      <c r="F73" s="178"/>
      <c r="G73" s="151"/>
      <c r="H73" s="178"/>
      <c r="I73" s="178"/>
      <c r="J73" s="178"/>
      <c r="K73" s="178"/>
      <c r="L73" s="178"/>
      <c r="M73" s="178"/>
      <c r="N73" s="178"/>
      <c r="O73" s="178"/>
      <c r="P73" s="178"/>
      <c r="Q73" s="178"/>
      <c r="R73" s="178"/>
      <c r="S73" s="178"/>
      <c r="T73" s="178"/>
      <c r="U73" s="178"/>
      <c r="V73" s="178"/>
      <c r="W73" s="178"/>
      <c r="X73" s="178"/>
      <c r="Y73" s="178"/>
      <c r="Z73" s="178"/>
      <c r="AA73" s="178"/>
      <c r="AB73" s="178"/>
      <c r="AC73" s="178"/>
      <c r="AD73" s="178"/>
      <c r="AE73" s="178"/>
      <c r="AF73" s="178"/>
      <c r="AG73" s="178"/>
      <c r="AH73" s="178"/>
      <c r="AI73" s="178"/>
      <c r="AJ73" s="178"/>
      <c r="AK73" s="178"/>
      <c r="AL73" s="178"/>
      <c r="AM73" s="178"/>
      <c r="AN73" s="178"/>
      <c r="AO73" s="178"/>
      <c r="AP73" s="178"/>
      <c r="AQ73" s="178"/>
      <c r="AR73" s="178"/>
      <c r="AS73" s="178"/>
      <c r="AT73" s="178"/>
      <c r="AU73" s="178"/>
      <c r="AV73" s="178"/>
      <c r="AW73" s="178"/>
      <c r="AX73" s="178"/>
      <c r="AY73" s="178"/>
      <c r="AZ73" s="178"/>
      <c r="BA73" s="178"/>
    </row>
    <row r="74" spans="2:53" ht="33.75" customHeight="1">
      <c r="B74" s="617"/>
      <c r="C74" s="177">
        <v>450</v>
      </c>
      <c r="D74" s="146"/>
      <c r="E74" s="146"/>
      <c r="F74" s="146"/>
      <c r="G74" s="147"/>
      <c r="H74" s="146"/>
      <c r="I74" s="146"/>
      <c r="J74" s="146"/>
      <c r="K74" s="146"/>
      <c r="L74" s="146"/>
      <c r="M74" s="146"/>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row>
    <row r="75" spans="2:53" ht="33.75" customHeight="1">
      <c r="B75" s="617"/>
      <c r="C75" s="177">
        <v>300</v>
      </c>
      <c r="D75" s="146"/>
      <c r="E75" s="146"/>
      <c r="F75" s="146"/>
      <c r="G75" s="147"/>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row>
    <row r="76" spans="2:53">
      <c r="B76" s="146"/>
      <c r="C76" s="146"/>
      <c r="D76" s="146"/>
      <c r="E76" s="146"/>
      <c r="F76" s="146"/>
      <c r="G76" s="147"/>
      <c r="H76" s="146"/>
      <c r="I76" s="146"/>
      <c r="J76" s="146"/>
      <c r="K76" s="146"/>
      <c r="L76" s="146"/>
      <c r="M76" s="146"/>
      <c r="N76" s="146"/>
      <c r="O76" s="146"/>
      <c r="P76" s="146"/>
      <c r="Q76" s="146"/>
      <c r="R76" s="146"/>
      <c r="S76" s="146"/>
      <c r="T76" s="146"/>
      <c r="U76" s="146"/>
      <c r="V76" s="146"/>
      <c r="W76" s="146"/>
      <c r="X76" s="146"/>
      <c r="Y76" s="146"/>
      <c r="Z76" s="146"/>
      <c r="AA76" s="146"/>
      <c r="AB76" s="146"/>
      <c r="AC76" s="146"/>
      <c r="AD76" s="146"/>
      <c r="AE76" s="146"/>
      <c r="AF76" s="146"/>
      <c r="AG76" s="146"/>
      <c r="AH76" s="146"/>
      <c r="AI76" s="146"/>
      <c r="AJ76" s="146"/>
      <c r="AK76" s="146"/>
      <c r="AL76" s="146"/>
      <c r="AM76" s="146"/>
      <c r="AN76" s="146"/>
      <c r="AO76" s="146"/>
      <c r="AP76" s="146"/>
      <c r="AQ76" s="146"/>
      <c r="AR76" s="146"/>
      <c r="AS76" s="146"/>
      <c r="AT76" s="146"/>
      <c r="AU76" s="146"/>
      <c r="AV76" s="146"/>
      <c r="AW76" s="146"/>
      <c r="AX76" s="146"/>
      <c r="AY76" s="146"/>
      <c r="AZ76" s="146"/>
      <c r="BA76" s="146"/>
    </row>
    <row r="77" spans="2:53">
      <c r="B77" s="146"/>
      <c r="C77" s="146"/>
      <c r="D77" s="146"/>
      <c r="E77" s="146"/>
      <c r="F77" s="146"/>
      <c r="G77" s="147"/>
      <c r="H77" s="146"/>
      <c r="I77" s="146"/>
      <c r="J77" s="146"/>
      <c r="K77" s="146"/>
      <c r="L77" s="146"/>
      <c r="M77" s="146"/>
      <c r="N77" s="146"/>
      <c r="O77" s="146"/>
      <c r="P77" s="146"/>
      <c r="Q77" s="146"/>
      <c r="R77" s="146"/>
      <c r="S77" s="146"/>
      <c r="T77" s="146"/>
      <c r="U77" s="146"/>
      <c r="V77" s="146"/>
      <c r="W77" s="146"/>
      <c r="X77" s="146"/>
      <c r="Y77" s="146"/>
      <c r="Z77" s="146"/>
      <c r="AA77" s="146"/>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row>
    <row r="78" spans="2:53" ht="20.25" customHeight="1">
      <c r="B78" s="617" t="s">
        <v>96</v>
      </c>
      <c r="C78" s="188" t="s">
        <v>78</v>
      </c>
      <c r="D78" s="146"/>
      <c r="E78" s="178"/>
      <c r="F78" s="178"/>
      <c r="G78" s="151"/>
      <c r="H78" s="178"/>
      <c r="I78" s="178"/>
      <c r="J78" s="178"/>
      <c r="K78" s="178"/>
      <c r="L78" s="178"/>
      <c r="M78" s="178"/>
      <c r="N78" s="178"/>
      <c r="O78" s="178"/>
      <c r="P78" s="178"/>
      <c r="Q78" s="178"/>
      <c r="R78" s="178"/>
      <c r="S78" s="178"/>
      <c r="T78" s="178"/>
      <c r="U78" s="178"/>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row>
    <row r="79" spans="2:53" ht="27.75" customHeight="1">
      <c r="B79" s="617"/>
      <c r="C79" s="177">
        <v>600</v>
      </c>
      <c r="D79" s="146"/>
      <c r="E79" s="178"/>
      <c r="F79" s="178"/>
      <c r="G79" s="151"/>
      <c r="H79" s="178"/>
      <c r="I79" s="178"/>
      <c r="J79" s="178"/>
      <c r="K79" s="178"/>
      <c r="L79" s="178"/>
      <c r="M79" s="178"/>
      <c r="N79" s="178"/>
      <c r="O79" s="178"/>
      <c r="P79" s="178"/>
      <c r="Q79" s="178"/>
      <c r="R79" s="178"/>
      <c r="S79" s="178"/>
      <c r="T79" s="178"/>
      <c r="U79" s="178"/>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row>
    <row r="80" spans="2:53" ht="27.75" customHeight="1">
      <c r="B80" s="617"/>
      <c r="C80" s="177">
        <v>450</v>
      </c>
      <c r="D80" s="146"/>
      <c r="E80" s="146"/>
      <c r="F80" s="146"/>
      <c r="G80" s="147"/>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row>
    <row r="81" spans="2:53" ht="27.75" customHeight="1">
      <c r="B81" s="617"/>
      <c r="C81" s="177">
        <v>300</v>
      </c>
      <c r="D81" s="146"/>
      <c r="E81" s="146"/>
      <c r="F81" s="146"/>
      <c r="G81" s="147"/>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row>
    <row r="83" spans="2:53" ht="33.75" customHeight="1">
      <c r="B83" s="617" t="s">
        <v>97</v>
      </c>
      <c r="C83" s="188" t="s">
        <v>78</v>
      </c>
      <c r="D83" s="146"/>
      <c r="E83" s="178"/>
      <c r="F83" s="178"/>
      <c r="G83" s="151"/>
      <c r="H83" s="178"/>
      <c r="I83" s="178"/>
      <c r="J83" s="178"/>
      <c r="K83" s="178"/>
      <c r="L83" s="178"/>
      <c r="M83" s="178"/>
      <c r="N83" s="178"/>
      <c r="O83" s="178"/>
      <c r="P83" s="178"/>
      <c r="Q83" s="178"/>
      <c r="R83" s="178"/>
      <c r="S83" s="178"/>
      <c r="T83" s="178"/>
      <c r="U83" s="178"/>
      <c r="V83" s="178"/>
      <c r="W83" s="178"/>
      <c r="X83" s="178"/>
      <c r="Y83" s="178"/>
      <c r="Z83" s="178"/>
      <c r="AA83" s="178"/>
      <c r="AB83" s="178"/>
      <c r="AC83" s="178"/>
      <c r="AD83" s="178"/>
      <c r="AE83" s="178"/>
      <c r="AF83" s="178"/>
      <c r="AG83" s="178"/>
      <c r="AH83" s="178"/>
      <c r="AI83" s="178"/>
      <c r="AJ83" s="178"/>
      <c r="AK83" s="178"/>
      <c r="AL83" s="178"/>
      <c r="AM83" s="178"/>
      <c r="AN83" s="178"/>
      <c r="AO83" s="178"/>
      <c r="AP83" s="178"/>
      <c r="AQ83" s="178"/>
      <c r="AR83" s="178"/>
      <c r="AS83" s="178"/>
      <c r="AT83" s="178"/>
      <c r="AU83" s="178"/>
      <c r="AV83" s="178"/>
      <c r="AW83" s="178"/>
      <c r="AX83" s="178"/>
      <c r="AY83" s="178"/>
      <c r="AZ83" s="178"/>
      <c r="BA83" s="178"/>
    </row>
    <row r="84" spans="2:53" ht="29.25" customHeight="1">
      <c r="B84" s="617"/>
      <c r="C84" s="177">
        <v>600</v>
      </c>
      <c r="D84" s="146"/>
      <c r="E84" s="178"/>
      <c r="F84" s="178"/>
      <c r="G84" s="151"/>
      <c r="H84" s="178"/>
      <c r="I84" s="178"/>
      <c r="J84" s="178"/>
      <c r="K84" s="178"/>
      <c r="L84" s="178"/>
      <c r="M84" s="178"/>
      <c r="N84" s="178"/>
      <c r="O84" s="178"/>
      <c r="P84" s="178"/>
      <c r="Q84" s="178"/>
      <c r="R84" s="178"/>
      <c r="S84" s="178"/>
      <c r="T84" s="178"/>
      <c r="U84" s="178"/>
      <c r="V84" s="178"/>
      <c r="W84" s="178"/>
      <c r="X84" s="178"/>
      <c r="Y84" s="178"/>
      <c r="Z84" s="178"/>
      <c r="AA84" s="178"/>
      <c r="AB84" s="178"/>
      <c r="AC84" s="178"/>
      <c r="AD84" s="178"/>
      <c r="AE84" s="178"/>
      <c r="AF84" s="178"/>
      <c r="AG84" s="178"/>
      <c r="AH84" s="178"/>
      <c r="AI84" s="178"/>
      <c r="AJ84" s="178"/>
      <c r="AK84" s="178"/>
      <c r="AL84" s="178"/>
      <c r="AM84" s="178"/>
      <c r="AN84" s="178"/>
      <c r="AO84" s="178"/>
      <c r="AP84" s="178"/>
      <c r="AQ84" s="178"/>
      <c r="AR84" s="178"/>
      <c r="AS84" s="178"/>
      <c r="AT84" s="178"/>
      <c r="AU84" s="178"/>
      <c r="AV84" s="178"/>
      <c r="AW84" s="178"/>
      <c r="AX84" s="178"/>
      <c r="AY84" s="178"/>
      <c r="AZ84" s="178"/>
      <c r="BA84" s="178"/>
    </row>
    <row r="85" spans="2:53" ht="29.25" customHeight="1">
      <c r="B85" s="617"/>
      <c r="C85" s="177">
        <v>450</v>
      </c>
      <c r="D85" s="146"/>
      <c r="E85" s="146"/>
      <c r="F85" s="146"/>
      <c r="G85" s="147"/>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row>
    <row r="86" spans="2:53" ht="29.25" customHeight="1">
      <c r="B86" s="617"/>
      <c r="C86" s="177">
        <v>300</v>
      </c>
      <c r="D86" s="146"/>
      <c r="E86" s="146"/>
      <c r="F86" s="146"/>
      <c r="G86" s="147"/>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row>
    <row r="88" spans="2:53" ht="23.25" customHeight="1">
      <c r="B88" s="617" t="s">
        <v>98</v>
      </c>
      <c r="C88" s="188" t="s">
        <v>78</v>
      </c>
      <c r="D88" s="146"/>
      <c r="E88" s="178"/>
      <c r="F88" s="178"/>
      <c r="G88" s="151"/>
      <c r="H88" s="178"/>
      <c r="I88" s="178"/>
      <c r="J88" s="178"/>
      <c r="K88" s="178"/>
      <c r="L88" s="178"/>
      <c r="M88" s="178"/>
      <c r="N88" s="178"/>
      <c r="O88" s="178"/>
      <c r="P88" s="178"/>
      <c r="Q88" s="178"/>
      <c r="R88" s="178"/>
      <c r="S88" s="178"/>
      <c r="T88" s="178"/>
      <c r="U88" s="178"/>
      <c r="V88" s="178"/>
      <c r="W88" s="178"/>
      <c r="X88" s="178"/>
      <c r="Y88" s="178"/>
      <c r="Z88" s="178"/>
      <c r="AA88" s="178"/>
      <c r="AB88" s="178"/>
      <c r="AC88" s="178"/>
      <c r="AD88" s="178"/>
      <c r="AE88" s="178"/>
      <c r="AF88" s="178"/>
      <c r="AG88" s="178"/>
      <c r="AH88" s="178"/>
      <c r="AI88" s="178"/>
      <c r="AJ88" s="178"/>
      <c r="AK88" s="178"/>
      <c r="AL88" s="178"/>
      <c r="AM88" s="178"/>
      <c r="AN88" s="178"/>
      <c r="AO88" s="178"/>
      <c r="AP88" s="178"/>
      <c r="AQ88" s="178"/>
      <c r="AR88" s="178"/>
      <c r="AS88" s="178"/>
      <c r="AT88" s="178"/>
      <c r="AU88" s="178"/>
      <c r="AV88" s="178"/>
      <c r="AW88" s="178"/>
      <c r="AX88" s="178"/>
      <c r="AY88" s="178"/>
      <c r="AZ88" s="178"/>
      <c r="BA88" s="178"/>
    </row>
    <row r="89" spans="2:53" ht="29.25" customHeight="1">
      <c r="B89" s="617"/>
      <c r="C89" s="177">
        <v>600</v>
      </c>
      <c r="D89" s="146"/>
      <c r="E89" s="178"/>
      <c r="F89" s="178"/>
      <c r="G89" s="151"/>
      <c r="H89" s="178"/>
      <c r="I89" s="178"/>
      <c r="J89" s="178"/>
      <c r="K89" s="178"/>
      <c r="L89" s="178"/>
      <c r="M89" s="178"/>
      <c r="N89" s="178"/>
      <c r="O89" s="178"/>
      <c r="P89" s="178"/>
      <c r="Q89" s="178"/>
      <c r="R89" s="178"/>
      <c r="S89" s="178"/>
      <c r="T89" s="178"/>
      <c r="U89" s="178"/>
      <c r="V89" s="178"/>
      <c r="W89" s="178"/>
      <c r="X89" s="178"/>
      <c r="Y89" s="178"/>
      <c r="Z89" s="178"/>
      <c r="AA89" s="178"/>
      <c r="AB89" s="178"/>
      <c r="AC89" s="178"/>
      <c r="AD89" s="178"/>
      <c r="AE89" s="178"/>
      <c r="AF89" s="178"/>
      <c r="AG89" s="178"/>
      <c r="AH89" s="178"/>
      <c r="AI89" s="178"/>
      <c r="AJ89" s="178"/>
      <c r="AK89" s="178"/>
      <c r="AL89" s="178"/>
      <c r="AM89" s="178"/>
      <c r="AN89" s="178"/>
      <c r="AO89" s="178"/>
      <c r="AP89" s="178"/>
      <c r="AQ89" s="178"/>
      <c r="AR89" s="178"/>
      <c r="AS89" s="178"/>
      <c r="AT89" s="178"/>
      <c r="AU89" s="178"/>
      <c r="AV89" s="178"/>
      <c r="AW89" s="178"/>
      <c r="AX89" s="178"/>
      <c r="AY89" s="178"/>
      <c r="AZ89" s="178"/>
      <c r="BA89" s="178"/>
    </row>
    <row r="90" spans="2:53" ht="29.25" customHeight="1">
      <c r="B90" s="617"/>
      <c r="C90" s="177">
        <v>450</v>
      </c>
      <c r="D90" s="146"/>
      <c r="E90" s="146"/>
      <c r="F90" s="146"/>
      <c r="G90" s="147"/>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6"/>
      <c r="AI90" s="146"/>
      <c r="AJ90" s="146"/>
      <c r="AK90" s="146"/>
      <c r="AL90" s="146"/>
      <c r="AM90" s="146"/>
      <c r="AN90" s="146"/>
      <c r="AO90" s="146"/>
      <c r="AP90" s="146"/>
      <c r="AQ90" s="146"/>
      <c r="AR90" s="146"/>
      <c r="AS90" s="146"/>
      <c r="AT90" s="146"/>
      <c r="AU90" s="146"/>
      <c r="AV90" s="146"/>
      <c r="AW90" s="146"/>
      <c r="AX90" s="146"/>
      <c r="AY90" s="146"/>
      <c r="AZ90" s="146"/>
      <c r="BA90" s="146"/>
    </row>
    <row r="91" spans="2:53" ht="29.25" customHeight="1">
      <c r="B91" s="617"/>
      <c r="C91" s="177">
        <v>300</v>
      </c>
      <c r="D91" s="146"/>
      <c r="E91" s="146"/>
      <c r="F91" s="146"/>
      <c r="G91" s="147"/>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146"/>
      <c r="AH91" s="146"/>
      <c r="AI91" s="146"/>
      <c r="AJ91" s="146"/>
      <c r="AK91" s="146"/>
      <c r="AL91" s="146"/>
      <c r="AM91" s="146"/>
      <c r="AN91" s="146"/>
      <c r="AO91" s="146"/>
      <c r="AP91" s="146"/>
      <c r="AQ91" s="146"/>
      <c r="AR91" s="146"/>
      <c r="AS91" s="146"/>
      <c r="AT91" s="146"/>
      <c r="AU91" s="146"/>
      <c r="AV91" s="146"/>
      <c r="AW91" s="146"/>
      <c r="AX91" s="146"/>
      <c r="AY91" s="146"/>
      <c r="AZ91" s="146"/>
      <c r="BA91" s="146"/>
    </row>
    <row r="95" spans="2:53">
      <c r="D95" s="11"/>
      <c r="E95" s="63">
        <f>10+59+17.5+40+7</f>
        <v>133.5</v>
      </c>
    </row>
    <row r="96" spans="2:53">
      <c r="D96" s="11"/>
      <c r="E96" s="63">
        <f>10+59+17.5+40+10</f>
        <v>136.5</v>
      </c>
    </row>
    <row r="97" spans="4:5">
      <c r="D97" s="11"/>
      <c r="E97" s="63">
        <f>10+59+17.5+56+12+18</f>
        <v>172.5</v>
      </c>
    </row>
    <row r="98" spans="4:5">
      <c r="D98" s="11"/>
      <c r="E98" s="63">
        <f>10+59+17.5+56+47</f>
        <v>189.5</v>
      </c>
    </row>
    <row r="99" spans="4:5">
      <c r="D99" s="11"/>
      <c r="E99" s="63">
        <f>10+59+17.5+56+72</f>
        <v>214.5</v>
      </c>
    </row>
    <row r="100" spans="4:5">
      <c r="D100" s="11"/>
      <c r="E100" s="63">
        <f>10+59+17.5+56+55+7</f>
        <v>204.5</v>
      </c>
    </row>
    <row r="126" spans="2:3">
      <c r="B126" s="11" t="s">
        <v>99</v>
      </c>
      <c r="C126" s="11"/>
    </row>
    <row r="127" spans="2:3">
      <c r="B127" s="11" t="s">
        <v>100</v>
      </c>
      <c r="C127" s="11"/>
    </row>
    <row r="128" spans="2:3">
      <c r="B128" s="11" t="s">
        <v>101</v>
      </c>
      <c r="C128" s="11"/>
    </row>
    <row r="129" spans="2:3">
      <c r="B129" s="11" t="s">
        <v>102</v>
      </c>
      <c r="C129" s="11"/>
    </row>
    <row r="130" spans="2:3">
      <c r="B130" s="11" t="s">
        <v>103</v>
      </c>
      <c r="C130" s="11"/>
    </row>
    <row r="131" spans="2:3">
      <c r="B131" s="11" t="s">
        <v>104</v>
      </c>
      <c r="C131" s="11"/>
    </row>
  </sheetData>
  <mergeCells count="10">
    <mergeCell ref="C52:C54"/>
    <mergeCell ref="C27:C29"/>
    <mergeCell ref="B27:B33"/>
    <mergeCell ref="B52:B58"/>
    <mergeCell ref="C11:C12"/>
    <mergeCell ref="B60:B64"/>
    <mergeCell ref="B72:B75"/>
    <mergeCell ref="B78:B81"/>
    <mergeCell ref="B83:B86"/>
    <mergeCell ref="B88:B91"/>
  </mergeCells>
  <pageMargins left="0.7" right="0.7" top="0.75" bottom="0.75" header="0.3" footer="0.3"/>
  <pageSetup paperSize="9" scale="2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P112"/>
  <sheetViews>
    <sheetView view="pageBreakPreview" zoomScale="68" zoomScaleNormal="25" zoomScaleSheetLayoutView="68" workbookViewId="0">
      <selection activeCell="H16" sqref="H16"/>
    </sheetView>
  </sheetViews>
  <sheetFormatPr defaultColWidth="9.1796875" defaultRowHeight="14.5"/>
  <cols>
    <col min="1" max="1" width="9.1796875" style="3"/>
    <col min="2" max="2" width="13.7265625" style="2" customWidth="1"/>
    <col min="3" max="3" width="14.26953125" style="2" customWidth="1"/>
    <col min="4" max="4" width="12.453125" style="2" customWidth="1"/>
    <col min="5" max="5" width="11.26953125" style="2" customWidth="1"/>
    <col min="6" max="6" width="15" style="2" customWidth="1"/>
    <col min="7" max="7" width="15.7265625" style="2" customWidth="1"/>
    <col min="8" max="8" width="13" style="2" customWidth="1"/>
    <col min="9" max="9" width="12.26953125" style="2" customWidth="1"/>
    <col min="10" max="10" width="11.81640625" style="2" customWidth="1"/>
    <col min="11" max="11" width="12.7265625" style="3" customWidth="1"/>
    <col min="12" max="12" width="19.26953125" style="3" customWidth="1"/>
    <col min="13" max="13" width="13.54296875" style="3" customWidth="1"/>
    <col min="14" max="14" width="11.1796875" style="3" customWidth="1"/>
    <col min="15" max="16" width="10.54296875" style="2" customWidth="1"/>
    <col min="17" max="18" width="10.26953125" style="2" customWidth="1"/>
    <col min="19" max="19" width="10.26953125" style="3" customWidth="1"/>
    <col min="20" max="20" width="4" style="3" customWidth="1"/>
    <col min="21" max="22" width="21.7265625" style="3" hidden="1" customWidth="1"/>
    <col min="23" max="23" width="4.54296875" style="3" hidden="1" customWidth="1"/>
    <col min="24" max="24" width="21.7265625" style="3" hidden="1" customWidth="1"/>
    <col min="25" max="25" width="16" style="3" hidden="1" customWidth="1"/>
    <col min="26" max="28" width="16" style="3" customWidth="1"/>
    <col min="29" max="29" width="13.26953125" style="3" customWidth="1"/>
    <col min="30" max="31" width="16.7265625" style="3" customWidth="1"/>
    <col min="32" max="32" width="5.26953125" style="3" customWidth="1"/>
    <col min="33" max="35" width="4.81640625" style="3" customWidth="1"/>
    <col min="36" max="36" width="15.7265625" style="3" customWidth="1"/>
    <col min="37" max="37" width="9.1796875" style="3" customWidth="1"/>
    <col min="38" max="38" width="16.26953125" style="3" customWidth="1"/>
    <col min="39" max="39" width="9.1796875" style="3" customWidth="1"/>
    <col min="40" max="40" width="35.81640625" style="3" customWidth="1"/>
    <col min="41" max="41" width="14.81640625" style="3" customWidth="1"/>
    <col min="42" max="42" width="24.26953125" style="3" bestFit="1" customWidth="1"/>
    <col min="43" max="43" width="9.453125" style="3" bestFit="1" customWidth="1"/>
    <col min="44" max="44" width="9.1796875" style="3" customWidth="1"/>
    <col min="45" max="16384" width="9.1796875" style="3"/>
  </cols>
  <sheetData>
    <row r="1" spans="1:42" s="5" customFormat="1">
      <c r="B1" s="4"/>
      <c r="C1" s="4"/>
      <c r="D1" s="4"/>
      <c r="E1" s="4"/>
      <c r="F1" s="4"/>
      <c r="G1" s="4"/>
      <c r="H1" s="4"/>
      <c r="I1" s="4"/>
      <c r="J1" s="4"/>
      <c r="O1" s="4"/>
      <c r="P1" s="4"/>
      <c r="Q1" s="4"/>
      <c r="R1" s="4"/>
    </row>
    <row r="2" spans="1:42" s="5" customFormat="1" ht="15" thickBot="1">
      <c r="B2" s="4"/>
      <c r="C2" s="4"/>
      <c r="D2" s="4"/>
      <c r="E2" s="4"/>
      <c r="F2" s="4"/>
      <c r="G2" s="4"/>
      <c r="H2" s="4"/>
      <c r="I2" s="4"/>
      <c r="J2" s="4"/>
      <c r="O2" s="4"/>
      <c r="P2" s="4"/>
      <c r="Q2" s="4"/>
      <c r="R2" s="4"/>
    </row>
    <row r="3" spans="1:42" ht="30.75" customHeight="1">
      <c r="A3" s="13"/>
      <c r="B3" s="654" t="s">
        <v>105</v>
      </c>
      <c r="C3" s="655"/>
      <c r="D3" s="655"/>
      <c r="E3" s="655"/>
      <c r="F3" s="656"/>
      <c r="G3" s="14"/>
      <c r="H3" s="15"/>
      <c r="I3" s="14"/>
      <c r="J3" s="92" t="s">
        <v>106</v>
      </c>
      <c r="K3" s="92"/>
      <c r="L3" s="93"/>
      <c r="M3" s="93"/>
      <c r="N3" s="93"/>
      <c r="O3" s="93"/>
      <c r="P3" s="93"/>
      <c r="Q3" s="93"/>
      <c r="R3" s="93"/>
      <c r="S3" s="89"/>
    </row>
    <row r="4" spans="1:42" ht="20.149999999999999" customHeight="1">
      <c r="A4" s="16"/>
      <c r="B4" s="658"/>
      <c r="C4" s="658"/>
      <c r="D4" s="658"/>
      <c r="E4" s="4"/>
      <c r="F4" s="4"/>
      <c r="G4" s="4"/>
      <c r="H4" s="17"/>
      <c r="I4" s="4"/>
      <c r="J4" s="5"/>
      <c r="K4" s="5"/>
      <c r="L4" s="5"/>
      <c r="M4" s="5"/>
      <c r="N4" s="5"/>
      <c r="O4" s="5"/>
      <c r="P4" s="5"/>
      <c r="Q4" s="5"/>
      <c r="R4" s="5"/>
      <c r="S4" s="90"/>
    </row>
    <row r="5" spans="1:42" ht="19.5" customHeight="1">
      <c r="A5" s="16"/>
      <c r="B5" s="41" t="s">
        <v>107</v>
      </c>
      <c r="C5" s="42"/>
      <c r="D5" s="42"/>
      <c r="E5" s="42"/>
      <c r="F5" s="42"/>
      <c r="G5" s="42" t="s">
        <v>966</v>
      </c>
      <c r="H5" s="18"/>
      <c r="I5" s="6"/>
      <c r="J5" s="5"/>
      <c r="K5" s="5"/>
      <c r="L5" s="5"/>
      <c r="M5" s="5"/>
      <c r="N5" s="5"/>
      <c r="O5" s="5"/>
      <c r="P5" s="5"/>
      <c r="Q5" s="5"/>
      <c r="R5" s="5"/>
      <c r="S5" s="90"/>
      <c r="AG5" s="55"/>
      <c r="AN5" s="660"/>
    </row>
    <row r="6" spans="1:42" ht="20.149999999999999" customHeight="1">
      <c r="A6" s="16"/>
      <c r="B6" s="4"/>
      <c r="C6" s="6"/>
      <c r="D6" s="4"/>
      <c r="E6" s="4"/>
      <c r="F6" s="4"/>
      <c r="G6" s="4"/>
      <c r="H6" s="17"/>
      <c r="I6" s="4"/>
      <c r="J6" s="5"/>
      <c r="K6" s="5"/>
      <c r="L6" s="5"/>
      <c r="M6" s="5"/>
      <c r="N6" s="5"/>
      <c r="O6" s="5"/>
      <c r="P6" s="5"/>
      <c r="Q6" s="5"/>
      <c r="R6" s="5"/>
      <c r="S6" s="90"/>
      <c r="AG6" s="55"/>
      <c r="AN6" s="660"/>
    </row>
    <row r="7" spans="1:42" ht="55.5" customHeight="1">
      <c r="A7" s="16"/>
      <c r="B7" s="639" t="s">
        <v>109</v>
      </c>
      <c r="C7" s="639" t="s">
        <v>110</v>
      </c>
      <c r="D7" s="639"/>
      <c r="E7" s="639"/>
      <c r="F7" s="640" t="s">
        <v>111</v>
      </c>
      <c r="G7" s="639" t="s">
        <v>112</v>
      </c>
      <c r="H7" s="659" t="s">
        <v>113</v>
      </c>
      <c r="I7" s="646" t="s">
        <v>114</v>
      </c>
      <c r="J7" s="637" t="s">
        <v>115</v>
      </c>
      <c r="K7" s="639" t="s">
        <v>116</v>
      </c>
      <c r="L7" s="639" t="s">
        <v>117</v>
      </c>
      <c r="M7" s="639"/>
      <c r="N7" s="639" t="s">
        <v>118</v>
      </c>
      <c r="O7" s="639" t="s">
        <v>119</v>
      </c>
      <c r="P7" s="639"/>
      <c r="Q7" s="641" t="s">
        <v>120</v>
      </c>
      <c r="R7" s="642"/>
      <c r="S7" s="643"/>
      <c r="AG7" s="55"/>
    </row>
    <row r="8" spans="1:42" ht="75.75" customHeight="1">
      <c r="A8" s="16"/>
      <c r="B8" s="639"/>
      <c r="C8" s="128" t="s">
        <v>121</v>
      </c>
      <c r="D8" s="128" t="s">
        <v>122</v>
      </c>
      <c r="E8" s="128" t="s">
        <v>123</v>
      </c>
      <c r="F8" s="650"/>
      <c r="G8" s="639"/>
      <c r="H8" s="659"/>
      <c r="I8" s="636"/>
      <c r="J8" s="638"/>
      <c r="K8" s="640"/>
      <c r="L8" s="135" t="s">
        <v>124</v>
      </c>
      <c r="M8" s="135" t="s">
        <v>125</v>
      </c>
      <c r="N8" s="640"/>
      <c r="O8" s="135" t="s">
        <v>126</v>
      </c>
      <c r="P8" s="135" t="s">
        <v>127</v>
      </c>
      <c r="Q8" s="135" t="s">
        <v>128</v>
      </c>
      <c r="R8" s="135" t="s">
        <v>126</v>
      </c>
      <c r="S8" s="127" t="s">
        <v>127</v>
      </c>
      <c r="AG8" s="55"/>
    </row>
    <row r="9" spans="1:42">
      <c r="A9" s="16"/>
      <c r="B9" s="129" t="s">
        <v>129</v>
      </c>
      <c r="C9" s="129">
        <v>370</v>
      </c>
      <c r="D9" s="129">
        <v>290</v>
      </c>
      <c r="E9" s="129">
        <v>224</v>
      </c>
      <c r="F9" s="129">
        <v>0.21</v>
      </c>
      <c r="G9" s="129">
        <v>8.7499999999999994E-2</v>
      </c>
      <c r="H9" s="189">
        <v>26</v>
      </c>
      <c r="I9" s="661" t="s">
        <v>130</v>
      </c>
      <c r="J9" s="130" t="s">
        <v>131</v>
      </c>
      <c r="K9" s="190">
        <v>0.89</v>
      </c>
      <c r="L9" s="191">
        <v>0.81</v>
      </c>
      <c r="M9" s="131">
        <v>0.66</v>
      </c>
      <c r="N9" s="131" t="s">
        <v>132</v>
      </c>
      <c r="O9" s="131" t="s">
        <v>132</v>
      </c>
      <c r="P9" s="131" t="s">
        <v>132</v>
      </c>
      <c r="Q9" s="132"/>
      <c r="R9" s="132"/>
      <c r="S9" s="192"/>
      <c r="AJ9" s="660"/>
      <c r="AL9" s="660"/>
      <c r="AN9" s="660"/>
      <c r="AP9" s="660"/>
    </row>
    <row r="10" spans="1:42">
      <c r="A10" s="16"/>
      <c r="B10" s="129" t="s">
        <v>133</v>
      </c>
      <c r="C10" s="129">
        <v>445</v>
      </c>
      <c r="D10" s="129">
        <v>340</v>
      </c>
      <c r="E10" s="129">
        <v>283</v>
      </c>
      <c r="F10" s="129">
        <v>0.16</v>
      </c>
      <c r="G10" s="129">
        <v>8.6599999999999996E-2</v>
      </c>
      <c r="H10" s="189">
        <v>28</v>
      </c>
      <c r="I10" s="662"/>
      <c r="J10" s="193" t="s">
        <v>123</v>
      </c>
      <c r="K10" s="194" t="s">
        <v>132</v>
      </c>
      <c r="L10" s="195">
        <v>0.74</v>
      </c>
      <c r="M10" s="194">
        <v>0.71</v>
      </c>
      <c r="N10" s="194">
        <v>0.96</v>
      </c>
      <c r="O10" s="194">
        <v>0.98</v>
      </c>
      <c r="P10" s="194">
        <v>0.98</v>
      </c>
      <c r="Q10" s="133">
        <v>1.5</v>
      </c>
      <c r="R10" s="134">
        <v>1.0900000000000001</v>
      </c>
      <c r="S10" s="196">
        <v>1.05</v>
      </c>
      <c r="AJ10" s="660"/>
      <c r="AL10" s="660"/>
      <c r="AN10" s="660"/>
      <c r="AP10" s="660"/>
    </row>
    <row r="11" spans="1:42">
      <c r="A11" s="16"/>
      <c r="B11" s="129" t="s">
        <v>134</v>
      </c>
      <c r="C11" s="129">
        <v>514</v>
      </c>
      <c r="D11" s="129">
        <v>382</v>
      </c>
      <c r="E11" s="129">
        <v>317</v>
      </c>
      <c r="F11" s="129">
        <v>0.128</v>
      </c>
      <c r="G11" s="129">
        <v>8.5699999999999998E-2</v>
      </c>
      <c r="H11" s="189">
        <v>31</v>
      </c>
      <c r="I11" s="4"/>
      <c r="J11" s="197" t="s">
        <v>122</v>
      </c>
      <c r="K11" s="198" t="s">
        <v>132</v>
      </c>
      <c r="L11" s="198">
        <v>0.61</v>
      </c>
      <c r="M11" s="198">
        <v>0.54</v>
      </c>
      <c r="N11" s="198">
        <v>0.96</v>
      </c>
      <c r="O11" s="198">
        <v>0.98</v>
      </c>
      <c r="P11" s="198">
        <v>0.98</v>
      </c>
      <c r="Q11" s="199">
        <v>2.5</v>
      </c>
      <c r="R11" s="200">
        <v>1.0900000000000001</v>
      </c>
      <c r="S11" s="201">
        <v>1.05</v>
      </c>
      <c r="AJ11" s="1"/>
      <c r="AL11" s="2"/>
      <c r="AN11" s="1"/>
      <c r="AP11" s="1"/>
    </row>
    <row r="12" spans="1:42" ht="29">
      <c r="A12" s="16"/>
      <c r="B12" s="202" t="s">
        <v>135</v>
      </c>
      <c r="C12" s="202">
        <v>605</v>
      </c>
      <c r="D12" s="202">
        <v>437</v>
      </c>
      <c r="E12" s="202">
        <v>370</v>
      </c>
      <c r="F12" s="202">
        <v>0.1</v>
      </c>
      <c r="G12" s="202">
        <v>8.5500000000000007E-2</v>
      </c>
      <c r="H12" s="203">
        <v>34</v>
      </c>
      <c r="I12" s="4"/>
      <c r="J12" s="204" t="s">
        <v>136</v>
      </c>
      <c r="K12" s="205">
        <v>0.89</v>
      </c>
      <c r="L12" s="205">
        <v>0.81</v>
      </c>
      <c r="M12" s="205">
        <v>0.66</v>
      </c>
      <c r="N12" s="206" t="s">
        <v>132</v>
      </c>
      <c r="O12" s="206" t="s">
        <v>132</v>
      </c>
      <c r="P12" s="206" t="s">
        <v>132</v>
      </c>
      <c r="Q12" s="207">
        <v>4</v>
      </c>
      <c r="R12" s="208">
        <v>1.0900000000000001</v>
      </c>
      <c r="S12" s="209">
        <v>1.05</v>
      </c>
      <c r="AA12" s="210">
        <v>0.76</v>
      </c>
      <c r="AJ12" s="1"/>
      <c r="AL12" s="2"/>
      <c r="AN12" s="1"/>
      <c r="AP12" s="1"/>
    </row>
    <row r="13" spans="1:42">
      <c r="A13" s="16"/>
      <c r="B13" s="211" t="s">
        <v>137</v>
      </c>
      <c r="C13" s="211">
        <v>704</v>
      </c>
      <c r="D13" s="211">
        <v>500</v>
      </c>
      <c r="E13" s="211">
        <v>428</v>
      </c>
      <c r="F13" s="211">
        <v>7.7399999999999997E-2</v>
      </c>
      <c r="G13" s="211">
        <v>8.5099999999999995E-2</v>
      </c>
      <c r="H13" s="212">
        <v>38</v>
      </c>
      <c r="I13" s="4"/>
      <c r="Q13" s="207">
        <v>6</v>
      </c>
      <c r="R13" s="208">
        <v>1.0900000000000001</v>
      </c>
      <c r="S13" s="209">
        <v>1.05</v>
      </c>
      <c r="AJ13" s="1"/>
      <c r="AL13" s="1"/>
      <c r="AN13" s="1"/>
      <c r="AP13" s="1"/>
    </row>
    <row r="14" spans="1:42">
      <c r="A14" s="16"/>
      <c r="B14" s="211" t="s">
        <v>138</v>
      </c>
      <c r="C14" s="211">
        <v>822</v>
      </c>
      <c r="D14" s="211">
        <v>565</v>
      </c>
      <c r="E14" s="211">
        <v>464</v>
      </c>
      <c r="F14" s="211">
        <v>0.06</v>
      </c>
      <c r="G14" s="211">
        <v>8.43E-2</v>
      </c>
      <c r="H14" s="212">
        <v>42</v>
      </c>
      <c r="Q14" s="207">
        <v>10</v>
      </c>
      <c r="R14" s="208">
        <v>1.0900000000000001</v>
      </c>
      <c r="S14" s="209">
        <v>1.06</v>
      </c>
      <c r="AJ14" s="1"/>
      <c r="AL14" s="1"/>
      <c r="AN14" s="1"/>
      <c r="AP14" s="1"/>
    </row>
    <row r="15" spans="1:42" ht="19.5" customHeight="1">
      <c r="A15" s="16"/>
      <c r="B15" s="213"/>
      <c r="C15" s="213"/>
      <c r="D15" s="213"/>
      <c r="E15" s="213"/>
      <c r="F15" s="213"/>
      <c r="G15" s="213"/>
      <c r="H15" s="214"/>
      <c r="Q15" s="207">
        <v>16</v>
      </c>
      <c r="R15" s="208">
        <v>1.0900000000000001</v>
      </c>
      <c r="S15" s="209">
        <v>1.06</v>
      </c>
      <c r="AJ15" s="1"/>
      <c r="AL15" s="2"/>
      <c r="AN15" s="1"/>
      <c r="AP15" s="1"/>
    </row>
    <row r="16" spans="1:42" ht="19.5" customHeight="1">
      <c r="A16" s="16"/>
      <c r="B16" s="41" t="s">
        <v>139</v>
      </c>
      <c r="C16" s="42"/>
      <c r="D16" s="42"/>
      <c r="E16" s="42"/>
      <c r="F16" s="42"/>
      <c r="G16" s="42" t="s">
        <v>966</v>
      </c>
      <c r="H16" s="214"/>
      <c r="Q16" s="207">
        <v>25</v>
      </c>
      <c r="R16" s="208">
        <v>1.0900000000000001</v>
      </c>
      <c r="S16" s="209">
        <v>1.08</v>
      </c>
      <c r="AJ16" s="1"/>
      <c r="AL16" s="2"/>
      <c r="AN16" s="1"/>
      <c r="AP16" s="1"/>
    </row>
    <row r="17" spans="1:42" ht="30.75" customHeight="1">
      <c r="A17" s="16"/>
      <c r="B17" s="644" t="s">
        <v>109</v>
      </c>
      <c r="C17" s="644" t="s">
        <v>110</v>
      </c>
      <c r="D17" s="644"/>
      <c r="E17" s="644"/>
      <c r="F17" s="645" t="s">
        <v>111</v>
      </c>
      <c r="G17" s="644" t="s">
        <v>112</v>
      </c>
      <c r="H17" s="652" t="s">
        <v>113</v>
      </c>
      <c r="K17" s="2"/>
      <c r="Q17" s="207">
        <v>35</v>
      </c>
      <c r="R17" s="208">
        <v>1.0900000000000001</v>
      </c>
      <c r="S17" s="209">
        <v>1.08</v>
      </c>
      <c r="AJ17" s="1"/>
      <c r="AL17" s="2"/>
      <c r="AN17" s="1"/>
      <c r="AP17" s="1"/>
    </row>
    <row r="18" spans="1:42" ht="30" customHeight="1">
      <c r="A18" s="16"/>
      <c r="B18" s="644"/>
      <c r="C18" s="215" t="s">
        <v>121</v>
      </c>
      <c r="D18" s="215" t="s">
        <v>122</v>
      </c>
      <c r="E18" s="215" t="s">
        <v>123</v>
      </c>
      <c r="F18" s="650"/>
      <c r="G18" s="644"/>
      <c r="H18" s="652"/>
      <c r="I18" s="4"/>
      <c r="K18" s="2"/>
      <c r="Q18" s="207">
        <v>50</v>
      </c>
      <c r="R18" s="208">
        <v>1.0900000000000001</v>
      </c>
      <c r="S18" s="209">
        <v>1.08</v>
      </c>
      <c r="AJ18" s="1"/>
      <c r="AL18" s="2"/>
      <c r="AN18" s="1"/>
      <c r="AP18" s="1"/>
    </row>
    <row r="19" spans="1:42">
      <c r="A19" s="16"/>
      <c r="B19" s="216" t="s">
        <v>140</v>
      </c>
      <c r="C19" s="216">
        <v>29</v>
      </c>
      <c r="D19" s="216">
        <v>33</v>
      </c>
      <c r="E19" s="216">
        <v>29</v>
      </c>
      <c r="F19" s="216">
        <v>15.5</v>
      </c>
      <c r="G19" s="216">
        <v>0.108</v>
      </c>
      <c r="H19" s="217">
        <v>12</v>
      </c>
      <c r="I19" s="7"/>
      <c r="K19" s="2"/>
      <c r="Q19" s="207">
        <v>70</v>
      </c>
      <c r="R19" s="218">
        <v>1.1000000000000001</v>
      </c>
      <c r="S19" s="209">
        <v>1.08</v>
      </c>
      <c r="AJ19" s="1"/>
      <c r="AL19" s="2"/>
      <c r="AN19" s="1"/>
      <c r="AP19" s="1"/>
    </row>
    <row r="20" spans="1:42">
      <c r="A20" s="16"/>
      <c r="B20" s="211" t="s">
        <v>141</v>
      </c>
      <c r="C20" s="211">
        <v>39</v>
      </c>
      <c r="D20" s="211">
        <v>43</v>
      </c>
      <c r="E20" s="211">
        <v>37</v>
      </c>
      <c r="F20" s="211">
        <v>9.48</v>
      </c>
      <c r="G20" s="211">
        <v>0.1007</v>
      </c>
      <c r="H20" s="219">
        <v>13</v>
      </c>
      <c r="I20" s="7"/>
      <c r="K20" s="2"/>
      <c r="Q20" s="207">
        <v>95</v>
      </c>
      <c r="R20" s="218">
        <v>1.1000000000000001</v>
      </c>
      <c r="S20" s="209">
        <v>1.08</v>
      </c>
      <c r="AJ20" s="1"/>
      <c r="AN20" s="1"/>
      <c r="AP20" s="1"/>
    </row>
    <row r="21" spans="1:42">
      <c r="A21" s="16"/>
      <c r="B21" s="211" t="s">
        <v>142</v>
      </c>
      <c r="C21" s="211">
        <v>48</v>
      </c>
      <c r="D21" s="211">
        <v>54</v>
      </c>
      <c r="E21" s="211">
        <v>46</v>
      </c>
      <c r="F21" s="211">
        <v>5.9</v>
      </c>
      <c r="G21" s="211">
        <v>9.4700000000000006E-2</v>
      </c>
      <c r="H21" s="219">
        <v>14</v>
      </c>
      <c r="I21" s="7"/>
      <c r="K21" s="2"/>
      <c r="O21" s="3"/>
      <c r="Q21" s="207">
        <v>120</v>
      </c>
      <c r="R21" s="218">
        <v>1.1000000000000001</v>
      </c>
      <c r="S21" s="209">
        <v>1.08</v>
      </c>
      <c r="AJ21" s="1"/>
      <c r="AN21" s="1"/>
      <c r="AP21" s="1"/>
    </row>
    <row r="22" spans="1:42">
      <c r="A22" s="16"/>
      <c r="B22" s="211" t="s">
        <v>143</v>
      </c>
      <c r="C22" s="211">
        <v>59</v>
      </c>
      <c r="D22" s="211">
        <v>66</v>
      </c>
      <c r="E22" s="211">
        <v>58</v>
      </c>
      <c r="F22" s="211">
        <v>3.94</v>
      </c>
      <c r="G22" s="211">
        <v>9.0200000000000002E-2</v>
      </c>
      <c r="H22" s="219">
        <v>15</v>
      </c>
      <c r="I22" s="7"/>
      <c r="O22" s="3"/>
      <c r="Q22" s="207">
        <v>150</v>
      </c>
      <c r="R22" s="218">
        <v>1.1000000000000001</v>
      </c>
      <c r="S22" s="209">
        <v>1.0900000000000001</v>
      </c>
      <c r="AJ22" s="1"/>
      <c r="AN22" s="1"/>
      <c r="AP22" s="1"/>
    </row>
    <row r="23" spans="1:42">
      <c r="A23" s="16"/>
      <c r="B23" s="211" t="s">
        <v>144</v>
      </c>
      <c r="C23" s="211">
        <v>62</v>
      </c>
      <c r="D23" s="211">
        <v>70</v>
      </c>
      <c r="E23" s="211">
        <v>57</v>
      </c>
      <c r="F23" s="211">
        <v>3.94</v>
      </c>
      <c r="G23" s="211">
        <v>8.5199999999999998E-2</v>
      </c>
      <c r="H23" s="219">
        <v>17</v>
      </c>
      <c r="I23" s="7"/>
      <c r="O23" s="3"/>
      <c r="Q23" s="207">
        <v>185</v>
      </c>
      <c r="R23" s="218">
        <v>1.1000000000000001</v>
      </c>
      <c r="S23" s="209">
        <v>1.0900000000000001</v>
      </c>
      <c r="AJ23" s="1"/>
      <c r="AN23" s="1"/>
      <c r="AP23" s="1"/>
    </row>
    <row r="24" spans="1:42">
      <c r="A24" s="16"/>
      <c r="B24" s="211" t="s">
        <v>145</v>
      </c>
      <c r="C24" s="211">
        <v>79</v>
      </c>
      <c r="D24" s="211">
        <v>90</v>
      </c>
      <c r="E24" s="211">
        <v>75</v>
      </c>
      <c r="F24" s="211">
        <v>2.44</v>
      </c>
      <c r="G24" s="211">
        <v>8.1500000000000003E-2</v>
      </c>
      <c r="H24" s="219">
        <v>18</v>
      </c>
      <c r="I24" s="7"/>
      <c r="Q24" s="207">
        <v>240</v>
      </c>
      <c r="R24" s="218">
        <v>1.1000000000000001</v>
      </c>
      <c r="S24" s="209">
        <v>1.0900000000000001</v>
      </c>
      <c r="AJ24" s="1"/>
      <c r="AN24" s="1"/>
      <c r="AP24" s="1"/>
    </row>
    <row r="25" spans="1:42">
      <c r="A25" s="16"/>
      <c r="B25" s="211" t="s">
        <v>146</v>
      </c>
      <c r="C25" s="211">
        <v>108</v>
      </c>
      <c r="D25" s="211">
        <v>117</v>
      </c>
      <c r="E25" s="211">
        <v>99</v>
      </c>
      <c r="F25" s="211">
        <v>1.54</v>
      </c>
      <c r="G25" s="211">
        <v>8.1600000000000006E-2</v>
      </c>
      <c r="H25" s="219">
        <v>20</v>
      </c>
      <c r="I25" s="7"/>
      <c r="Q25" s="207">
        <v>300</v>
      </c>
      <c r="R25" s="218">
        <v>1.1000000000000001</v>
      </c>
      <c r="S25" s="209">
        <v>1.0900000000000001</v>
      </c>
      <c r="AJ25" s="1"/>
      <c r="AN25" s="1"/>
      <c r="AP25" s="1"/>
    </row>
    <row r="26" spans="1:42">
      <c r="A26" s="16"/>
      <c r="B26" s="211" t="s">
        <v>147</v>
      </c>
      <c r="C26" s="211">
        <v>143</v>
      </c>
      <c r="D26" s="211">
        <v>140</v>
      </c>
      <c r="E26" s="211">
        <v>117</v>
      </c>
      <c r="F26" s="211">
        <v>1.1100000000000001</v>
      </c>
      <c r="G26" s="211">
        <v>7.9399999999999998E-2</v>
      </c>
      <c r="H26" s="219">
        <v>21</v>
      </c>
      <c r="I26" s="7"/>
      <c r="Q26" s="207">
        <v>400</v>
      </c>
      <c r="R26" s="208">
        <v>1.1100000000000001</v>
      </c>
      <c r="S26" s="220">
        <v>1.1000000000000001</v>
      </c>
      <c r="AJ26" s="1"/>
      <c r="AN26" s="1"/>
      <c r="AP26" s="1"/>
    </row>
    <row r="27" spans="1:42">
      <c r="A27" s="16"/>
      <c r="B27" s="211" t="s">
        <v>148</v>
      </c>
      <c r="C27" s="211">
        <v>173</v>
      </c>
      <c r="D27" s="211">
        <v>168</v>
      </c>
      <c r="E27" s="211">
        <v>143</v>
      </c>
      <c r="F27" s="211">
        <v>0.82</v>
      </c>
      <c r="G27" s="211">
        <v>7.9200000000000007E-2</v>
      </c>
      <c r="H27" s="219">
        <v>24</v>
      </c>
      <c r="I27" s="7"/>
      <c r="Q27" s="207">
        <v>500</v>
      </c>
      <c r="R27" s="208">
        <v>1.1100000000000001</v>
      </c>
      <c r="S27" s="220">
        <v>1.1000000000000001</v>
      </c>
      <c r="AJ27" s="1"/>
      <c r="AN27" s="1"/>
      <c r="AP27" s="1"/>
    </row>
    <row r="28" spans="1:42">
      <c r="A28" s="16"/>
      <c r="B28" s="211" t="s">
        <v>149</v>
      </c>
      <c r="C28" s="211">
        <v>212</v>
      </c>
      <c r="D28" s="211">
        <v>202</v>
      </c>
      <c r="E28" s="211">
        <v>177</v>
      </c>
      <c r="F28" s="211">
        <v>0.56699999999999995</v>
      </c>
      <c r="G28" s="211">
        <v>7.5200000000000003E-2</v>
      </c>
      <c r="H28" s="219">
        <v>27</v>
      </c>
      <c r="I28" s="7"/>
      <c r="Q28" s="207">
        <v>630</v>
      </c>
      <c r="R28" s="208">
        <v>1.1100000000000001</v>
      </c>
      <c r="S28" s="220">
        <v>1.1000000000000001</v>
      </c>
      <c r="AJ28" s="1"/>
      <c r="AN28" s="1"/>
      <c r="AP28" s="1"/>
    </row>
    <row r="29" spans="1:42">
      <c r="A29" s="16"/>
      <c r="B29" s="211" t="s">
        <v>150</v>
      </c>
      <c r="C29" s="211">
        <v>257</v>
      </c>
      <c r="D29" s="211">
        <v>243</v>
      </c>
      <c r="E29" s="211">
        <v>217</v>
      </c>
      <c r="F29" s="211">
        <v>0.41</v>
      </c>
      <c r="G29" s="211">
        <v>7.3400000000000007E-2</v>
      </c>
      <c r="H29" s="219">
        <v>30</v>
      </c>
      <c r="I29" s="7"/>
      <c r="S29" s="91"/>
      <c r="AJ29" s="1"/>
      <c r="AN29" s="1"/>
      <c r="AP29" s="1"/>
    </row>
    <row r="30" spans="1:42">
      <c r="A30" s="16"/>
      <c r="B30" s="211" t="s">
        <v>151</v>
      </c>
      <c r="C30" s="211">
        <v>295</v>
      </c>
      <c r="D30" s="211">
        <v>273</v>
      </c>
      <c r="E30" s="211">
        <v>247</v>
      </c>
      <c r="F30" s="211">
        <v>0.32400000000000001</v>
      </c>
      <c r="G30" s="211">
        <v>7.2599999999999998E-2</v>
      </c>
      <c r="H30" s="219">
        <v>32</v>
      </c>
      <c r="I30" s="7"/>
      <c r="S30" s="91"/>
      <c r="AJ30" s="1"/>
      <c r="AN30" s="1"/>
      <c r="AP30" s="1"/>
    </row>
    <row r="31" spans="1:42">
      <c r="A31" s="16"/>
      <c r="B31" s="211" t="s">
        <v>152</v>
      </c>
      <c r="C31" s="211">
        <v>342</v>
      </c>
      <c r="D31" s="211">
        <v>310</v>
      </c>
      <c r="E31" s="211">
        <v>305</v>
      </c>
      <c r="F31" s="211">
        <v>0.26400000000000001</v>
      </c>
      <c r="G31" s="211">
        <v>7.3200000000000001E-2</v>
      </c>
      <c r="H31" s="219">
        <v>35</v>
      </c>
      <c r="I31" s="7"/>
      <c r="S31" s="91"/>
      <c r="AJ31" s="1"/>
      <c r="AN31" s="1"/>
      <c r="AP31" s="1"/>
    </row>
    <row r="32" spans="1:42">
      <c r="A32" s="16"/>
      <c r="B32" s="211" t="s">
        <v>153</v>
      </c>
      <c r="C32" s="211">
        <v>395</v>
      </c>
      <c r="D32" s="211">
        <v>350</v>
      </c>
      <c r="E32" s="211">
        <v>345</v>
      </c>
      <c r="F32" s="211">
        <v>0.21</v>
      </c>
      <c r="G32" s="211">
        <v>7.2700000000000001E-2</v>
      </c>
      <c r="H32" s="219">
        <v>39</v>
      </c>
      <c r="I32" s="7"/>
      <c r="S32" s="91"/>
      <c r="AJ32" s="1"/>
      <c r="AN32" s="1"/>
      <c r="AP32" s="1"/>
    </row>
    <row r="33" spans="1:42">
      <c r="A33" s="16"/>
      <c r="B33" s="211" t="s">
        <v>154</v>
      </c>
      <c r="C33" s="211">
        <v>465</v>
      </c>
      <c r="D33" s="211">
        <v>401</v>
      </c>
      <c r="E33" s="211">
        <v>393</v>
      </c>
      <c r="F33" s="211">
        <v>0.16</v>
      </c>
      <c r="G33" s="211">
        <v>7.1900000000000006E-2</v>
      </c>
      <c r="H33" s="219">
        <v>44</v>
      </c>
      <c r="I33" s="7"/>
      <c r="S33" s="91"/>
      <c r="AN33" s="1"/>
      <c r="AP33" s="1"/>
    </row>
    <row r="34" spans="1:42">
      <c r="A34" s="16"/>
      <c r="B34" s="211" t="s">
        <v>155</v>
      </c>
      <c r="C34" s="211">
        <v>532</v>
      </c>
      <c r="D34" s="211">
        <v>458</v>
      </c>
      <c r="E34" s="211">
        <v>453</v>
      </c>
      <c r="F34" s="211">
        <v>0.128</v>
      </c>
      <c r="G34" s="211">
        <v>7.1099999999999997E-2</v>
      </c>
      <c r="H34" s="219">
        <v>48</v>
      </c>
      <c r="I34" s="7"/>
      <c r="S34" s="91"/>
      <c r="AN34" s="1"/>
      <c r="AP34" s="1"/>
    </row>
    <row r="35" spans="1:42">
      <c r="A35" s="16"/>
      <c r="B35" s="211" t="s">
        <v>156</v>
      </c>
      <c r="C35" s="211">
        <v>622</v>
      </c>
      <c r="D35" s="211">
        <v>505</v>
      </c>
      <c r="E35" s="211">
        <v>553</v>
      </c>
      <c r="F35" s="211">
        <v>0.1</v>
      </c>
      <c r="G35" s="211">
        <v>7.0499999999999993E-2</v>
      </c>
      <c r="H35" s="219">
        <v>54</v>
      </c>
      <c r="I35" s="7"/>
      <c r="S35" s="91"/>
      <c r="AJ35" s="1"/>
      <c r="AN35" s="1"/>
      <c r="AP35" s="1"/>
    </row>
    <row r="36" spans="1:42" ht="19.5" customHeight="1">
      <c r="A36" s="16"/>
      <c r="B36" s="7"/>
      <c r="C36" s="5"/>
      <c r="D36" s="5"/>
      <c r="E36" s="5"/>
      <c r="F36" s="5"/>
      <c r="G36" s="4"/>
      <c r="H36" s="19"/>
      <c r="I36" s="7"/>
      <c r="S36" s="91"/>
      <c r="AN36" s="1"/>
    </row>
    <row r="37" spans="1:42" ht="19.5" customHeight="1">
      <c r="A37" s="16"/>
      <c r="B37" s="221" t="s">
        <v>157</v>
      </c>
      <c r="C37" s="222"/>
      <c r="D37" s="222"/>
      <c r="E37" s="222"/>
      <c r="F37" s="222"/>
      <c r="G37" s="222" t="s">
        <v>966</v>
      </c>
      <c r="H37" s="223"/>
      <c r="I37" s="1"/>
      <c r="S37" s="91"/>
      <c r="AN37" s="1"/>
    </row>
    <row r="38" spans="1:42" ht="32.25" customHeight="1">
      <c r="A38" s="16"/>
      <c r="B38" s="644" t="s">
        <v>109</v>
      </c>
      <c r="C38" s="644" t="s">
        <v>110</v>
      </c>
      <c r="D38" s="644"/>
      <c r="E38" s="644"/>
      <c r="F38" s="645" t="s">
        <v>111</v>
      </c>
      <c r="G38" s="644" t="s">
        <v>112</v>
      </c>
      <c r="H38" s="652" t="s">
        <v>113</v>
      </c>
      <c r="I38" s="1"/>
      <c r="S38" s="91"/>
      <c r="AN38" s="1"/>
    </row>
    <row r="39" spans="1:42" ht="32.25" customHeight="1">
      <c r="A39" s="16"/>
      <c r="B39" s="644"/>
      <c r="C39" s="215" t="s">
        <v>121</v>
      </c>
      <c r="D39" s="215" t="s">
        <v>122</v>
      </c>
      <c r="E39" s="215" t="s">
        <v>123</v>
      </c>
      <c r="F39" s="650"/>
      <c r="G39" s="644"/>
      <c r="H39" s="652"/>
      <c r="I39" s="1"/>
      <c r="S39" s="91"/>
    </row>
    <row r="40" spans="1:42" ht="19.5" customHeight="1">
      <c r="A40" s="16"/>
      <c r="B40" s="216" t="s">
        <v>158</v>
      </c>
      <c r="C40" s="216">
        <v>22</v>
      </c>
      <c r="D40" s="216">
        <v>25</v>
      </c>
      <c r="E40" s="216">
        <v>22</v>
      </c>
      <c r="F40" s="216">
        <v>15.5</v>
      </c>
      <c r="G40" s="216">
        <v>0.108</v>
      </c>
      <c r="H40" s="217">
        <v>13</v>
      </c>
      <c r="I40" s="1"/>
      <c r="S40" s="91"/>
      <c r="AA40" s="2">
        <v>13.2</v>
      </c>
    </row>
    <row r="41" spans="1:42">
      <c r="A41" s="16"/>
      <c r="B41" s="211" t="s">
        <v>159</v>
      </c>
      <c r="C41" s="211">
        <v>28</v>
      </c>
      <c r="D41" s="211">
        <v>34</v>
      </c>
      <c r="E41" s="211">
        <v>28</v>
      </c>
      <c r="F41" s="211">
        <v>9.48</v>
      </c>
      <c r="G41" s="211">
        <v>0.1007</v>
      </c>
      <c r="H41" s="219">
        <v>14</v>
      </c>
      <c r="I41" s="1"/>
      <c r="K41" s="2"/>
      <c r="L41" s="2"/>
      <c r="M41" s="2"/>
      <c r="N41" s="2"/>
      <c r="S41" s="20"/>
      <c r="T41" s="2"/>
      <c r="AA41" s="2">
        <v>16.8</v>
      </c>
    </row>
    <row r="42" spans="1:42">
      <c r="A42" s="16"/>
      <c r="B42" s="211" t="s">
        <v>160</v>
      </c>
      <c r="C42" s="211">
        <v>38</v>
      </c>
      <c r="D42" s="211">
        <v>44</v>
      </c>
      <c r="E42" s="211">
        <v>37</v>
      </c>
      <c r="F42" s="211">
        <v>5.9</v>
      </c>
      <c r="G42" s="211">
        <v>9.4700000000000006E-2</v>
      </c>
      <c r="H42" s="219">
        <v>15</v>
      </c>
      <c r="I42" s="1"/>
      <c r="K42" s="2"/>
      <c r="L42" s="2"/>
      <c r="M42" s="2"/>
      <c r="N42" s="2"/>
      <c r="S42" s="20"/>
      <c r="T42" s="2"/>
      <c r="AA42" s="2">
        <v>22.8</v>
      </c>
    </row>
    <row r="43" spans="1:42">
      <c r="A43" s="16"/>
      <c r="B43" s="211" t="s">
        <v>161</v>
      </c>
      <c r="C43" s="211">
        <v>51</v>
      </c>
      <c r="D43" s="211">
        <v>55</v>
      </c>
      <c r="E43" s="211">
        <v>46</v>
      </c>
      <c r="F43" s="211">
        <v>3.94</v>
      </c>
      <c r="G43" s="211">
        <v>9.0200000000000002E-2</v>
      </c>
      <c r="H43" s="219">
        <v>16</v>
      </c>
      <c r="I43" s="1"/>
      <c r="K43" s="2"/>
      <c r="L43" s="2"/>
      <c r="M43" s="2"/>
      <c r="N43" s="2"/>
      <c r="S43" s="20"/>
      <c r="T43" s="2"/>
      <c r="V43" s="5"/>
      <c r="W43" s="5"/>
      <c r="X43" s="5"/>
      <c r="Y43" s="5"/>
      <c r="Z43" s="5"/>
      <c r="AA43" s="2">
        <v>30.599999999999998</v>
      </c>
      <c r="AB43" s="5"/>
      <c r="AC43" s="5"/>
      <c r="AD43" s="5"/>
    </row>
    <row r="44" spans="1:42">
      <c r="A44" s="16"/>
      <c r="B44" s="211" t="s">
        <v>162</v>
      </c>
      <c r="C44" s="211">
        <v>60</v>
      </c>
      <c r="D44" s="211">
        <v>57</v>
      </c>
      <c r="E44" s="211">
        <v>48</v>
      </c>
      <c r="F44" s="211">
        <v>3.94</v>
      </c>
      <c r="G44" s="211">
        <v>8.5199999999999998E-2</v>
      </c>
      <c r="H44" s="219">
        <v>19</v>
      </c>
      <c r="K44" s="2"/>
      <c r="L44" s="2"/>
      <c r="M44" s="2"/>
      <c r="N44" s="2"/>
      <c r="S44" s="20"/>
      <c r="T44" s="2"/>
      <c r="V44" s="5"/>
      <c r="W44" s="5"/>
      <c r="X44" s="5"/>
      <c r="Y44" s="5"/>
      <c r="Z44" s="5"/>
      <c r="AA44" s="2">
        <v>36</v>
      </c>
      <c r="AB44" s="5"/>
      <c r="AC44" s="5"/>
      <c r="AD44" s="5"/>
    </row>
    <row r="45" spans="1:42">
      <c r="A45" s="16"/>
      <c r="B45" s="211" t="s">
        <v>163</v>
      </c>
      <c r="C45" s="211">
        <v>70</v>
      </c>
      <c r="D45" s="211">
        <v>73</v>
      </c>
      <c r="E45" s="211">
        <v>61</v>
      </c>
      <c r="F45" s="211">
        <v>2.44</v>
      </c>
      <c r="G45" s="211">
        <v>8.1500000000000003E-2</v>
      </c>
      <c r="H45" s="219">
        <v>19</v>
      </c>
      <c r="K45" s="2"/>
      <c r="L45" s="2"/>
      <c r="M45" s="2"/>
      <c r="N45" s="2"/>
      <c r="S45" s="20"/>
      <c r="T45" s="2"/>
      <c r="V45" s="5"/>
      <c r="W45" s="5"/>
      <c r="X45" s="5"/>
      <c r="Y45" s="5"/>
      <c r="Z45" s="5"/>
      <c r="AA45" s="2">
        <v>42</v>
      </c>
      <c r="AB45" s="5"/>
      <c r="AC45" s="5"/>
      <c r="AD45" s="5"/>
    </row>
    <row r="46" spans="1:42">
      <c r="A46" s="16"/>
      <c r="B46" s="211" t="s">
        <v>164</v>
      </c>
      <c r="C46" s="211">
        <v>95</v>
      </c>
      <c r="D46" s="211">
        <v>96</v>
      </c>
      <c r="E46" s="211">
        <v>80</v>
      </c>
      <c r="F46" s="211">
        <v>1.54</v>
      </c>
      <c r="G46" s="211">
        <v>8.1600000000000006E-2</v>
      </c>
      <c r="H46" s="219">
        <v>21</v>
      </c>
      <c r="O46" s="3"/>
      <c r="P46" s="3"/>
      <c r="Q46" s="3"/>
      <c r="R46" s="3"/>
      <c r="S46" s="91"/>
      <c r="T46" s="5"/>
      <c r="U46" s="5"/>
      <c r="V46" s="5"/>
      <c r="W46" s="5"/>
      <c r="X46" s="5"/>
      <c r="Y46" s="5"/>
      <c r="Z46" s="5"/>
      <c r="AA46" s="2">
        <v>57</v>
      </c>
      <c r="AB46" s="5"/>
      <c r="AC46" s="5"/>
      <c r="AD46" s="5"/>
    </row>
    <row r="47" spans="1:42">
      <c r="A47" s="16"/>
      <c r="B47" s="211" t="s">
        <v>165</v>
      </c>
      <c r="C47" s="211">
        <v>117</v>
      </c>
      <c r="D47" s="211">
        <v>115</v>
      </c>
      <c r="E47" s="211">
        <v>96</v>
      </c>
      <c r="F47" s="211">
        <v>1.1100000000000001</v>
      </c>
      <c r="G47" s="211">
        <v>7.9399999999999998E-2</v>
      </c>
      <c r="H47" s="219">
        <v>23</v>
      </c>
      <c r="S47" s="91"/>
      <c r="T47" s="5"/>
      <c r="U47" s="5"/>
      <c r="V47" s="5"/>
      <c r="W47" s="5"/>
      <c r="X47" s="5"/>
      <c r="Y47" s="5"/>
      <c r="Z47" s="5"/>
      <c r="AA47" s="2">
        <v>70.2</v>
      </c>
      <c r="AB47" s="5"/>
      <c r="AC47" s="5"/>
      <c r="AD47" s="5"/>
    </row>
    <row r="48" spans="1:42">
      <c r="A48" s="16"/>
      <c r="B48" s="211" t="s">
        <v>166</v>
      </c>
      <c r="C48" s="211">
        <v>141</v>
      </c>
      <c r="D48" s="211">
        <v>134</v>
      </c>
      <c r="E48" s="211">
        <v>116</v>
      </c>
      <c r="F48" s="211">
        <v>0.82</v>
      </c>
      <c r="G48" s="211">
        <v>7.9200000000000007E-2</v>
      </c>
      <c r="H48" s="219">
        <v>26</v>
      </c>
      <c r="O48" s="3"/>
      <c r="S48" s="91"/>
      <c r="T48" s="5"/>
      <c r="U48" s="5"/>
      <c r="V48" s="5"/>
      <c r="W48" s="5"/>
      <c r="X48" s="5"/>
      <c r="Y48" s="5"/>
      <c r="Z48" s="5"/>
      <c r="AA48" s="2">
        <v>84.6</v>
      </c>
      <c r="AB48" s="5"/>
      <c r="AC48" s="5"/>
      <c r="AD48" s="5"/>
    </row>
    <row r="49" spans="1:34">
      <c r="A49" s="16"/>
      <c r="B49" s="211" t="s">
        <v>167</v>
      </c>
      <c r="C49" s="211">
        <v>177</v>
      </c>
      <c r="D49" s="211">
        <v>165</v>
      </c>
      <c r="E49" s="211">
        <v>141</v>
      </c>
      <c r="F49" s="211">
        <v>0.56699999999999995</v>
      </c>
      <c r="G49" s="211">
        <v>7.5200000000000003E-2</v>
      </c>
      <c r="H49" s="219">
        <v>30</v>
      </c>
      <c r="P49" s="1"/>
      <c r="Q49" s="1"/>
      <c r="R49" s="4"/>
      <c r="S49" s="91"/>
      <c r="AA49" s="2">
        <v>106.2</v>
      </c>
    </row>
    <row r="50" spans="1:34">
      <c r="A50" s="16"/>
      <c r="B50" s="211" t="s">
        <v>168</v>
      </c>
      <c r="C50" s="211">
        <v>221</v>
      </c>
      <c r="D50" s="211">
        <v>198</v>
      </c>
      <c r="E50" s="211">
        <v>168</v>
      </c>
      <c r="F50" s="211">
        <v>0.41</v>
      </c>
      <c r="G50" s="211">
        <v>7.3400000000000007E-2</v>
      </c>
      <c r="H50" s="219">
        <v>33</v>
      </c>
      <c r="P50" s="1"/>
      <c r="Q50" s="1"/>
      <c r="R50" s="4"/>
      <c r="S50" s="91"/>
      <c r="AA50" s="2">
        <v>132.6</v>
      </c>
    </row>
    <row r="51" spans="1:34">
      <c r="A51" s="16"/>
      <c r="B51" s="211" t="s">
        <v>169</v>
      </c>
      <c r="C51" s="211">
        <v>257</v>
      </c>
      <c r="D51" s="211">
        <v>225</v>
      </c>
      <c r="E51" s="211">
        <v>189</v>
      </c>
      <c r="F51" s="211">
        <v>0.32400000000000001</v>
      </c>
      <c r="G51" s="211">
        <v>7.2599999999999998E-2</v>
      </c>
      <c r="H51" s="219">
        <v>35</v>
      </c>
      <c r="P51" s="1"/>
      <c r="Q51" s="1"/>
      <c r="R51" s="4"/>
      <c r="S51" s="91"/>
      <c r="AA51" s="2">
        <v>154.19999999999999</v>
      </c>
    </row>
    <row r="52" spans="1:34">
      <c r="A52" s="16"/>
      <c r="B52" s="211" t="s">
        <v>170</v>
      </c>
      <c r="C52" s="211">
        <v>293</v>
      </c>
      <c r="D52" s="211">
        <v>252</v>
      </c>
      <c r="E52" s="211">
        <v>210</v>
      </c>
      <c r="F52" s="211">
        <v>0.26400000000000001</v>
      </c>
      <c r="G52" s="211">
        <v>7.3200000000000001E-2</v>
      </c>
      <c r="H52" s="219">
        <v>39</v>
      </c>
      <c r="P52" s="1"/>
      <c r="Q52" s="1"/>
      <c r="R52" s="4"/>
      <c r="S52" s="91"/>
      <c r="AA52" s="2">
        <v>175.79999999999998</v>
      </c>
    </row>
    <row r="53" spans="1:34">
      <c r="A53" s="16"/>
      <c r="B53" s="211" t="s">
        <v>171</v>
      </c>
      <c r="C53" s="211">
        <v>338</v>
      </c>
      <c r="D53" s="211">
        <v>285</v>
      </c>
      <c r="E53" s="211">
        <v>243</v>
      </c>
      <c r="F53" s="211">
        <v>0.21</v>
      </c>
      <c r="G53" s="211">
        <v>7.2700000000000001E-2</v>
      </c>
      <c r="H53" s="219">
        <v>43</v>
      </c>
      <c r="P53" s="1"/>
      <c r="Q53" s="1"/>
      <c r="R53" s="4"/>
      <c r="S53" s="91"/>
      <c r="AA53" s="2">
        <v>202.79999999999998</v>
      </c>
    </row>
    <row r="54" spans="1:34">
      <c r="A54" s="16"/>
      <c r="B54" s="211" t="s">
        <v>172</v>
      </c>
      <c r="C54" s="211">
        <v>401</v>
      </c>
      <c r="D54" s="211">
        <v>330</v>
      </c>
      <c r="E54" s="211">
        <v>282</v>
      </c>
      <c r="F54" s="211">
        <v>0.16</v>
      </c>
      <c r="G54" s="211">
        <v>7.1900000000000006E-2</v>
      </c>
      <c r="H54" s="219">
        <v>48</v>
      </c>
      <c r="I54" s="4"/>
      <c r="P54" s="4"/>
      <c r="Q54" s="4"/>
      <c r="R54" s="4"/>
      <c r="S54" s="91"/>
      <c r="AA54" s="2">
        <v>240.6</v>
      </c>
    </row>
    <row r="55" spans="1:34">
      <c r="A55" s="16"/>
      <c r="B55" s="211" t="s">
        <v>173</v>
      </c>
      <c r="C55" s="211">
        <v>459</v>
      </c>
      <c r="D55" s="211">
        <v>371</v>
      </c>
      <c r="E55" s="211">
        <v>316</v>
      </c>
      <c r="F55" s="211">
        <v>0.128</v>
      </c>
      <c r="G55" s="211">
        <v>7.1099999999999997E-2</v>
      </c>
      <c r="H55" s="219">
        <v>53</v>
      </c>
      <c r="I55" s="4"/>
      <c r="P55" s="4"/>
      <c r="Q55" s="4"/>
      <c r="R55" s="4"/>
      <c r="S55" s="91"/>
      <c r="AA55" s="2">
        <v>275.39999999999998</v>
      </c>
    </row>
    <row r="56" spans="1:34">
      <c r="A56" s="16"/>
      <c r="B56" s="211" t="s">
        <v>174</v>
      </c>
      <c r="C56" s="211">
        <v>536</v>
      </c>
      <c r="D56" s="211">
        <v>423</v>
      </c>
      <c r="E56" s="211">
        <v>282</v>
      </c>
      <c r="F56" s="211">
        <v>0.1</v>
      </c>
      <c r="G56" s="211">
        <v>7.0499999999999993E-2</v>
      </c>
      <c r="H56" s="219">
        <v>59</v>
      </c>
      <c r="I56" s="4"/>
      <c r="S56" s="91"/>
      <c r="AA56" s="2">
        <v>321.59999999999997</v>
      </c>
    </row>
    <row r="57" spans="1:34" ht="19.5" customHeight="1">
      <c r="A57" s="16"/>
      <c r="B57" s="4"/>
      <c r="C57" s="6"/>
      <c r="D57" s="4"/>
      <c r="E57" s="4"/>
      <c r="F57" s="4"/>
      <c r="G57" s="4"/>
      <c r="H57" s="17"/>
      <c r="I57" s="4"/>
      <c r="S57" s="91"/>
    </row>
    <row r="58" spans="1:34" ht="19.5" customHeight="1">
      <c r="A58" s="16"/>
      <c r="B58" s="221" t="s">
        <v>175</v>
      </c>
      <c r="C58" s="222"/>
      <c r="D58" s="222"/>
      <c r="E58" s="222"/>
      <c r="F58" s="222"/>
      <c r="G58" s="222" t="s">
        <v>966</v>
      </c>
      <c r="H58" s="224"/>
      <c r="I58" s="4"/>
      <c r="S58" s="91"/>
    </row>
    <row r="59" spans="1:34" ht="32.25" customHeight="1">
      <c r="A59" s="16"/>
      <c r="B59" s="644" t="s">
        <v>109</v>
      </c>
      <c r="C59" s="644" t="s">
        <v>110</v>
      </c>
      <c r="D59" s="644"/>
      <c r="E59" s="644"/>
      <c r="F59" s="645" t="s">
        <v>111</v>
      </c>
      <c r="G59" s="644" t="s">
        <v>112</v>
      </c>
      <c r="H59" s="652" t="s">
        <v>113</v>
      </c>
      <c r="I59" s="4"/>
      <c r="S59" s="91"/>
    </row>
    <row r="60" spans="1:34" ht="32.25" customHeight="1">
      <c r="A60" s="16"/>
      <c r="B60" s="644"/>
      <c r="C60" s="215" t="s">
        <v>121</v>
      </c>
      <c r="D60" s="215" t="s">
        <v>122</v>
      </c>
      <c r="E60" s="215" t="s">
        <v>123</v>
      </c>
      <c r="F60" s="650"/>
      <c r="G60" s="644"/>
      <c r="H60" s="652"/>
      <c r="I60" s="4"/>
      <c r="S60" s="91"/>
    </row>
    <row r="61" spans="1:34" ht="19.5" customHeight="1">
      <c r="A61" s="16"/>
      <c r="B61" s="207" t="s">
        <v>176</v>
      </c>
      <c r="C61" s="207">
        <v>22</v>
      </c>
      <c r="D61" s="207">
        <v>25</v>
      </c>
      <c r="E61" s="207">
        <v>22</v>
      </c>
      <c r="F61" s="207">
        <v>15.5</v>
      </c>
      <c r="G61" s="207">
        <v>0.108</v>
      </c>
      <c r="H61" s="217">
        <v>13</v>
      </c>
      <c r="I61" s="4"/>
      <c r="S61" s="91"/>
    </row>
    <row r="62" spans="1:34" ht="19.5" customHeight="1">
      <c r="A62" s="16"/>
      <c r="B62" s="225" t="s">
        <v>177</v>
      </c>
      <c r="C62" s="225">
        <v>28</v>
      </c>
      <c r="D62" s="225">
        <v>34</v>
      </c>
      <c r="E62" s="225">
        <v>28</v>
      </c>
      <c r="F62" s="225">
        <v>9.48</v>
      </c>
      <c r="G62" s="225">
        <v>0.1007</v>
      </c>
      <c r="H62" s="219">
        <v>15</v>
      </c>
      <c r="I62" s="4"/>
      <c r="S62" s="91"/>
    </row>
    <row r="63" spans="1:34" ht="19.5" customHeight="1">
      <c r="A63" s="16"/>
      <c r="B63" s="225" t="s">
        <v>178</v>
      </c>
      <c r="C63" s="225">
        <v>38</v>
      </c>
      <c r="D63" s="225">
        <v>44</v>
      </c>
      <c r="E63" s="225">
        <v>37</v>
      </c>
      <c r="F63" s="225">
        <v>5.9</v>
      </c>
      <c r="G63" s="225">
        <v>9.4700000000000006E-2</v>
      </c>
      <c r="H63" s="219">
        <v>16</v>
      </c>
      <c r="I63" s="4"/>
      <c r="S63" s="91"/>
    </row>
    <row r="64" spans="1:34" ht="19.5" customHeight="1">
      <c r="A64" s="16"/>
      <c r="B64" s="225" t="s">
        <v>179</v>
      </c>
      <c r="C64" s="225">
        <v>51</v>
      </c>
      <c r="D64" s="225">
        <v>55</v>
      </c>
      <c r="E64" s="225">
        <v>46</v>
      </c>
      <c r="F64" s="225">
        <v>3.94</v>
      </c>
      <c r="G64" s="225">
        <v>9.0200000000000002E-2</v>
      </c>
      <c r="H64" s="219">
        <v>18</v>
      </c>
      <c r="I64" s="4"/>
      <c r="S64" s="91"/>
      <c r="AH64" s="5"/>
    </row>
    <row r="65" spans="1:34" ht="19.5" customHeight="1">
      <c r="A65" s="16"/>
      <c r="B65" s="225" t="s">
        <v>180</v>
      </c>
      <c r="C65" s="225">
        <v>60</v>
      </c>
      <c r="D65" s="225">
        <v>57</v>
      </c>
      <c r="E65" s="225">
        <v>48</v>
      </c>
      <c r="F65" s="225">
        <v>3.94</v>
      </c>
      <c r="G65" s="225">
        <v>8.5199999999999998E-2</v>
      </c>
      <c r="H65" s="219">
        <v>20</v>
      </c>
      <c r="I65" s="4"/>
      <c r="S65" s="91"/>
      <c r="AH65" s="5"/>
    </row>
    <row r="66" spans="1:34" ht="19.5" customHeight="1">
      <c r="A66" s="16"/>
      <c r="B66" s="225" t="s">
        <v>181</v>
      </c>
      <c r="C66" s="225">
        <v>70</v>
      </c>
      <c r="D66" s="225">
        <v>73</v>
      </c>
      <c r="E66" s="225">
        <v>61</v>
      </c>
      <c r="F66" s="225">
        <v>2.44</v>
      </c>
      <c r="G66" s="225">
        <v>8.1500000000000003E-2</v>
      </c>
      <c r="H66" s="219">
        <v>21</v>
      </c>
      <c r="I66" s="4"/>
      <c r="S66" s="91"/>
      <c r="AH66" s="5"/>
    </row>
    <row r="67" spans="1:34" ht="19.5" customHeight="1">
      <c r="A67" s="16"/>
      <c r="B67" s="225" t="s">
        <v>182</v>
      </c>
      <c r="C67" s="225">
        <v>95</v>
      </c>
      <c r="D67" s="225">
        <v>96</v>
      </c>
      <c r="E67" s="225">
        <v>80</v>
      </c>
      <c r="F67" s="225">
        <v>1.54</v>
      </c>
      <c r="G67" s="225">
        <v>8.1600000000000006E-2</v>
      </c>
      <c r="H67" s="219">
        <v>25</v>
      </c>
      <c r="I67" s="4"/>
      <c r="J67" s="1"/>
      <c r="K67" s="1"/>
      <c r="L67" s="1"/>
      <c r="M67" s="1"/>
      <c r="N67" s="1"/>
      <c r="O67" s="1"/>
      <c r="R67" s="4"/>
      <c r="S67" s="91"/>
      <c r="AH67" s="5"/>
    </row>
    <row r="68" spans="1:34" ht="19.5" customHeight="1">
      <c r="A68" s="16"/>
      <c r="B68" s="225" t="s">
        <v>183</v>
      </c>
      <c r="C68" s="225">
        <v>117</v>
      </c>
      <c r="D68" s="225">
        <v>115</v>
      </c>
      <c r="E68" s="225">
        <v>96</v>
      </c>
      <c r="F68" s="225">
        <v>1.1100000000000001</v>
      </c>
      <c r="G68" s="225">
        <v>7.9399999999999998E-2</v>
      </c>
      <c r="H68" s="219">
        <v>27</v>
      </c>
      <c r="I68" s="4"/>
      <c r="J68" s="1"/>
      <c r="K68" s="1"/>
      <c r="L68" s="1"/>
      <c r="M68" s="1"/>
      <c r="N68" s="1"/>
      <c r="O68" s="1"/>
      <c r="R68" s="4"/>
      <c r="S68" s="91"/>
      <c r="AH68" s="5"/>
    </row>
    <row r="69" spans="1:34" ht="19.5" customHeight="1">
      <c r="A69" s="16"/>
      <c r="B69" s="225" t="s">
        <v>184</v>
      </c>
      <c r="C69" s="225">
        <v>141</v>
      </c>
      <c r="D69" s="225">
        <v>134</v>
      </c>
      <c r="E69" s="225">
        <v>116</v>
      </c>
      <c r="F69" s="225">
        <v>0.82</v>
      </c>
      <c r="G69" s="225">
        <v>7.9200000000000007E-2</v>
      </c>
      <c r="H69" s="219">
        <v>30</v>
      </c>
      <c r="I69" s="4"/>
      <c r="J69" s="1"/>
      <c r="K69" s="1"/>
      <c r="L69" s="1"/>
      <c r="M69" s="1"/>
      <c r="N69" s="1"/>
      <c r="O69" s="1"/>
      <c r="R69" s="4"/>
      <c r="S69" s="91"/>
      <c r="AH69" s="5"/>
    </row>
    <row r="70" spans="1:34" ht="19.5" customHeight="1">
      <c r="A70" s="16"/>
      <c r="B70" s="225" t="s">
        <v>185</v>
      </c>
      <c r="C70" s="225">
        <v>177</v>
      </c>
      <c r="D70" s="225">
        <v>165</v>
      </c>
      <c r="E70" s="225">
        <v>141</v>
      </c>
      <c r="F70" s="225">
        <v>0.56699999999999995</v>
      </c>
      <c r="G70" s="225">
        <v>7.5200000000000003E-2</v>
      </c>
      <c r="H70" s="219">
        <v>36</v>
      </c>
      <c r="I70" s="4"/>
      <c r="J70" s="1"/>
      <c r="K70" s="1"/>
      <c r="L70" s="1"/>
      <c r="M70" s="1"/>
      <c r="N70" s="1"/>
      <c r="O70" s="1"/>
      <c r="R70" s="4"/>
      <c r="S70" s="91"/>
      <c r="AH70" s="5"/>
    </row>
    <row r="71" spans="1:34" ht="19.5" customHeight="1">
      <c r="A71" s="16"/>
      <c r="B71" s="225" t="s">
        <v>186</v>
      </c>
      <c r="C71" s="225">
        <v>221</v>
      </c>
      <c r="D71" s="225">
        <v>198</v>
      </c>
      <c r="E71" s="225">
        <v>168</v>
      </c>
      <c r="F71" s="225">
        <v>0.41</v>
      </c>
      <c r="G71" s="225">
        <v>7.3400000000000007E-2</v>
      </c>
      <c r="H71" s="219">
        <v>39</v>
      </c>
      <c r="I71" s="4"/>
      <c r="J71" s="1"/>
      <c r="K71" s="1"/>
      <c r="L71" s="1"/>
      <c r="M71" s="1"/>
      <c r="N71" s="1"/>
      <c r="O71" s="1"/>
      <c r="R71" s="4"/>
      <c r="S71" s="91"/>
      <c r="AH71" s="5"/>
    </row>
    <row r="72" spans="1:34" ht="19.5" customHeight="1">
      <c r="A72" s="16"/>
      <c r="B72" s="225" t="s">
        <v>187</v>
      </c>
      <c r="C72" s="225">
        <v>257</v>
      </c>
      <c r="D72" s="225">
        <v>225</v>
      </c>
      <c r="E72" s="225">
        <v>189</v>
      </c>
      <c r="F72" s="225">
        <v>0.32400000000000001</v>
      </c>
      <c r="G72" s="225">
        <v>7.2599999999999998E-2</v>
      </c>
      <c r="H72" s="219">
        <v>43</v>
      </c>
      <c r="I72" s="4"/>
      <c r="J72" s="1"/>
      <c r="K72" s="1"/>
      <c r="L72" s="1"/>
      <c r="M72" s="1"/>
      <c r="N72" s="1"/>
      <c r="O72" s="1"/>
      <c r="R72" s="4"/>
      <c r="S72" s="91"/>
      <c r="AH72" s="5"/>
    </row>
    <row r="73" spans="1:34" ht="19.5" customHeight="1">
      <c r="A73" s="16"/>
      <c r="B73" s="225" t="s">
        <v>188</v>
      </c>
      <c r="C73" s="225">
        <v>293</v>
      </c>
      <c r="D73" s="225">
        <v>252</v>
      </c>
      <c r="E73" s="225">
        <v>210</v>
      </c>
      <c r="F73" s="225">
        <v>0.26400000000000001</v>
      </c>
      <c r="G73" s="225">
        <v>7.3200000000000001E-2</v>
      </c>
      <c r="H73" s="219">
        <v>48</v>
      </c>
      <c r="I73" s="4"/>
      <c r="J73" s="1"/>
      <c r="K73" s="1"/>
      <c r="L73" s="1"/>
      <c r="M73" s="1"/>
      <c r="N73" s="1"/>
      <c r="O73" s="1"/>
      <c r="R73" s="4"/>
      <c r="S73" s="91"/>
      <c r="AH73" s="5"/>
    </row>
    <row r="74" spans="1:34">
      <c r="A74" s="16"/>
      <c r="B74" s="225" t="s">
        <v>189</v>
      </c>
      <c r="C74" s="225">
        <v>338</v>
      </c>
      <c r="D74" s="225">
        <v>285</v>
      </c>
      <c r="E74" s="225">
        <v>243</v>
      </c>
      <c r="F74" s="225">
        <v>0.21</v>
      </c>
      <c r="G74" s="225">
        <v>7.2700000000000001E-2</v>
      </c>
      <c r="H74" s="219">
        <v>53</v>
      </c>
      <c r="I74" s="4"/>
      <c r="J74" s="45"/>
      <c r="K74" s="651"/>
      <c r="L74" s="651"/>
      <c r="M74" s="651"/>
      <c r="N74" s="651"/>
      <c r="O74" s="651"/>
      <c r="P74" s="651"/>
      <c r="Q74" s="46"/>
      <c r="R74" s="54"/>
      <c r="S74" s="94"/>
      <c r="T74" s="54"/>
      <c r="U74" s="54"/>
      <c r="AH74" s="5"/>
    </row>
    <row r="75" spans="1:34" ht="19.5" customHeight="1">
      <c r="A75" s="16"/>
      <c r="B75" s="225" t="s">
        <v>190</v>
      </c>
      <c r="C75" s="225">
        <v>401</v>
      </c>
      <c r="D75" s="225">
        <v>330</v>
      </c>
      <c r="E75" s="225">
        <v>282</v>
      </c>
      <c r="F75" s="225">
        <v>0.16</v>
      </c>
      <c r="G75" s="225">
        <v>7.1900000000000006E-2</v>
      </c>
      <c r="H75" s="219">
        <v>58</v>
      </c>
      <c r="I75" s="4"/>
      <c r="J75" s="45"/>
      <c r="K75" s="651"/>
      <c r="L75" s="46"/>
      <c r="M75" s="46"/>
      <c r="N75" s="651"/>
      <c r="O75" s="46"/>
      <c r="P75" s="46"/>
      <c r="Q75" s="46"/>
      <c r="R75" s="46"/>
      <c r="S75" s="95"/>
      <c r="T75" s="46"/>
      <c r="U75" s="46"/>
      <c r="AH75" s="5"/>
    </row>
    <row r="76" spans="1:34" ht="19.5" customHeight="1">
      <c r="A76" s="16"/>
      <c r="B76" s="225" t="s">
        <v>191</v>
      </c>
      <c r="C76" s="225">
        <v>459</v>
      </c>
      <c r="D76" s="225">
        <v>371</v>
      </c>
      <c r="E76" s="225">
        <v>316</v>
      </c>
      <c r="F76" s="225">
        <v>0.128</v>
      </c>
      <c r="G76" s="225">
        <v>7.1099999999999997E-2</v>
      </c>
      <c r="H76" s="219">
        <v>64</v>
      </c>
      <c r="I76" s="4"/>
      <c r="J76" s="45"/>
      <c r="K76" s="45"/>
      <c r="L76" s="47"/>
      <c r="M76" s="47"/>
      <c r="N76" s="45"/>
      <c r="O76" s="47"/>
      <c r="P76" s="47"/>
      <c r="Q76" s="47"/>
      <c r="R76" s="47"/>
      <c r="S76" s="96"/>
      <c r="T76" s="45"/>
      <c r="U76" s="45"/>
      <c r="AH76" s="5"/>
    </row>
    <row r="77" spans="1:34" ht="19.5" customHeight="1">
      <c r="A77" s="16"/>
      <c r="B77" s="225" t="s">
        <v>192</v>
      </c>
      <c r="C77" s="225">
        <v>536</v>
      </c>
      <c r="D77" s="225">
        <v>423</v>
      </c>
      <c r="E77" s="211">
        <v>282</v>
      </c>
      <c r="F77" s="225">
        <v>0.1</v>
      </c>
      <c r="G77" s="225">
        <v>7.0499999999999993E-2</v>
      </c>
      <c r="H77" s="219">
        <v>72</v>
      </c>
      <c r="I77" s="4"/>
      <c r="J77" s="45"/>
      <c r="K77" s="45"/>
      <c r="L77" s="47"/>
      <c r="M77" s="47"/>
      <c r="N77" s="47"/>
      <c r="O77" s="47"/>
      <c r="P77" s="47"/>
      <c r="Q77" s="47"/>
      <c r="R77" s="48"/>
      <c r="S77" s="97"/>
      <c r="T77" s="50"/>
      <c r="U77" s="49"/>
      <c r="AH77" s="5"/>
    </row>
    <row r="78" spans="1:34" ht="19.5" customHeight="1">
      <c r="A78" s="16"/>
      <c r="B78" s="4"/>
      <c r="C78" s="6"/>
      <c r="D78" s="4"/>
      <c r="E78" s="4"/>
      <c r="F78" s="4"/>
      <c r="G78" s="4"/>
      <c r="H78" s="17"/>
      <c r="I78" s="4"/>
      <c r="J78" s="45"/>
      <c r="K78" s="45"/>
      <c r="L78" s="51"/>
      <c r="M78" s="51"/>
      <c r="N78" s="47"/>
      <c r="O78" s="47"/>
      <c r="P78" s="47"/>
      <c r="Q78" s="47"/>
      <c r="R78" s="48"/>
      <c r="S78" s="97"/>
      <c r="T78" s="50"/>
      <c r="U78" s="49"/>
      <c r="V78" s="5"/>
      <c r="W78" s="5"/>
      <c r="X78" s="5"/>
      <c r="Y78" s="5"/>
      <c r="Z78" s="5"/>
      <c r="AA78" s="5"/>
      <c r="AB78" s="5"/>
      <c r="AC78" s="5"/>
      <c r="AD78" s="5"/>
      <c r="AE78" s="5"/>
      <c r="AF78" s="5"/>
      <c r="AG78" s="5"/>
      <c r="AH78" s="5"/>
    </row>
    <row r="79" spans="1:34" ht="19.5" customHeight="1">
      <c r="A79" s="16"/>
      <c r="B79" s="221" t="s">
        <v>193</v>
      </c>
      <c r="C79" s="226"/>
      <c r="D79" s="226"/>
      <c r="E79" s="226"/>
      <c r="F79" s="226"/>
      <c r="G79" s="222" t="s">
        <v>966</v>
      </c>
      <c r="H79" s="227"/>
      <c r="I79" s="4"/>
      <c r="J79" s="52"/>
      <c r="K79" s="52"/>
      <c r="L79" s="52"/>
      <c r="M79" s="52"/>
      <c r="N79" s="52"/>
      <c r="O79" s="52"/>
      <c r="P79" s="52"/>
      <c r="Q79" s="52"/>
      <c r="R79" s="48"/>
      <c r="S79" s="97"/>
      <c r="T79" s="50"/>
      <c r="U79" s="49"/>
      <c r="V79" s="5"/>
      <c r="W79" s="5"/>
      <c r="X79" s="5"/>
      <c r="Y79" s="5"/>
      <c r="Z79" s="5"/>
      <c r="AA79" s="5"/>
      <c r="AB79" s="5"/>
      <c r="AC79" s="5"/>
      <c r="AD79" s="5"/>
      <c r="AE79" s="5"/>
      <c r="AF79" s="5"/>
      <c r="AG79" s="5"/>
      <c r="AH79" s="5"/>
    </row>
    <row r="80" spans="1:34" ht="36" customHeight="1">
      <c r="A80" s="16"/>
      <c r="B80" s="657" t="s">
        <v>194</v>
      </c>
      <c r="C80" s="657" t="s">
        <v>110</v>
      </c>
      <c r="D80" s="657"/>
      <c r="E80" s="657"/>
      <c r="F80" s="645" t="s">
        <v>111</v>
      </c>
      <c r="G80" s="657" t="s">
        <v>112</v>
      </c>
      <c r="H80" s="652" t="s">
        <v>113</v>
      </c>
      <c r="I80" s="4"/>
      <c r="J80" s="53"/>
      <c r="K80" s="46"/>
      <c r="L80" s="54"/>
      <c r="M80" s="54"/>
      <c r="N80" s="54"/>
      <c r="O80" s="54"/>
      <c r="P80" s="54"/>
      <c r="Q80" s="54"/>
      <c r="R80" s="48"/>
      <c r="S80" s="97"/>
      <c r="T80" s="50"/>
      <c r="U80" s="49"/>
      <c r="V80" s="5"/>
      <c r="W80" s="5"/>
      <c r="X80" s="5"/>
      <c r="Y80" s="5"/>
      <c r="Z80" s="5"/>
      <c r="AA80" s="5"/>
      <c r="AB80" s="5"/>
      <c r="AC80" s="5"/>
      <c r="AD80" s="5"/>
      <c r="AE80" s="5"/>
      <c r="AF80" s="5"/>
      <c r="AG80" s="5"/>
      <c r="AH80" s="5"/>
    </row>
    <row r="81" spans="1:34" ht="36" customHeight="1">
      <c r="A81" s="16"/>
      <c r="B81" s="657"/>
      <c r="C81" s="215" t="s">
        <v>121</v>
      </c>
      <c r="D81" s="215" t="s">
        <v>122</v>
      </c>
      <c r="E81" s="215" t="s">
        <v>123</v>
      </c>
      <c r="F81" s="650"/>
      <c r="G81" s="657"/>
      <c r="H81" s="652"/>
      <c r="I81" s="4"/>
      <c r="J81" s="53"/>
      <c r="K81" s="46"/>
      <c r="L81" s="46"/>
      <c r="M81" s="52"/>
      <c r="N81" s="54"/>
      <c r="O81" s="46"/>
      <c r="P81" s="46"/>
      <c r="Q81" s="46"/>
      <c r="R81" s="48"/>
      <c r="S81" s="97"/>
      <c r="T81" s="50"/>
      <c r="U81" s="49"/>
      <c r="V81" s="5"/>
      <c r="W81" s="5"/>
      <c r="X81" s="5"/>
      <c r="Y81" s="5"/>
      <c r="Z81" s="5"/>
      <c r="AA81" s="5"/>
      <c r="AB81" s="5"/>
      <c r="AC81" s="5"/>
      <c r="AD81" s="5"/>
      <c r="AE81" s="5"/>
      <c r="AF81" s="5"/>
      <c r="AG81" s="5"/>
      <c r="AH81" s="5"/>
    </row>
    <row r="82" spans="1:34" ht="19.5" customHeight="1">
      <c r="A82" s="16"/>
      <c r="B82" s="207" t="s">
        <v>195</v>
      </c>
      <c r="C82" s="207">
        <v>22</v>
      </c>
      <c r="D82" s="207">
        <v>25</v>
      </c>
      <c r="E82" s="207">
        <v>22</v>
      </c>
      <c r="F82" s="207">
        <v>15.5</v>
      </c>
      <c r="G82" s="207">
        <v>0.108</v>
      </c>
      <c r="H82" s="228">
        <v>13</v>
      </c>
      <c r="I82" s="4"/>
      <c r="J82" s="53"/>
      <c r="K82" s="45"/>
      <c r="L82" s="52"/>
      <c r="M82" s="52"/>
      <c r="N82" s="45"/>
      <c r="O82" s="47"/>
      <c r="P82" s="47"/>
      <c r="Q82" s="47"/>
      <c r="R82" s="48"/>
      <c r="S82" s="97"/>
      <c r="T82" s="50"/>
      <c r="U82" s="49"/>
      <c r="V82" s="5"/>
      <c r="W82" s="5"/>
      <c r="X82" s="5"/>
      <c r="Y82" s="5"/>
      <c r="Z82" s="5"/>
      <c r="AA82" s="5"/>
      <c r="AB82" s="5"/>
      <c r="AC82" s="5"/>
      <c r="AD82" s="5"/>
      <c r="AE82" s="5"/>
      <c r="AF82" s="5"/>
      <c r="AG82" s="5"/>
      <c r="AH82" s="5"/>
    </row>
    <row r="83" spans="1:34" ht="19.5" customHeight="1">
      <c r="A83" s="16"/>
      <c r="B83" s="225" t="s">
        <v>196</v>
      </c>
      <c r="C83" s="225">
        <v>28</v>
      </c>
      <c r="D83" s="225">
        <v>34</v>
      </c>
      <c r="E83" s="225">
        <v>28</v>
      </c>
      <c r="F83" s="225">
        <v>9.48</v>
      </c>
      <c r="G83" s="225">
        <v>0.1007</v>
      </c>
      <c r="H83" s="229">
        <v>15</v>
      </c>
      <c r="I83" s="4"/>
      <c r="J83" s="53"/>
      <c r="K83" s="45"/>
      <c r="L83" s="52"/>
      <c r="M83" s="52"/>
      <c r="N83" s="47"/>
      <c r="O83" s="47"/>
      <c r="P83" s="47"/>
      <c r="Q83" s="47"/>
      <c r="R83" s="48"/>
      <c r="S83" s="97"/>
      <c r="T83" s="50"/>
      <c r="U83" s="49"/>
      <c r="V83" s="5"/>
      <c r="W83" s="5"/>
      <c r="X83" s="5"/>
      <c r="Y83" s="5"/>
      <c r="Z83" s="5"/>
      <c r="AA83" s="5"/>
      <c r="AB83" s="5"/>
      <c r="AC83" s="5"/>
      <c r="AD83" s="5"/>
      <c r="AE83" s="5"/>
      <c r="AF83" s="5"/>
      <c r="AG83" s="5"/>
      <c r="AH83" s="5"/>
    </row>
    <row r="84" spans="1:34" ht="19.5" customHeight="1">
      <c r="A84" s="16"/>
      <c r="B84" s="225" t="s">
        <v>197</v>
      </c>
      <c r="C84" s="225">
        <v>38</v>
      </c>
      <c r="D84" s="225">
        <v>44</v>
      </c>
      <c r="E84" s="225">
        <v>37</v>
      </c>
      <c r="F84" s="225">
        <v>5.9</v>
      </c>
      <c r="G84" s="225">
        <v>9.4700000000000006E-2</v>
      </c>
      <c r="H84" s="229">
        <v>16</v>
      </c>
      <c r="I84" s="4"/>
      <c r="J84" s="53"/>
      <c r="K84" s="45"/>
      <c r="L84" s="52"/>
      <c r="M84" s="52"/>
      <c r="N84" s="52"/>
      <c r="O84" s="52"/>
      <c r="P84" s="52"/>
      <c r="Q84" s="52"/>
      <c r="R84" s="48"/>
      <c r="S84" s="97"/>
      <c r="T84" s="48"/>
      <c r="U84" s="49"/>
      <c r="V84" s="5"/>
      <c r="W84" s="5"/>
      <c r="X84" s="5"/>
      <c r="Y84" s="5"/>
      <c r="Z84" s="5"/>
      <c r="AA84" s="5"/>
      <c r="AB84" s="5"/>
      <c r="AC84" s="5"/>
      <c r="AD84" s="5"/>
      <c r="AE84" s="5"/>
      <c r="AF84" s="5"/>
      <c r="AG84" s="5"/>
      <c r="AH84" s="5"/>
    </row>
    <row r="85" spans="1:34" ht="19.5" customHeight="1">
      <c r="A85" s="16"/>
      <c r="B85" s="225" t="s">
        <v>198</v>
      </c>
      <c r="C85" s="225">
        <v>51</v>
      </c>
      <c r="D85" s="225">
        <v>55</v>
      </c>
      <c r="E85" s="225">
        <v>46</v>
      </c>
      <c r="F85" s="225">
        <v>3.94</v>
      </c>
      <c r="G85" s="225">
        <v>9.0200000000000002E-2</v>
      </c>
      <c r="H85" s="229">
        <v>18</v>
      </c>
      <c r="I85" s="4"/>
      <c r="J85" s="4"/>
      <c r="K85" s="4"/>
      <c r="L85" s="4"/>
      <c r="M85" s="4"/>
      <c r="N85" s="4"/>
      <c r="O85" s="4"/>
      <c r="P85" s="4"/>
      <c r="Q85" s="4"/>
      <c r="R85" s="4"/>
      <c r="S85" s="17"/>
      <c r="T85" s="4"/>
      <c r="U85" s="4"/>
      <c r="V85" s="5"/>
      <c r="W85" s="5"/>
      <c r="X85" s="5"/>
      <c r="Y85" s="5"/>
      <c r="Z85" s="5"/>
      <c r="AA85" s="5"/>
      <c r="AB85" s="5"/>
      <c r="AC85" s="5"/>
      <c r="AD85" s="5"/>
      <c r="AE85" s="5"/>
      <c r="AF85" s="5"/>
      <c r="AG85" s="5"/>
      <c r="AH85" s="5"/>
    </row>
    <row r="86" spans="1:34" ht="19.5" customHeight="1">
      <c r="A86" s="16"/>
      <c r="B86" s="225" t="s">
        <v>199</v>
      </c>
      <c r="C86" s="225">
        <v>60</v>
      </c>
      <c r="D86" s="225">
        <v>57</v>
      </c>
      <c r="E86" s="225">
        <v>48</v>
      </c>
      <c r="F86" s="225">
        <v>3.94</v>
      </c>
      <c r="G86" s="225">
        <v>8.5199999999999998E-2</v>
      </c>
      <c r="H86" s="229">
        <v>20</v>
      </c>
      <c r="I86" s="4"/>
      <c r="J86" s="4"/>
      <c r="K86" s="4"/>
      <c r="L86" s="4"/>
      <c r="M86" s="4"/>
      <c r="N86" s="4"/>
      <c r="O86" s="4"/>
      <c r="P86" s="4"/>
      <c r="Q86" s="4"/>
      <c r="R86" s="4"/>
      <c r="S86" s="17"/>
      <c r="T86" s="4"/>
      <c r="U86" s="4"/>
      <c r="V86" s="5"/>
      <c r="W86" s="5"/>
      <c r="X86" s="5"/>
      <c r="Y86" s="5"/>
      <c r="Z86" s="5"/>
      <c r="AA86" s="5"/>
      <c r="AB86" s="5"/>
      <c r="AC86" s="5"/>
      <c r="AD86" s="5"/>
      <c r="AE86" s="5"/>
      <c r="AF86" s="5"/>
      <c r="AG86" s="5"/>
      <c r="AH86" s="5"/>
    </row>
    <row r="87" spans="1:34" ht="19.5" customHeight="1">
      <c r="A87" s="16"/>
      <c r="B87" s="225" t="s">
        <v>200</v>
      </c>
      <c r="C87" s="225">
        <v>70</v>
      </c>
      <c r="D87" s="225">
        <v>73</v>
      </c>
      <c r="E87" s="225">
        <v>61</v>
      </c>
      <c r="F87" s="225">
        <v>2.44</v>
      </c>
      <c r="G87" s="225">
        <v>8.1500000000000003E-2</v>
      </c>
      <c r="H87" s="229">
        <v>20</v>
      </c>
      <c r="I87" s="4"/>
      <c r="J87" s="4"/>
      <c r="K87" s="4"/>
      <c r="L87" s="4"/>
      <c r="M87" s="4"/>
      <c r="N87" s="4"/>
      <c r="O87" s="4"/>
      <c r="P87" s="4"/>
      <c r="Q87" s="4"/>
      <c r="R87" s="4"/>
      <c r="S87" s="17"/>
      <c r="T87" s="4"/>
      <c r="U87" s="4"/>
      <c r="V87" s="5"/>
      <c r="W87" s="5"/>
      <c r="X87" s="5"/>
      <c r="Y87" s="5"/>
      <c r="Z87" s="5"/>
      <c r="AA87" s="5"/>
      <c r="AB87" s="5"/>
      <c r="AC87" s="5"/>
      <c r="AD87" s="5"/>
      <c r="AE87" s="5"/>
      <c r="AF87" s="5"/>
      <c r="AG87" s="5"/>
      <c r="AH87" s="5"/>
    </row>
    <row r="88" spans="1:34" ht="19.5" customHeight="1">
      <c r="A88" s="16"/>
      <c r="B88" s="225" t="s">
        <v>201</v>
      </c>
      <c r="C88" s="225">
        <v>95</v>
      </c>
      <c r="D88" s="225">
        <v>96</v>
      </c>
      <c r="E88" s="225">
        <v>80</v>
      </c>
      <c r="F88" s="225">
        <v>1.54</v>
      </c>
      <c r="G88" s="225">
        <v>8.1600000000000006E-2</v>
      </c>
      <c r="H88" s="229">
        <v>24</v>
      </c>
      <c r="I88" s="4"/>
      <c r="J88" s="4"/>
      <c r="K88" s="4"/>
      <c r="L88" s="4"/>
      <c r="M88" s="4"/>
      <c r="N88" s="4"/>
      <c r="O88" s="4"/>
      <c r="P88" s="4"/>
      <c r="Q88" s="4"/>
      <c r="R88" s="4"/>
      <c r="S88" s="17"/>
      <c r="T88" s="4"/>
      <c r="U88" s="4"/>
      <c r="V88" s="5"/>
      <c r="W88" s="5"/>
      <c r="X88" s="5"/>
      <c r="Y88" s="5"/>
      <c r="Z88" s="5"/>
      <c r="AA88" s="5"/>
      <c r="AB88" s="5"/>
      <c r="AC88" s="5"/>
      <c r="AD88" s="5"/>
      <c r="AE88" s="5"/>
      <c r="AF88" s="5"/>
      <c r="AG88" s="5"/>
      <c r="AH88" s="5"/>
    </row>
    <row r="89" spans="1:34" ht="19.5" customHeight="1">
      <c r="A89" s="16"/>
      <c r="B89" s="225" t="s">
        <v>202</v>
      </c>
      <c r="C89" s="225">
        <v>117</v>
      </c>
      <c r="D89" s="225">
        <v>115</v>
      </c>
      <c r="E89" s="225">
        <v>96</v>
      </c>
      <c r="F89" s="225">
        <v>1.1100000000000001</v>
      </c>
      <c r="G89" s="225">
        <v>7.9399999999999998E-2</v>
      </c>
      <c r="H89" s="229">
        <v>26</v>
      </c>
      <c r="I89" s="4"/>
      <c r="J89" s="4"/>
      <c r="K89" s="4"/>
      <c r="L89" s="4"/>
      <c r="M89" s="4"/>
      <c r="N89" s="4"/>
      <c r="O89" s="4"/>
      <c r="P89" s="4"/>
      <c r="Q89" s="4"/>
      <c r="R89" s="4"/>
      <c r="S89" s="17"/>
      <c r="T89" s="4"/>
      <c r="U89" s="4"/>
      <c r="V89" s="5"/>
      <c r="W89" s="5"/>
      <c r="X89" s="5"/>
      <c r="Y89" s="5"/>
      <c r="Z89" s="5"/>
      <c r="AA89" s="5"/>
      <c r="AB89" s="5"/>
      <c r="AC89" s="5"/>
      <c r="AD89" s="5"/>
      <c r="AE89" s="5"/>
      <c r="AF89" s="5"/>
      <c r="AG89" s="5"/>
      <c r="AH89" s="5"/>
    </row>
    <row r="90" spans="1:34" ht="19.5" customHeight="1">
      <c r="A90" s="16"/>
      <c r="B90" s="225" t="s">
        <v>203</v>
      </c>
      <c r="C90" s="225">
        <v>141</v>
      </c>
      <c r="D90" s="225">
        <v>134</v>
      </c>
      <c r="E90" s="225">
        <v>116</v>
      </c>
      <c r="F90" s="225">
        <v>0.82</v>
      </c>
      <c r="G90" s="225">
        <v>7.9200000000000007E-2</v>
      </c>
      <c r="H90" s="229">
        <v>29</v>
      </c>
      <c r="I90" s="4"/>
      <c r="J90" s="4"/>
      <c r="K90" s="4"/>
      <c r="L90" s="4"/>
      <c r="M90" s="4"/>
      <c r="N90" s="4"/>
      <c r="O90" s="4"/>
      <c r="P90" s="4"/>
      <c r="Q90" s="4"/>
      <c r="R90" s="4"/>
      <c r="S90" s="17"/>
      <c r="T90" s="4"/>
      <c r="U90" s="4"/>
      <c r="V90" s="5"/>
      <c r="W90" s="5"/>
      <c r="X90" s="5"/>
      <c r="Y90" s="5"/>
      <c r="Z90" s="5"/>
      <c r="AA90" s="5"/>
      <c r="AB90" s="5"/>
      <c r="AC90" s="5"/>
      <c r="AD90" s="5"/>
      <c r="AE90" s="5"/>
      <c r="AF90" s="5"/>
      <c r="AG90" s="5"/>
      <c r="AH90" s="5"/>
    </row>
    <row r="91" spans="1:34" ht="19.5" customHeight="1">
      <c r="A91" s="16"/>
      <c r="B91" s="225" t="s">
        <v>204</v>
      </c>
      <c r="C91" s="225">
        <v>177</v>
      </c>
      <c r="D91" s="225">
        <v>165</v>
      </c>
      <c r="E91" s="225">
        <v>141</v>
      </c>
      <c r="F91" s="225">
        <v>0.56699999999999995</v>
      </c>
      <c r="G91" s="225">
        <v>7.5200000000000003E-2</v>
      </c>
      <c r="H91" s="229">
        <v>33</v>
      </c>
      <c r="I91" s="4"/>
      <c r="J91" s="4"/>
      <c r="K91" s="4"/>
      <c r="L91" s="4"/>
      <c r="M91" s="4"/>
      <c r="N91" s="4"/>
      <c r="O91" s="4"/>
      <c r="P91" s="4"/>
      <c r="Q91" s="4"/>
      <c r="R91" s="4"/>
      <c r="S91" s="17"/>
      <c r="T91" s="4"/>
      <c r="U91" s="4"/>
      <c r="V91" s="5"/>
      <c r="W91" s="5"/>
      <c r="X91" s="5"/>
      <c r="Y91" s="5"/>
      <c r="Z91" s="5"/>
      <c r="AA91" s="5"/>
      <c r="AB91" s="5"/>
      <c r="AC91" s="5"/>
      <c r="AD91" s="5"/>
      <c r="AE91" s="5"/>
      <c r="AF91" s="5"/>
      <c r="AG91" s="5"/>
      <c r="AH91" s="5"/>
    </row>
    <row r="101" spans="11:24">
      <c r="K101" s="2"/>
      <c r="L101" s="2"/>
      <c r="M101" s="2"/>
      <c r="N101" s="2"/>
      <c r="S101" s="2"/>
      <c r="T101" s="2"/>
      <c r="U101" s="2"/>
      <c r="V101" s="2"/>
      <c r="W101" s="2"/>
      <c r="X101" s="2"/>
    </row>
    <row r="102" spans="11:24">
      <c r="K102" s="2"/>
      <c r="L102" s="2"/>
      <c r="M102" s="2"/>
      <c r="N102" s="2"/>
      <c r="S102" s="2"/>
      <c r="T102" s="2"/>
      <c r="U102" s="2"/>
      <c r="V102" s="2"/>
      <c r="W102" s="2"/>
      <c r="X102" s="2"/>
    </row>
    <row r="103" spans="11:24">
      <c r="K103" s="2"/>
      <c r="L103" s="2"/>
      <c r="M103" s="2"/>
      <c r="N103" s="2"/>
      <c r="S103" s="2"/>
      <c r="T103" s="2"/>
      <c r="U103" s="2"/>
      <c r="V103" s="2"/>
      <c r="W103" s="2"/>
      <c r="X103" s="2"/>
    </row>
    <row r="104" spans="11:24" ht="15" customHeight="1">
      <c r="K104" s="2"/>
      <c r="L104" s="2"/>
      <c r="M104" s="2"/>
      <c r="N104" s="2"/>
      <c r="S104" s="2"/>
      <c r="T104" s="2"/>
      <c r="U104" s="2"/>
      <c r="V104" s="2"/>
      <c r="W104" s="2"/>
      <c r="X104" s="2"/>
    </row>
    <row r="105" spans="11:24">
      <c r="K105" s="2"/>
      <c r="L105" s="2"/>
      <c r="M105" s="2"/>
      <c r="N105" s="2"/>
      <c r="S105" s="2"/>
      <c r="T105" s="2"/>
      <c r="U105" s="2"/>
      <c r="V105" s="2"/>
      <c r="W105" s="2"/>
      <c r="X105" s="2"/>
    </row>
    <row r="106" spans="11:24">
      <c r="K106" s="2"/>
      <c r="L106" s="2"/>
      <c r="M106" s="2"/>
      <c r="N106" s="2"/>
      <c r="S106" s="2"/>
      <c r="T106" s="2"/>
      <c r="U106" s="2"/>
      <c r="V106" s="2"/>
      <c r="W106" s="2"/>
      <c r="X106" s="2"/>
    </row>
    <row r="107" spans="11:24">
      <c r="K107" s="2"/>
      <c r="L107" s="2"/>
      <c r="M107" s="2"/>
      <c r="N107" s="2"/>
      <c r="S107" s="2"/>
      <c r="T107" s="2"/>
      <c r="U107" s="2"/>
      <c r="V107" s="2"/>
      <c r="W107" s="2"/>
      <c r="X107" s="2"/>
    </row>
    <row r="108" spans="11:24">
      <c r="K108" s="2"/>
      <c r="L108" s="2"/>
      <c r="M108" s="2"/>
      <c r="N108" s="2"/>
      <c r="S108" s="2"/>
      <c r="T108" s="2"/>
      <c r="U108" s="2"/>
      <c r="V108" s="2"/>
      <c r="W108" s="2"/>
      <c r="X108" s="2"/>
    </row>
    <row r="109" spans="11:24">
      <c r="K109" s="2"/>
      <c r="L109" s="2"/>
      <c r="M109" s="2"/>
      <c r="N109" s="2"/>
      <c r="S109" s="2"/>
      <c r="T109" s="2"/>
      <c r="U109" s="2"/>
      <c r="V109" s="2"/>
      <c r="W109" s="2"/>
      <c r="X109" s="2"/>
    </row>
    <row r="110" spans="11:24">
      <c r="K110" s="2"/>
      <c r="L110" s="2"/>
      <c r="M110" s="2"/>
      <c r="N110" s="2"/>
      <c r="S110" s="2"/>
      <c r="T110" s="2"/>
      <c r="U110" s="2"/>
      <c r="V110" s="2"/>
      <c r="W110" s="2"/>
      <c r="X110" s="2"/>
    </row>
    <row r="111" spans="11:24">
      <c r="K111" s="2"/>
      <c r="L111" s="2"/>
      <c r="M111" s="2"/>
      <c r="N111" s="2"/>
      <c r="S111" s="2"/>
      <c r="T111" s="2"/>
      <c r="U111" s="2"/>
      <c r="V111" s="2"/>
      <c r="W111" s="2"/>
      <c r="X111" s="2"/>
    </row>
    <row r="112" spans="11:24">
      <c r="K112" s="2"/>
      <c r="L112" s="2"/>
      <c r="M112" s="2"/>
      <c r="N112" s="2"/>
      <c r="S112" s="2"/>
      <c r="T112" s="2"/>
      <c r="U112" s="2"/>
      <c r="V112" s="2"/>
      <c r="W112" s="2"/>
      <c r="X112" s="2"/>
    </row>
  </sheetData>
  <mergeCells count="44">
    <mergeCell ref="AN5:AN6"/>
    <mergeCell ref="AL9:AL10"/>
    <mergeCell ref="AJ9:AJ10"/>
    <mergeCell ref="Q7:S7"/>
    <mergeCell ref="AN9:AN10"/>
    <mergeCell ref="C7:E7"/>
    <mergeCell ref="O7:P7"/>
    <mergeCell ref="H7:H8"/>
    <mergeCell ref="L7:M7"/>
    <mergeCell ref="F7:F8"/>
    <mergeCell ref="N7:N8"/>
    <mergeCell ref="J7:J8"/>
    <mergeCell ref="K7:K8"/>
    <mergeCell ref="I7:I8"/>
    <mergeCell ref="AP9:AP10"/>
    <mergeCell ref="B17:B18"/>
    <mergeCell ref="N74:N75"/>
    <mergeCell ref="O74:P74"/>
    <mergeCell ref="C80:E80"/>
    <mergeCell ref="F80:F81"/>
    <mergeCell ref="G80:G81"/>
    <mergeCell ref="I9:I10"/>
    <mergeCell ref="B3:F3"/>
    <mergeCell ref="H38:H39"/>
    <mergeCell ref="B38:B39"/>
    <mergeCell ref="C38:E38"/>
    <mergeCell ref="F38:F39"/>
    <mergeCell ref="G38:G39"/>
    <mergeCell ref="B59:B60"/>
    <mergeCell ref="C59:E59"/>
    <mergeCell ref="F59:F60"/>
    <mergeCell ref="G59:G60"/>
    <mergeCell ref="B80:B81"/>
    <mergeCell ref="H80:H81"/>
    <mergeCell ref="H59:H60"/>
    <mergeCell ref="B4:D4"/>
    <mergeCell ref="B7:B8"/>
    <mergeCell ref="G7:G8"/>
    <mergeCell ref="L74:M74"/>
    <mergeCell ref="C17:E17"/>
    <mergeCell ref="F17:F18"/>
    <mergeCell ref="G17:G18"/>
    <mergeCell ref="H17:H18"/>
    <mergeCell ref="K74:K75"/>
  </mergeCells>
  <pageMargins left="0.7" right="0.7" top="0.75" bottom="0.75" header="0.3" footer="0.3"/>
  <pageSetup paperSize="9" scale="3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1FFD-875C-486E-8B4A-2B4F0C0B755A}">
  <sheetPr codeName="Sheet7">
    <tabColor rgb="FFFFFF00"/>
  </sheetPr>
  <dimension ref="E2:L35"/>
  <sheetViews>
    <sheetView zoomScale="130" zoomScaleNormal="130" workbookViewId="0">
      <selection activeCell="M21" sqref="M21"/>
    </sheetView>
  </sheetViews>
  <sheetFormatPr defaultRowHeight="12.5"/>
  <cols>
    <col min="7" max="7" width="9.1796875" style="114"/>
    <col min="8" max="8" width="24.26953125" style="114" customWidth="1"/>
  </cols>
  <sheetData>
    <row r="2" spans="5:12">
      <c r="E2" t="s">
        <v>322</v>
      </c>
      <c r="F2">
        <v>88</v>
      </c>
      <c r="G2" s="114">
        <v>24</v>
      </c>
      <c r="I2">
        <f>F2*G2</f>
        <v>2112</v>
      </c>
      <c r="J2">
        <f>I2*1.2</f>
        <v>2534.4</v>
      </c>
      <c r="L2" t="s">
        <v>323</v>
      </c>
    </row>
    <row r="3" spans="5:12">
      <c r="E3" t="s">
        <v>324</v>
      </c>
      <c r="F3">
        <v>86</v>
      </c>
      <c r="G3" s="114">
        <v>7</v>
      </c>
      <c r="I3">
        <f>F3*G3</f>
        <v>602</v>
      </c>
      <c r="J3">
        <f>I3*1.2</f>
        <v>722.4</v>
      </c>
      <c r="L3" t="s">
        <v>323</v>
      </c>
    </row>
    <row r="7" spans="5:12">
      <c r="E7" t="s">
        <v>325</v>
      </c>
      <c r="F7">
        <v>88</v>
      </c>
      <c r="G7" s="114">
        <v>8</v>
      </c>
      <c r="I7">
        <f>F7*G7</f>
        <v>704</v>
      </c>
      <c r="J7">
        <f>I7*1.2</f>
        <v>844.8</v>
      </c>
      <c r="L7" t="s">
        <v>323</v>
      </c>
    </row>
    <row r="9" spans="5:12">
      <c r="E9" t="s">
        <v>324</v>
      </c>
      <c r="F9">
        <v>86</v>
      </c>
      <c r="G9" s="114">
        <v>7</v>
      </c>
      <c r="I9">
        <f>F9*G9</f>
        <v>602</v>
      </c>
      <c r="J9">
        <f>I9*1.2</f>
        <v>722.4</v>
      </c>
      <c r="L9" t="s">
        <v>323</v>
      </c>
    </row>
    <row r="12" spans="5:12">
      <c r="F12" s="327" t="s">
        <v>326</v>
      </c>
      <c r="G12" s="328"/>
      <c r="H12" s="328"/>
      <c r="I12" s="327"/>
      <c r="J12" s="327"/>
      <c r="K12" s="327"/>
    </row>
    <row r="13" spans="5:12">
      <c r="F13" s="327" t="s">
        <v>327</v>
      </c>
      <c r="G13" s="328"/>
      <c r="H13" s="328"/>
      <c r="I13" s="327"/>
      <c r="J13" s="327"/>
      <c r="K13" s="327"/>
    </row>
    <row r="14" spans="5:12">
      <c r="F14" s="329" t="s">
        <v>328</v>
      </c>
      <c r="G14" s="330">
        <f>((F2*24)+(F3*7))*1.2/600</f>
        <v>5.4279999999999999</v>
      </c>
      <c r="H14" s="330" t="s">
        <v>329</v>
      </c>
      <c r="I14" s="329" t="s">
        <v>330</v>
      </c>
      <c r="J14" s="329" t="s">
        <v>331</v>
      </c>
      <c r="K14" s="330">
        <v>6</v>
      </c>
    </row>
    <row r="15" spans="5:12">
      <c r="F15" s="329" t="s">
        <v>114</v>
      </c>
      <c r="G15" s="330">
        <v>1</v>
      </c>
      <c r="H15" s="330" t="s">
        <v>329</v>
      </c>
      <c r="I15" s="329" t="s">
        <v>330</v>
      </c>
      <c r="J15" s="329" t="s">
        <v>331</v>
      </c>
      <c r="K15" s="330">
        <v>1</v>
      </c>
    </row>
    <row r="16" spans="5:12">
      <c r="F16" s="329" t="s">
        <v>332</v>
      </c>
      <c r="G16" s="330">
        <v>1</v>
      </c>
      <c r="H16" s="330" t="s">
        <v>329</v>
      </c>
      <c r="I16" s="329" t="s">
        <v>333</v>
      </c>
      <c r="J16" s="329" t="s">
        <v>331</v>
      </c>
      <c r="K16" s="330">
        <v>1</v>
      </c>
    </row>
    <row r="17" spans="6:11">
      <c r="F17" s="329" t="s">
        <v>334</v>
      </c>
      <c r="G17" s="330">
        <v>2</v>
      </c>
      <c r="H17" s="330" t="s">
        <v>329</v>
      </c>
      <c r="I17" s="329" t="s">
        <v>333</v>
      </c>
      <c r="J17" s="329" t="s">
        <v>331</v>
      </c>
      <c r="K17" s="330">
        <v>2</v>
      </c>
    </row>
    <row r="18" spans="6:11">
      <c r="F18" s="329"/>
      <c r="G18" s="330"/>
      <c r="H18" s="330"/>
      <c r="I18" s="329"/>
      <c r="J18" s="329"/>
      <c r="K18" s="329"/>
    </row>
    <row r="19" spans="6:11">
      <c r="F19" s="327" t="s">
        <v>335</v>
      </c>
      <c r="G19" s="328"/>
      <c r="H19" s="328"/>
      <c r="I19" s="327"/>
      <c r="J19" s="327"/>
      <c r="K19" s="327"/>
    </row>
    <row r="20" spans="6:11">
      <c r="F20" s="329" t="s">
        <v>328</v>
      </c>
      <c r="G20" s="330">
        <f>((F2*8)+(F3*7))*1.2/600</f>
        <v>2.6120000000000001</v>
      </c>
      <c r="H20" s="330" t="s">
        <v>329</v>
      </c>
      <c r="I20" s="329" t="s">
        <v>330</v>
      </c>
      <c r="J20" s="329" t="s">
        <v>331</v>
      </c>
      <c r="K20" s="330">
        <v>3</v>
      </c>
    </row>
    <row r="21" spans="6:11">
      <c r="F21" s="329" t="s">
        <v>114</v>
      </c>
      <c r="G21" s="330">
        <v>1</v>
      </c>
      <c r="H21" s="330" t="s">
        <v>329</v>
      </c>
      <c r="I21" s="329" t="s">
        <v>330</v>
      </c>
      <c r="J21" s="329" t="s">
        <v>331</v>
      </c>
      <c r="K21" s="330">
        <v>1</v>
      </c>
    </row>
    <row r="22" spans="6:11">
      <c r="F22" s="329" t="s">
        <v>332</v>
      </c>
      <c r="G22" s="330">
        <v>1</v>
      </c>
      <c r="H22" s="330" t="s">
        <v>329</v>
      </c>
      <c r="I22" s="329" t="s">
        <v>333</v>
      </c>
      <c r="J22" s="329" t="s">
        <v>331</v>
      </c>
      <c r="K22" s="330">
        <v>1</v>
      </c>
    </row>
    <row r="23" spans="6:11">
      <c r="F23" s="329" t="s">
        <v>334</v>
      </c>
      <c r="G23" s="330">
        <v>2</v>
      </c>
      <c r="H23" s="330" t="s">
        <v>329</v>
      </c>
      <c r="I23" s="329" t="s">
        <v>333</v>
      </c>
      <c r="J23" s="329" t="s">
        <v>331</v>
      </c>
      <c r="K23" s="330">
        <v>2</v>
      </c>
    </row>
    <row r="24" spans="6:11">
      <c r="F24" s="329"/>
      <c r="G24" s="330"/>
      <c r="H24" s="330"/>
      <c r="I24" s="329"/>
      <c r="J24" s="329"/>
      <c r="K24" s="329"/>
    </row>
    <row r="25" spans="6:11">
      <c r="F25" s="327" t="s">
        <v>336</v>
      </c>
      <c r="G25" s="328"/>
      <c r="H25" s="328"/>
      <c r="I25" s="327"/>
      <c r="J25" s="327"/>
      <c r="K25" s="327"/>
    </row>
    <row r="26" spans="6:11">
      <c r="F26" s="329" t="s">
        <v>328</v>
      </c>
      <c r="G26" s="330">
        <f>((F2*16))*1.2/600</f>
        <v>2.8159999999999998</v>
      </c>
      <c r="H26" s="330" t="s">
        <v>329</v>
      </c>
      <c r="I26" s="329" t="s">
        <v>330</v>
      </c>
      <c r="J26" s="329" t="s">
        <v>331</v>
      </c>
      <c r="K26" s="330">
        <v>3</v>
      </c>
    </row>
    <row r="27" spans="6:11">
      <c r="F27" s="329" t="s">
        <v>114</v>
      </c>
      <c r="G27" s="330">
        <v>1</v>
      </c>
      <c r="H27" s="330" t="s">
        <v>329</v>
      </c>
      <c r="I27" s="329" t="s">
        <v>330</v>
      </c>
      <c r="J27" s="329" t="s">
        <v>331</v>
      </c>
      <c r="K27" s="330">
        <v>1</v>
      </c>
    </row>
    <row r="28" spans="6:11">
      <c r="F28" s="329" t="s">
        <v>332</v>
      </c>
      <c r="G28" s="330">
        <v>1</v>
      </c>
      <c r="H28" s="330" t="s">
        <v>329</v>
      </c>
      <c r="I28" s="329" t="s">
        <v>333</v>
      </c>
      <c r="J28" s="329" t="s">
        <v>331</v>
      </c>
      <c r="K28" s="330">
        <v>1</v>
      </c>
    </row>
    <row r="29" spans="6:11">
      <c r="F29" s="329" t="s">
        <v>334</v>
      </c>
      <c r="G29" s="330">
        <v>2</v>
      </c>
      <c r="H29" s="330" t="s">
        <v>329</v>
      </c>
      <c r="I29" s="329" t="s">
        <v>333</v>
      </c>
      <c r="J29" s="329" t="s">
        <v>331</v>
      </c>
      <c r="K29" s="330">
        <v>2</v>
      </c>
    </row>
    <row r="30" spans="6:11">
      <c r="F30" s="329"/>
      <c r="G30" s="330"/>
      <c r="H30" s="330"/>
      <c r="I30" s="329"/>
      <c r="J30" s="329"/>
      <c r="K30" s="329"/>
    </row>
    <row r="31" spans="6:11">
      <c r="F31" s="327" t="s">
        <v>337</v>
      </c>
      <c r="G31" s="328"/>
      <c r="H31" s="328"/>
      <c r="I31" s="327"/>
      <c r="J31" s="327"/>
      <c r="K31" s="327"/>
    </row>
    <row r="32" spans="6:11">
      <c r="F32" s="329" t="s">
        <v>328</v>
      </c>
      <c r="G32" s="330">
        <f>(($F$2*8))*1.2/600</f>
        <v>1.4079999999999999</v>
      </c>
      <c r="H32" s="330" t="s">
        <v>338</v>
      </c>
      <c r="I32" s="329" t="s">
        <v>330</v>
      </c>
      <c r="J32" s="329" t="s">
        <v>331</v>
      </c>
      <c r="K32" s="330">
        <v>2</v>
      </c>
    </row>
    <row r="33" spans="6:11">
      <c r="F33" s="329" t="s">
        <v>114</v>
      </c>
      <c r="G33" s="330">
        <v>1</v>
      </c>
      <c r="H33" s="330" t="s">
        <v>338</v>
      </c>
      <c r="I33" s="329" t="s">
        <v>330</v>
      </c>
      <c r="J33" s="329" t="s">
        <v>331</v>
      </c>
      <c r="K33" s="330">
        <v>1</v>
      </c>
    </row>
    <row r="34" spans="6:11">
      <c r="F34" s="329" t="s">
        <v>332</v>
      </c>
      <c r="G34" s="330">
        <v>1</v>
      </c>
      <c r="H34" s="330" t="s">
        <v>338</v>
      </c>
      <c r="I34" s="329" t="s">
        <v>333</v>
      </c>
      <c r="J34" s="329" t="s">
        <v>331</v>
      </c>
      <c r="K34" s="330">
        <v>1</v>
      </c>
    </row>
    <row r="35" spans="6:11">
      <c r="F35" s="329" t="s">
        <v>334</v>
      </c>
      <c r="G35" s="330">
        <v>2</v>
      </c>
      <c r="H35" s="330" t="s">
        <v>338</v>
      </c>
      <c r="I35" s="329" t="s">
        <v>333</v>
      </c>
      <c r="J35" s="329" t="s">
        <v>331</v>
      </c>
      <c r="K35" s="330">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3586-BE0F-4F76-9F0C-2204AFCB2C79}">
  <sheetPr codeName="Sheet8" filterMode="1">
    <tabColor rgb="FFFFFF00"/>
    <pageSetUpPr fitToPage="1"/>
  </sheetPr>
  <dimension ref="A1:AY574"/>
  <sheetViews>
    <sheetView tabSelected="1" view="pageBreakPreview" zoomScale="55" zoomScaleNormal="70" zoomScaleSheetLayoutView="55" zoomScalePageLayoutView="70" workbookViewId="0">
      <pane xSplit="5" ySplit="10" topLeftCell="F11" activePane="bottomRight" state="frozen"/>
      <selection pane="topRight" activeCell="F1" sqref="F1"/>
      <selection pane="bottomLeft" activeCell="A11" sqref="A11"/>
      <selection pane="bottomRight" activeCell="BE13" sqref="BE13"/>
    </sheetView>
  </sheetViews>
  <sheetFormatPr defaultColWidth="9.1796875" defaultRowHeight="14"/>
  <cols>
    <col min="1" max="1" width="6.453125" style="58" customWidth="1"/>
    <col min="2" max="3" width="21.1796875" style="58" customWidth="1"/>
    <col min="4" max="4" width="54.54296875" style="60" customWidth="1"/>
    <col min="5" max="5" width="35.54296875" style="60" customWidth="1"/>
    <col min="6" max="6" width="10.26953125" style="59" customWidth="1"/>
    <col min="7" max="7" width="11.7265625" style="58" customWidth="1"/>
    <col min="8" max="8" width="12.81640625" style="58" customWidth="1"/>
    <col min="9" max="9" width="7.1796875" style="58" customWidth="1"/>
    <col min="10" max="10" width="8.81640625" style="58" customWidth="1"/>
    <col min="11" max="11" width="13.453125" style="58" customWidth="1"/>
    <col min="12" max="12" width="10.54296875" style="58" customWidth="1"/>
    <col min="13" max="13" width="9.81640625" style="58" customWidth="1"/>
    <col min="14" max="14" width="12.1796875" style="73" customWidth="1"/>
    <col min="15" max="15" width="9.54296875" style="58" customWidth="1"/>
    <col min="16" max="16" width="9.7265625" style="58" customWidth="1"/>
    <col min="17" max="17" width="13.54296875" style="58" customWidth="1"/>
    <col min="18" max="18" width="12.54296875" style="58" customWidth="1"/>
    <col min="19" max="19" width="15.453125" style="58" customWidth="1"/>
    <col min="20" max="20" width="9.1796875" style="58" customWidth="1"/>
    <col min="21" max="21" width="8.81640625" style="58" customWidth="1"/>
    <col min="22" max="22" width="8" style="58" customWidth="1"/>
    <col min="23" max="23" width="11.26953125" style="58" customWidth="1"/>
    <col min="24" max="24" width="15.26953125" style="58" customWidth="1"/>
    <col min="25" max="25" width="9.7265625" style="58" customWidth="1"/>
    <col min="26" max="26" width="10.81640625" style="58" customWidth="1"/>
    <col min="27" max="27" width="12.7265625" style="58" customWidth="1"/>
    <col min="28" max="28" width="10.54296875" style="58" customWidth="1"/>
    <col min="29" max="29" width="11.81640625" style="69" customWidth="1"/>
    <col min="30" max="30" width="12.26953125" style="69" customWidth="1"/>
    <col min="31" max="31" width="11" style="69" customWidth="1"/>
    <col min="32" max="32" width="12.453125" style="69" customWidth="1"/>
    <col min="33" max="33" width="7.54296875" style="69" customWidth="1"/>
    <col min="34" max="34" width="12" style="58" customWidth="1"/>
    <col min="35" max="35" width="14" style="58" hidden="1" customWidth="1"/>
    <col min="36" max="36" width="11.453125" style="58" hidden="1" customWidth="1"/>
    <col min="37" max="37" width="14.453125" style="58" hidden="1" customWidth="1"/>
    <col min="38" max="38" width="9" style="58" hidden="1" customWidth="1"/>
    <col min="39" max="39" width="12" style="58" hidden="1" customWidth="1"/>
    <col min="40" max="40" width="12.1796875" style="58" customWidth="1"/>
    <col min="41" max="41" width="11.453125" style="58" customWidth="1"/>
    <col min="42" max="42" width="6.54296875" style="58" customWidth="1"/>
    <col min="43" max="43" width="13" style="58" customWidth="1"/>
    <col min="44" max="45" width="14" style="58" customWidth="1"/>
    <col min="46" max="46" width="13.81640625" style="58" customWidth="1"/>
    <col min="47" max="47" width="18.7265625" style="58" customWidth="1"/>
    <col min="48" max="49" width="35.7265625" style="58" customWidth="1"/>
    <col min="50" max="50" width="10.54296875" style="58" customWidth="1"/>
    <col min="51" max="51" width="20.7265625" style="58" customWidth="1"/>
    <col min="52" max="16384" width="9.1796875" style="58"/>
  </cols>
  <sheetData>
    <row r="1" spans="1:51" ht="24.75" customHeight="1">
      <c r="A1" s="668"/>
      <c r="B1" s="668"/>
      <c r="C1" s="668"/>
      <c r="D1" s="669"/>
      <c r="E1" s="669"/>
      <c r="F1" s="668"/>
      <c r="G1" s="668"/>
      <c r="H1" s="668"/>
      <c r="I1" s="668"/>
      <c r="J1" s="668"/>
      <c r="K1" s="668"/>
      <c r="L1" s="670"/>
      <c r="M1" s="670"/>
      <c r="N1" s="670"/>
      <c r="O1" s="670"/>
      <c r="P1" s="670"/>
      <c r="Q1" s="670"/>
      <c r="R1" s="670"/>
      <c r="S1" s="670"/>
      <c r="T1" s="670"/>
      <c r="U1" s="670"/>
      <c r="V1" s="670"/>
      <c r="W1" s="670"/>
      <c r="X1" s="670"/>
      <c r="Y1" s="670"/>
      <c r="Z1" s="670"/>
      <c r="AA1" s="670"/>
      <c r="AB1" s="670"/>
      <c r="AC1" s="671"/>
      <c r="AD1" s="671"/>
      <c r="AE1" s="671"/>
      <c r="AF1" s="671"/>
      <c r="AG1" s="671"/>
      <c r="AH1" s="670"/>
      <c r="AI1" s="670"/>
      <c r="AJ1" s="670"/>
      <c r="AK1" s="670"/>
      <c r="AL1" s="670"/>
      <c r="AM1" s="670"/>
      <c r="AN1" s="670"/>
      <c r="AO1" s="670"/>
      <c r="AP1" s="670"/>
      <c r="AQ1" s="670"/>
      <c r="AR1" s="670"/>
      <c r="AS1" s="670"/>
      <c r="AT1" s="668"/>
      <c r="AU1" s="668"/>
      <c r="AV1" s="668"/>
    </row>
    <row r="2" spans="1:51" ht="30.75" customHeight="1">
      <c r="A2" s="672" t="s">
        <v>935</v>
      </c>
      <c r="B2" s="672"/>
      <c r="C2" s="672"/>
      <c r="D2" s="673"/>
      <c r="E2" s="673"/>
      <c r="F2" s="672"/>
      <c r="G2" s="672"/>
      <c r="H2" s="672"/>
      <c r="I2" s="672"/>
      <c r="J2" s="672"/>
      <c r="K2" s="672"/>
      <c r="L2" s="672"/>
      <c r="M2" s="672"/>
      <c r="N2" s="672"/>
      <c r="O2" s="672"/>
      <c r="P2" s="672"/>
      <c r="Q2" s="672"/>
      <c r="R2" s="672"/>
      <c r="S2" s="672"/>
      <c r="T2" s="672"/>
      <c r="U2" s="672"/>
      <c r="V2" s="672"/>
      <c r="W2" s="672"/>
      <c r="X2" s="672"/>
      <c r="Y2" s="672"/>
      <c r="Z2" s="672"/>
      <c r="AA2" s="672"/>
      <c r="AB2" s="672"/>
      <c r="AC2" s="674"/>
      <c r="AD2" s="674"/>
      <c r="AE2" s="674"/>
      <c r="AF2" s="674"/>
      <c r="AG2" s="674"/>
      <c r="AH2" s="672"/>
      <c r="AI2" s="672"/>
      <c r="AJ2" s="672"/>
      <c r="AK2" s="672"/>
      <c r="AL2" s="672"/>
      <c r="AM2" s="672"/>
      <c r="AN2" s="672"/>
      <c r="AO2" s="672"/>
      <c r="AP2" s="672"/>
      <c r="AQ2" s="672"/>
      <c r="AR2" s="672"/>
      <c r="AS2" s="672"/>
      <c r="AT2" s="672"/>
      <c r="AU2" s="672"/>
      <c r="AV2" s="672"/>
      <c r="AW2" s="672"/>
      <c r="AX2" s="672"/>
      <c r="AY2" s="672"/>
    </row>
    <row r="3" spans="1:51" s="11" customFormat="1" ht="25.5" customHeight="1">
      <c r="A3" s="675" t="s">
        <v>236</v>
      </c>
      <c r="B3" s="236"/>
      <c r="C3" s="236"/>
      <c r="D3" s="676" t="s">
        <v>237</v>
      </c>
      <c r="E3" s="676"/>
      <c r="F3" s="677"/>
      <c r="G3" s="677"/>
      <c r="H3" s="677"/>
      <c r="I3" s="677"/>
      <c r="J3" s="677"/>
      <c r="K3" s="677"/>
      <c r="L3" s="677"/>
      <c r="M3" s="677"/>
      <c r="N3" s="677"/>
      <c r="O3" s="677"/>
      <c r="P3" s="677"/>
      <c r="Q3" s="667" t="s">
        <v>238</v>
      </c>
      <c r="R3" s="667"/>
      <c r="S3" s="667"/>
      <c r="T3" s="667" t="s">
        <v>239</v>
      </c>
      <c r="U3" s="667"/>
      <c r="V3" s="667"/>
      <c r="W3" s="667"/>
      <c r="X3" s="667"/>
      <c r="Y3" s="667"/>
      <c r="Z3" s="667"/>
      <c r="AA3" s="667"/>
      <c r="AB3" s="667"/>
      <c r="AC3" s="678"/>
      <c r="AD3" s="678"/>
      <c r="AE3" s="678"/>
      <c r="AF3" s="678"/>
      <c r="AG3" s="678"/>
      <c r="AH3" s="667"/>
      <c r="AI3" s="667" t="s">
        <v>240</v>
      </c>
      <c r="AJ3" s="667"/>
      <c r="AK3" s="667"/>
      <c r="AL3" s="667"/>
      <c r="AM3" s="667"/>
      <c r="AN3" s="667"/>
      <c r="AO3" s="667" t="s">
        <v>241</v>
      </c>
      <c r="AP3" s="667"/>
      <c r="AQ3" s="667"/>
      <c r="AR3" s="667" t="s">
        <v>242</v>
      </c>
      <c r="AS3" s="667"/>
      <c r="AT3" s="667" t="s">
        <v>243</v>
      </c>
      <c r="AU3" s="667"/>
      <c r="AV3" s="667" t="s">
        <v>244</v>
      </c>
      <c r="AW3" s="667"/>
      <c r="AX3" s="667"/>
      <c r="AY3" s="238"/>
    </row>
    <row r="4" spans="1:51" s="11" customFormat="1" ht="78">
      <c r="A4" s="675"/>
      <c r="B4" s="238" t="s">
        <v>245</v>
      </c>
      <c r="C4" s="238" t="s">
        <v>246</v>
      </c>
      <c r="D4" s="238" t="s">
        <v>247</v>
      </c>
      <c r="E4" s="238" t="s">
        <v>248</v>
      </c>
      <c r="F4" s="238" t="s">
        <v>339</v>
      </c>
      <c r="G4" s="238" t="s">
        <v>249</v>
      </c>
      <c r="H4" s="238" t="s">
        <v>250</v>
      </c>
      <c r="I4" s="238" t="s">
        <v>340</v>
      </c>
      <c r="J4" s="238" t="s">
        <v>252</v>
      </c>
      <c r="K4" s="238" t="s">
        <v>253</v>
      </c>
      <c r="L4" s="238" t="s">
        <v>254</v>
      </c>
      <c r="M4" s="238" t="s">
        <v>255</v>
      </c>
      <c r="N4" s="238" t="s">
        <v>256</v>
      </c>
      <c r="O4" s="238" t="s">
        <v>257</v>
      </c>
      <c r="P4" s="238" t="s">
        <v>258</v>
      </c>
      <c r="Q4" s="238" t="s">
        <v>259</v>
      </c>
      <c r="R4" s="238" t="s">
        <v>260</v>
      </c>
      <c r="S4" s="238" t="s">
        <v>261</v>
      </c>
      <c r="T4" s="238" t="s">
        <v>262</v>
      </c>
      <c r="U4" s="238" t="s">
        <v>263</v>
      </c>
      <c r="V4" s="238" t="s">
        <v>264</v>
      </c>
      <c r="W4" s="238" t="s">
        <v>265</v>
      </c>
      <c r="X4" s="238" t="s">
        <v>266</v>
      </c>
      <c r="Y4" s="238" t="s">
        <v>267</v>
      </c>
      <c r="Z4" s="238" t="s">
        <v>268</v>
      </c>
      <c r="AA4" s="238" t="s">
        <v>269</v>
      </c>
      <c r="AB4" s="238" t="s">
        <v>270</v>
      </c>
      <c r="AC4" s="568" t="s">
        <v>271</v>
      </c>
      <c r="AD4" s="568" t="s">
        <v>272</v>
      </c>
      <c r="AE4" s="568" t="s">
        <v>273</v>
      </c>
      <c r="AF4" s="568" t="s">
        <v>274</v>
      </c>
      <c r="AG4" s="568" t="s">
        <v>275</v>
      </c>
      <c r="AH4" s="238" t="s">
        <v>341</v>
      </c>
      <c r="AI4" s="238" t="s">
        <v>276</v>
      </c>
      <c r="AJ4" s="238" t="s">
        <v>277</v>
      </c>
      <c r="AK4" s="238" t="s">
        <v>278</v>
      </c>
      <c r="AL4" s="238" t="s">
        <v>279</v>
      </c>
      <c r="AM4" s="238" t="s">
        <v>280</v>
      </c>
      <c r="AN4" s="238" t="s">
        <v>281</v>
      </c>
      <c r="AO4" s="238" t="s">
        <v>282</v>
      </c>
      <c r="AP4" s="238" t="s">
        <v>283</v>
      </c>
      <c r="AQ4" s="238" t="s">
        <v>284</v>
      </c>
      <c r="AR4" s="238" t="s">
        <v>285</v>
      </c>
      <c r="AS4" s="238" t="s">
        <v>286</v>
      </c>
      <c r="AT4" s="238" t="s">
        <v>289</v>
      </c>
      <c r="AU4" s="238" t="s">
        <v>290</v>
      </c>
      <c r="AV4" s="238" t="s">
        <v>291</v>
      </c>
      <c r="AW4" s="238" t="s">
        <v>291</v>
      </c>
      <c r="AX4" s="238" t="s">
        <v>965</v>
      </c>
      <c r="AY4" s="238" t="s">
        <v>292</v>
      </c>
    </row>
    <row r="5" spans="1:51" s="59" customFormat="1" ht="30.75" customHeight="1">
      <c r="A5" s="236"/>
      <c r="B5" s="236"/>
      <c r="C5" s="236"/>
      <c r="D5" s="239" t="s">
        <v>295</v>
      </c>
      <c r="E5" s="239"/>
      <c r="F5" s="236"/>
      <c r="G5" s="236"/>
      <c r="H5" s="236"/>
      <c r="I5" s="236"/>
      <c r="J5" s="236"/>
      <c r="K5" s="236"/>
      <c r="L5" s="236"/>
      <c r="M5" s="236"/>
      <c r="N5" s="236"/>
      <c r="O5" s="236"/>
      <c r="P5" s="236"/>
      <c r="Q5" s="236"/>
      <c r="R5" s="236"/>
      <c r="S5" s="236"/>
      <c r="T5" s="236"/>
      <c r="U5" s="236"/>
      <c r="V5" s="236"/>
      <c r="W5" s="236"/>
      <c r="X5" s="236"/>
      <c r="Y5" s="236"/>
      <c r="Z5" s="236"/>
      <c r="AA5" s="236"/>
      <c r="AB5" s="236"/>
      <c r="AC5" s="569"/>
      <c r="AD5" s="569"/>
      <c r="AE5" s="569"/>
      <c r="AF5" s="569"/>
      <c r="AG5" s="569"/>
      <c r="AH5" s="236"/>
      <c r="AI5" s="236"/>
      <c r="AJ5" s="236"/>
      <c r="AK5" s="236"/>
      <c r="AL5" s="236"/>
      <c r="AM5" s="236"/>
      <c r="AN5" s="236"/>
      <c r="AO5" s="236"/>
      <c r="AP5" s="236"/>
      <c r="AQ5" s="236"/>
      <c r="AR5" s="236"/>
      <c r="AS5" s="236"/>
      <c r="AT5" s="236"/>
      <c r="AU5" s="236"/>
      <c r="AV5" s="241"/>
      <c r="AW5" s="241"/>
      <c r="AX5" s="236"/>
      <c r="AY5" s="241"/>
    </row>
    <row r="6" spans="1:51" s="70" customFormat="1" ht="27" customHeight="1">
      <c r="A6" s="332"/>
      <c r="B6" s="332"/>
      <c r="C6" s="332"/>
      <c r="D6" s="333" t="s">
        <v>344</v>
      </c>
      <c r="E6" s="334"/>
      <c r="F6" s="565"/>
      <c r="G6" s="332"/>
      <c r="H6" s="335"/>
      <c r="I6" s="332"/>
      <c r="J6" s="332"/>
      <c r="K6" s="336"/>
      <c r="L6" s="337"/>
      <c r="M6" s="335"/>
      <c r="N6" s="338"/>
      <c r="O6" s="338"/>
      <c r="P6" s="337"/>
      <c r="Q6" s="335"/>
      <c r="R6" s="335"/>
      <c r="S6" s="335"/>
      <c r="T6" s="337"/>
      <c r="U6" s="335"/>
      <c r="V6" s="337"/>
      <c r="W6" s="337"/>
      <c r="X6" s="337"/>
      <c r="Y6" s="337"/>
      <c r="Z6" s="339"/>
      <c r="AA6" s="340"/>
      <c r="AB6" s="340"/>
      <c r="AC6" s="323"/>
      <c r="AD6" s="323"/>
      <c r="AE6" s="323"/>
      <c r="AF6" s="323"/>
      <c r="AG6" s="323"/>
      <c r="AH6" s="341"/>
      <c r="AI6" s="339"/>
      <c r="AJ6" s="338"/>
      <c r="AK6" s="339"/>
      <c r="AL6" s="339"/>
      <c r="AM6" s="339"/>
      <c r="AN6" s="342"/>
      <c r="AO6" s="335"/>
      <c r="AP6" s="336"/>
      <c r="AQ6" s="335"/>
      <c r="AR6" s="342"/>
      <c r="AS6" s="337"/>
      <c r="AT6" s="342"/>
      <c r="AU6" s="342"/>
      <c r="AV6" s="343"/>
      <c r="AW6" s="343"/>
      <c r="AX6" s="337"/>
      <c r="AY6" s="344"/>
    </row>
    <row r="7" spans="1:51" s="115" customFormat="1" ht="19.5" hidden="1" customHeight="1">
      <c r="A7" s="262" t="s">
        <v>303</v>
      </c>
      <c r="B7" s="262" t="s">
        <v>345</v>
      </c>
      <c r="C7" s="262" t="str">
        <f t="shared" ref="C7:C36" si="0">$D$6</f>
        <v>PMCC-1</v>
      </c>
      <c r="D7" s="290" t="s">
        <v>346</v>
      </c>
      <c r="E7" s="346" t="s">
        <v>310</v>
      </c>
      <c r="F7" s="262" t="s">
        <v>28</v>
      </c>
      <c r="G7" s="262" t="s">
        <v>311</v>
      </c>
      <c r="H7" s="258">
        <v>75</v>
      </c>
      <c r="I7" s="262" t="s">
        <v>299</v>
      </c>
      <c r="J7" s="262" t="s">
        <v>300</v>
      </c>
      <c r="K7" s="259">
        <v>400</v>
      </c>
      <c r="L7" s="264">
        <v>0.85</v>
      </c>
      <c r="M7" s="258">
        <v>0.95700000000000007</v>
      </c>
      <c r="N7" s="263">
        <f t="shared" ref="N7:N36" si="1">IF(I7="kVA",IF(J7="3Ph",(H7*1000/(1.732*M7*K7)),(H7*1000/(M7*K7))),IF(I7="kW",IF(J7="3Ph",(H7*1000/(1.732*M7*K7*L7)),(H7*1000/(M7*K7*L7)))))</f>
        <v>133.08298117802073</v>
      </c>
      <c r="O7" s="347">
        <f t="shared" ref="O7:O45" si="2">IF(G7="MOTOR",(6*N7),IF(G7="VFD",(1*N7),0))</f>
        <v>798.49788706812433</v>
      </c>
      <c r="P7" s="264">
        <f t="shared" ref="P7:P36" si="3">IF(G7="MOTOR",0.2,"0.00")</f>
        <v>0.2</v>
      </c>
      <c r="Q7" s="258">
        <v>65</v>
      </c>
      <c r="R7" s="258">
        <v>0</v>
      </c>
      <c r="S7" s="258">
        <f t="shared" ref="S7:S36" si="4">(Q7*1000*SQRT(R7)/143)</f>
        <v>0</v>
      </c>
      <c r="T7" s="264" t="s">
        <v>131</v>
      </c>
      <c r="U7" s="258" t="s">
        <v>302</v>
      </c>
      <c r="V7" s="264">
        <v>185</v>
      </c>
      <c r="W7" s="264" t="str">
        <f t="shared" ref="W7:W36" si="5">CONCATENATE(U7," X ",V7)</f>
        <v>3C X 185</v>
      </c>
      <c r="X7" s="264" t="str">
        <f t="shared" ref="X7:X36" si="6">(IF(J7="1Ph",W7,IF(J7="3Ph",(IF(G7="MOTOR",(CONCATENATE(W7,"+PE")),W7)))))</f>
        <v>3C X 185+PE</v>
      </c>
      <c r="Y7" s="264" t="s">
        <v>314</v>
      </c>
      <c r="Z7" s="265">
        <f>IF(T7="AIR",VLOOKUP(W7,'Catalogue Aluminium'!$B$9:$G$91,2,FALSE),IF(T7="GROUND",VLOOKUP(W7,'Catalogue Aluminium'!$B$9:$G$91,3,FALSE),IF(T7="DUCT",VLOOKUP(W7,'Catalogue Aluminium'!$B$9:$G$91,4,FALSE),IF(T7="TRENCH",VLOOKUP(W7,'Catalogue Aluminium'!$B$9:$G$91,2,FALSE)))))</f>
        <v>338</v>
      </c>
      <c r="AA7" s="266">
        <f>VLOOKUP(W7,'Catalogue Aluminium'!$B$9:$G$91,5,FALSE)</f>
        <v>0.21</v>
      </c>
      <c r="AB7" s="266">
        <f>VLOOKUP(W7,'Catalogue Aluminium'!$B$9:$G$91,6,FALSE)</f>
        <v>7.2700000000000001E-2</v>
      </c>
      <c r="AC7" s="264">
        <f>26+3</f>
        <v>29</v>
      </c>
      <c r="AD7" s="264">
        <f>11+34+48+35+30+11+24+(15+18+26+3+8)</f>
        <v>263</v>
      </c>
      <c r="AE7" s="264">
        <f>11+8+8+11</f>
        <v>38</v>
      </c>
      <c r="AF7" s="264">
        <v>8</v>
      </c>
      <c r="AG7" s="264">
        <f t="shared" ref="AG7" si="7">ROUNDUP((SUM(AC7:AF7)*0.1),0)</f>
        <v>34</v>
      </c>
      <c r="AH7" s="267"/>
      <c r="AI7" s="265">
        <f>IF(T7="AIR",'Catalogue Aluminium'!$K$9,IF(T7="TRENCH",'Catalogue Aluminium'!$K$12,"NA"))</f>
        <v>0.89</v>
      </c>
      <c r="AJ7" s="263">
        <f>IF(T7="Air",(IF(U7="1C",'Catalogue Aluminium'!$L$9,'Catalogue Aluminium'!$M$9)),IF(T7="DUCT",(IF($U7="1C",'Catalogue Aluminium'!$L$10,'Catalogue Aluminium'!$M$10)),IF(T7="GROUND",(IF($U7="1C",'Catalogue Aluminium'!$L$11,'Catalogue Aluminium'!$M$11)),IF(T7="TRENCH",(IF($U7="1C",'Catalogue Aluminium'!$L$12,'Catalogue Aluminium'!$M$12))))))</f>
        <v>0.66</v>
      </c>
      <c r="AK7" s="265" t="str">
        <f>IF(T7="Air",'Catalogue Aluminium'!$N$9,IF(T7="GROUND",'Catalogue Aluminium'!$N$10,IF(T7="DUCT",'Catalogue Aluminium'!$N$11,IF(T7="TRENCH",'Catalogue Aluminium'!$N$12,"NA"))))</f>
        <v>NA</v>
      </c>
      <c r="AL7" s="265" t="str">
        <f>IF(T7="Air",(IF(U7="1C",'Catalogue Aluminium'!$O$9,'Catalogue Aluminium'!$P$9)),IF(T7="DUCT",(IF($U7="1C",'Catalogue Aluminium'!$O$10,'Catalogue Aluminium'!$P$10)),IF(T7="GROUND",(IF($U7="1C",'Catalogue Aluminium'!$O$11,'Catalogue Aluminium'!$P$11)),IF(T7="TRENCH",(IF($U7="1C",'Catalogue Aluminium'!$O$12,'Catalogue Aluminium'!$P$12))))))</f>
        <v>NA</v>
      </c>
      <c r="AM7" s="265" t="str">
        <f>IF(T7="AIR","NA",IF(T7="TRENCH","NA",IF(T7="DUCT",IF(U7="1C",VLOOKUP(V7,'Catalogue Aluminium'!$Q$9:$S$28,2,FALSE),VLOOKUP(V7,'Catalogue Aluminium'!$Q$9:$S$28,3)),IF(T7="GROUND",IF(U7="1C",VLOOKUP(V7,'Catalogue Aluminium'!$Q$9:$S$28,2,FALSE),VLOOKUP(V7,'Catalogue Aluminium'!$Q$9:$S$28,3))))))</f>
        <v>NA</v>
      </c>
      <c r="AN7" s="268">
        <f t="shared" ref="AN7:AN36" si="8">IF(T7="AIR",AI7*AJ7,IF(T7="TRENCH",AI7*AJ7,IF(T7="DUCT",AJ7*AK7*AL7*AM7,IF(T7="GROUND",AJ7*AK7*AL7*AM7))))</f>
        <v>0.58740000000000003</v>
      </c>
      <c r="AO7" s="258">
        <f t="shared" ref="AO7:AO36" si="9">Z7*AN7</f>
        <v>198.5412</v>
      </c>
      <c r="AP7" s="348">
        <f t="shared" ref="AP7:AP81" si="10">CEILING(((N7)/AO7),1)</f>
        <v>1</v>
      </c>
      <c r="AQ7" s="258" t="str">
        <f t="shared" ref="AQ7:AQ36" si="11">IF(AO7*AP7&gt;=N7,"YES","NO")</f>
        <v>YES</v>
      </c>
      <c r="AR7" s="268">
        <f t="shared" ref="AR7:AR36" si="12">SQRT(3)*AH7*N7*((AA7*L7)+(AB7*SIN(ACOS(L7))))*100/(AP7*K7*1000)</f>
        <v>0</v>
      </c>
      <c r="AS7" s="349" t="str">
        <f t="shared" ref="AS7:AS36" si="13">IF(G7="INCOMER",(IF(AR7&lt;=2,"YES","NO")),IF(G7="POWER",(IF(AR7&lt;=2.5,"YES","NO")),IF(G7="MOTOR",(IF(AR7&lt;=3,"YES","NO")))))</f>
        <v>YES</v>
      </c>
      <c r="AT7" s="350">
        <f t="shared" ref="AT7:AT36" si="14">IF(G7="MOTOR",(SQRT(3)*AH7*O7*((AA7*P7)+(AB7*SIN(ACOS(P7))))*100/(AP7*K7*1000)),"NA")</f>
        <v>0</v>
      </c>
      <c r="AU7" s="264" t="str">
        <f t="shared" ref="AU7:AU36" si="15">IF(G7="MOTOR",IF(AT7&lt;=15,"YES","NO"),"NA")</f>
        <v>YES</v>
      </c>
      <c r="AV7" s="269" t="str">
        <f t="shared" ref="AV7:AV36" si="16">IF(U7="1C",CONCATENATE(AP7,"R x ",Y7,"kV x ",U7," x ",V7," Sqmm/Phase"),CONCATENATE(AP7,"R x ",0.6,"/1kV x ",U7," x ",V7," Sqmm"))</f>
        <v>1R x 0.6/1kV x 3C x 185 Sqmm</v>
      </c>
      <c r="AW7" s="260" t="str">
        <f t="shared" ref="AW7:AW36" si="17">IF(U7="1C",CONCATENATE(AP7,"R x ",Y7,"kV x ",U7," x ",V7," Sqmm/Phase"),CONCATENATE(AP7,"R x ",0.6,"/1kV x ",U7," x ",V7,(IF(G7="MOTOR","+PE",""))," Sqmm"))</f>
        <v>1R x 0.6/1kV x 3C x 185+PE Sqmm</v>
      </c>
      <c r="AX7" s="264"/>
      <c r="AY7" s="270"/>
    </row>
    <row r="8" spans="1:51" s="115" customFormat="1" ht="20.149999999999999" hidden="1" customHeight="1">
      <c r="A8" s="262" t="s">
        <v>303</v>
      </c>
      <c r="B8" s="262" t="s">
        <v>347</v>
      </c>
      <c r="C8" s="262" t="str">
        <f t="shared" si="0"/>
        <v>PMCC-1</v>
      </c>
      <c r="D8" s="290" t="s">
        <v>348</v>
      </c>
      <c r="E8" s="346" t="s">
        <v>310</v>
      </c>
      <c r="F8" s="262" t="s">
        <v>29</v>
      </c>
      <c r="G8" s="262" t="s">
        <v>311</v>
      </c>
      <c r="H8" s="258">
        <v>75</v>
      </c>
      <c r="I8" s="262" t="s">
        <v>299</v>
      </c>
      <c r="J8" s="262" t="s">
        <v>300</v>
      </c>
      <c r="K8" s="259">
        <v>400</v>
      </c>
      <c r="L8" s="264">
        <v>0.85</v>
      </c>
      <c r="M8" s="258">
        <v>0.95700000000000007</v>
      </c>
      <c r="N8" s="263">
        <f t="shared" si="1"/>
        <v>133.08298117802073</v>
      </c>
      <c r="O8" s="263">
        <f t="shared" si="2"/>
        <v>798.49788706812433</v>
      </c>
      <c r="P8" s="264">
        <f t="shared" si="3"/>
        <v>0.2</v>
      </c>
      <c r="Q8" s="258">
        <v>65</v>
      </c>
      <c r="R8" s="258">
        <v>0</v>
      </c>
      <c r="S8" s="258">
        <f t="shared" si="4"/>
        <v>0</v>
      </c>
      <c r="T8" s="264" t="s">
        <v>131</v>
      </c>
      <c r="U8" s="258" t="s">
        <v>302</v>
      </c>
      <c r="V8" s="264">
        <v>185</v>
      </c>
      <c r="W8" s="264" t="str">
        <f t="shared" si="5"/>
        <v>3C X 185</v>
      </c>
      <c r="X8" s="264" t="str">
        <f t="shared" si="6"/>
        <v>3C X 185+PE</v>
      </c>
      <c r="Y8" s="264" t="s">
        <v>314</v>
      </c>
      <c r="Z8" s="265">
        <f>IF(T8="AIR",VLOOKUP(W8,'Catalogue Aluminium'!$B$9:$G$91,2,FALSE),IF(T8="GROUND",VLOOKUP(W8,'Catalogue Aluminium'!$B$9:$G$91,3,FALSE),IF(T8="DUCT",VLOOKUP(W8,'Catalogue Aluminium'!$B$9:$G$91,4,FALSE),IF(T8="TRENCH",VLOOKUP(W8,'Catalogue Aluminium'!$B$9:$G$91,2,FALSE)))))</f>
        <v>338</v>
      </c>
      <c r="AA8" s="266">
        <f>VLOOKUP(W8,'Catalogue Aluminium'!$B$9:$G$91,5,FALSE)</f>
        <v>0.21</v>
      </c>
      <c r="AB8" s="266">
        <f>VLOOKUP(W8,'Catalogue Aluminium'!$B$9:$G$91,6,FALSE)</f>
        <v>7.2700000000000001E-2</v>
      </c>
      <c r="AC8" s="264">
        <f>35+3</f>
        <v>38</v>
      </c>
      <c r="AD8" s="264">
        <f>11+34+48+35+30+11+24+(15+18+26+3+8)</f>
        <v>263</v>
      </c>
      <c r="AE8" s="264">
        <f t="shared" ref="AE8:AE22" si="18">11+8+8+11</f>
        <v>38</v>
      </c>
      <c r="AF8" s="264">
        <v>8</v>
      </c>
      <c r="AG8" s="264">
        <f t="shared" ref="AG8:AG36" si="19">ROUNDUP((SUM(AC8:AF8)*0.1),0)</f>
        <v>35</v>
      </c>
      <c r="AH8" s="267"/>
      <c r="AI8" s="265">
        <f>IF(T8="AIR",'Catalogue Aluminium'!$K$9,IF(T8="TRENCH",'Catalogue Aluminium'!$K$12,"NA"))</f>
        <v>0.89</v>
      </c>
      <c r="AJ8" s="263">
        <f>IF(T8="Air",(IF(U8="1C",'Catalogue Aluminium'!$L$9,'Catalogue Aluminium'!$M$9)),IF(T8="DUCT",(IF($U8="1C",'Catalogue Aluminium'!$L$10,'Catalogue Aluminium'!$M$10)),IF(T8="GROUND",(IF($U8="1C",'Catalogue Aluminium'!$L$11,'Catalogue Aluminium'!$M$11)),IF(T8="TRENCH",(IF($U8="1C",'Catalogue Aluminium'!$L$12,'Catalogue Aluminium'!$M$12))))))</f>
        <v>0.66</v>
      </c>
      <c r="AK8" s="265" t="str">
        <f>IF(T8="Air",'Catalogue Aluminium'!$N$9,IF(T8="GROUND",'Catalogue Aluminium'!$N$10,IF(T8="DUCT",'Catalogue Aluminium'!$N$11,IF(T8="TRENCH",'Catalogue Aluminium'!$N$12,"NA"))))</f>
        <v>NA</v>
      </c>
      <c r="AL8" s="265" t="str">
        <f>IF(T8="Air",(IF(U8="1C",'Catalogue Aluminium'!$O$9,'Catalogue Aluminium'!$P$9)),IF(T8="DUCT",(IF($U8="1C",'Catalogue Aluminium'!$O$10,'Catalogue Aluminium'!$P$10)),IF(T8="GROUND",(IF($U8="1C",'Catalogue Aluminium'!$O$11,'Catalogue Aluminium'!$P$11)),IF(T8="TRENCH",(IF($U8="1C",'Catalogue Aluminium'!$O$12,'Catalogue Aluminium'!$P$12))))))</f>
        <v>NA</v>
      </c>
      <c r="AM8" s="265" t="str">
        <f>IF(T8="AIR","NA",IF(T8="TRENCH","NA",IF(T8="DUCT",IF(U8="1C",VLOOKUP(V8,'Catalogue Aluminium'!$Q$9:$S$28,2,FALSE),VLOOKUP(V8,'Catalogue Aluminium'!$Q$9:$S$28,3)),IF(T8="GROUND",IF(U8="1C",VLOOKUP(V8,'Catalogue Aluminium'!$Q$9:$S$28,2,FALSE),VLOOKUP(V8,'Catalogue Aluminium'!$Q$9:$S$28,3))))))</f>
        <v>NA</v>
      </c>
      <c r="AN8" s="268">
        <f t="shared" si="8"/>
        <v>0.58740000000000003</v>
      </c>
      <c r="AO8" s="258">
        <f t="shared" si="9"/>
        <v>198.5412</v>
      </c>
      <c r="AP8" s="348">
        <f t="shared" si="10"/>
        <v>1</v>
      </c>
      <c r="AQ8" s="258" t="str">
        <f t="shared" si="11"/>
        <v>YES</v>
      </c>
      <c r="AR8" s="268">
        <f t="shared" si="12"/>
        <v>0</v>
      </c>
      <c r="AS8" s="349" t="str">
        <f t="shared" si="13"/>
        <v>YES</v>
      </c>
      <c r="AT8" s="350">
        <f t="shared" si="14"/>
        <v>0</v>
      </c>
      <c r="AU8" s="264" t="str">
        <f t="shared" si="15"/>
        <v>YES</v>
      </c>
      <c r="AV8" s="269" t="str">
        <f t="shared" si="16"/>
        <v>1R x 0.6/1kV x 3C x 185 Sqmm</v>
      </c>
      <c r="AW8" s="260" t="str">
        <f t="shared" si="17"/>
        <v>1R x 0.6/1kV x 3C x 185+PE Sqmm</v>
      </c>
      <c r="AX8" s="264"/>
      <c r="AY8" s="270"/>
    </row>
    <row r="9" spans="1:51" s="75" customFormat="1" ht="20.149999999999999" hidden="1" customHeight="1">
      <c r="A9" s="262" t="s">
        <v>303</v>
      </c>
      <c r="B9" s="262" t="s">
        <v>349</v>
      </c>
      <c r="C9" s="262" t="str">
        <f t="shared" si="0"/>
        <v>PMCC-1</v>
      </c>
      <c r="D9" s="290" t="s">
        <v>350</v>
      </c>
      <c r="E9" s="346" t="s">
        <v>310</v>
      </c>
      <c r="F9" s="262" t="s">
        <v>28</v>
      </c>
      <c r="G9" s="262" t="s">
        <v>311</v>
      </c>
      <c r="H9" s="258">
        <v>9.3000000000000007</v>
      </c>
      <c r="I9" s="262" t="s">
        <v>299</v>
      </c>
      <c r="J9" s="262" t="s">
        <v>300</v>
      </c>
      <c r="K9" s="259">
        <v>400</v>
      </c>
      <c r="L9" s="264">
        <v>0.79</v>
      </c>
      <c r="M9" s="258">
        <v>0.90599999999999992</v>
      </c>
      <c r="N9" s="263">
        <f t="shared" si="1"/>
        <v>18.755117121955404</v>
      </c>
      <c r="O9" s="263">
        <f t="shared" si="2"/>
        <v>112.53070273173242</v>
      </c>
      <c r="P9" s="264">
        <f t="shared" si="3"/>
        <v>0.2</v>
      </c>
      <c r="Q9" s="258">
        <v>65</v>
      </c>
      <c r="R9" s="258">
        <v>0</v>
      </c>
      <c r="S9" s="258">
        <f t="shared" si="4"/>
        <v>0</v>
      </c>
      <c r="T9" s="264" t="s">
        <v>131</v>
      </c>
      <c r="U9" s="258" t="s">
        <v>302</v>
      </c>
      <c r="V9" s="264">
        <v>50</v>
      </c>
      <c r="W9" s="264" t="str">
        <f t="shared" si="5"/>
        <v>3C X 50</v>
      </c>
      <c r="X9" s="264" t="str">
        <f t="shared" si="6"/>
        <v>3C X 50+PE</v>
      </c>
      <c r="Y9" s="264" t="s">
        <v>314</v>
      </c>
      <c r="Z9" s="265">
        <f>IF(T9="AIR",VLOOKUP(W9,'Catalogue Aluminium'!$B$9:$G$91,2,FALSE),IF(T9="GROUND",VLOOKUP(W9,'Catalogue Aluminium'!$B$9:$G$91,3,FALSE),IF(T9="DUCT",VLOOKUP(W9,'Catalogue Aluminium'!$B$9:$G$91,4,FALSE),IF(T9="TRENCH",VLOOKUP(W9,'Catalogue Aluminium'!$B$9:$G$91,2,FALSE)))))</f>
        <v>141</v>
      </c>
      <c r="AA9" s="266">
        <f>VLOOKUP(W9,'Catalogue Aluminium'!$B$9:$G$91,5,FALSE)</f>
        <v>0.82</v>
      </c>
      <c r="AB9" s="266">
        <f>VLOOKUP(W9,'Catalogue Aluminium'!$B$9:$G$91,6,FALSE)</f>
        <v>7.9200000000000007E-2</v>
      </c>
      <c r="AC9" s="264">
        <f>26+3</f>
        <v>29</v>
      </c>
      <c r="AD9" s="264">
        <f>11+34+48+35+30+11+24+(15+18+26+22+12+12+3+8)</f>
        <v>309</v>
      </c>
      <c r="AE9" s="322">
        <f t="shared" si="18"/>
        <v>38</v>
      </c>
      <c r="AF9" s="264">
        <v>8</v>
      </c>
      <c r="AG9" s="264">
        <f t="shared" si="19"/>
        <v>39</v>
      </c>
      <c r="AH9" s="267"/>
      <c r="AI9" s="265">
        <f>IF(T9="AIR",'Catalogue Aluminium'!$K$9,IF(T9="TRENCH",'Catalogue Aluminium'!$K$12,"NA"))</f>
        <v>0.89</v>
      </c>
      <c r="AJ9" s="263">
        <f>IF(T9="Air",(IF(U9="1C",'Catalogue Aluminium'!$L$9,'Catalogue Aluminium'!$M$9)),IF(T9="DUCT",(IF($U9="1C",'Catalogue Aluminium'!$L$10,'Catalogue Aluminium'!$M$10)),IF(T9="GROUND",(IF($U9="1C",'Catalogue Aluminium'!$L$11,'Catalogue Aluminium'!$M$11)),IF(T9="TRENCH",(IF($U9="1C",'Catalogue Aluminium'!$L$12,'Catalogue Aluminium'!$M$12))))))</f>
        <v>0.66</v>
      </c>
      <c r="AK9" s="265" t="str">
        <f>IF(T9="Air",'Catalogue Aluminium'!$N$9,IF(T9="GROUND",'Catalogue Aluminium'!$N$10,IF(T9="DUCT",'Catalogue Aluminium'!$N$11,IF(T9="TRENCH",'Catalogue Aluminium'!$N$12,"NA"))))</f>
        <v>NA</v>
      </c>
      <c r="AL9" s="265" t="str">
        <f>IF(T9="Air",(IF(U9="1C",'Catalogue Aluminium'!$O$9,'Catalogue Aluminium'!$P$9)),IF(T9="DUCT",(IF($U9="1C",'Catalogue Aluminium'!$O$10,'Catalogue Aluminium'!$P$10)),IF(T9="GROUND",(IF($U9="1C",'Catalogue Aluminium'!$O$11,'Catalogue Aluminium'!$P$11)),IF(T9="TRENCH",(IF($U9="1C",'Catalogue Aluminium'!$O$12,'Catalogue Aluminium'!$P$12))))))</f>
        <v>NA</v>
      </c>
      <c r="AM9" s="265" t="str">
        <f>IF(T9="AIR","NA",IF(T9="TRENCH","NA",IF(T9="DUCT",IF(U9="1C",VLOOKUP(V9,'Catalogue Aluminium'!$Q$9:$S$28,2,FALSE),VLOOKUP(V9,'Catalogue Aluminium'!$Q$9:$S$28,3)),IF(T9="GROUND",IF(U9="1C",VLOOKUP(V9,'Catalogue Aluminium'!$Q$9:$S$28,2,FALSE),VLOOKUP(V9,'Catalogue Aluminium'!$Q$9:$S$28,3))))))</f>
        <v>NA</v>
      </c>
      <c r="AN9" s="268">
        <f t="shared" si="8"/>
        <v>0.58740000000000003</v>
      </c>
      <c r="AO9" s="258">
        <f t="shared" si="9"/>
        <v>82.823400000000007</v>
      </c>
      <c r="AP9" s="259">
        <f t="shared" si="10"/>
        <v>1</v>
      </c>
      <c r="AQ9" s="258" t="str">
        <f t="shared" si="11"/>
        <v>YES</v>
      </c>
      <c r="AR9" s="268">
        <f t="shared" si="12"/>
        <v>0</v>
      </c>
      <c r="AS9" s="349" t="str">
        <f t="shared" si="13"/>
        <v>YES</v>
      </c>
      <c r="AT9" s="350">
        <f t="shared" si="14"/>
        <v>0</v>
      </c>
      <c r="AU9" s="264" t="str">
        <f t="shared" si="15"/>
        <v>YES</v>
      </c>
      <c r="AV9" s="269" t="str">
        <f t="shared" si="16"/>
        <v>1R x 0.6/1kV x 3C x 50 Sqmm</v>
      </c>
      <c r="AW9" s="260" t="str">
        <f t="shared" si="17"/>
        <v>1R x 0.6/1kV x 3C x 50+PE Sqmm</v>
      </c>
      <c r="AX9" s="264"/>
      <c r="AY9" s="270"/>
    </row>
    <row r="10" spans="1:51" s="75" customFormat="1" ht="20.149999999999999" hidden="1" customHeight="1">
      <c r="A10" s="262" t="s">
        <v>303</v>
      </c>
      <c r="B10" s="262" t="s">
        <v>351</v>
      </c>
      <c r="C10" s="262" t="str">
        <f t="shared" si="0"/>
        <v>PMCC-1</v>
      </c>
      <c r="D10" s="290" t="s">
        <v>350</v>
      </c>
      <c r="E10" s="346" t="s">
        <v>310</v>
      </c>
      <c r="F10" s="262" t="s">
        <v>29</v>
      </c>
      <c r="G10" s="262" t="s">
        <v>311</v>
      </c>
      <c r="H10" s="258">
        <v>9.3000000000000007</v>
      </c>
      <c r="I10" s="262" t="s">
        <v>299</v>
      </c>
      <c r="J10" s="262" t="s">
        <v>300</v>
      </c>
      <c r="K10" s="259">
        <v>400</v>
      </c>
      <c r="L10" s="264">
        <v>0.79</v>
      </c>
      <c r="M10" s="258">
        <v>0.90599999999999992</v>
      </c>
      <c r="N10" s="263">
        <f t="shared" si="1"/>
        <v>18.755117121955404</v>
      </c>
      <c r="O10" s="263">
        <f t="shared" si="2"/>
        <v>112.53070273173242</v>
      </c>
      <c r="P10" s="264">
        <f t="shared" si="3"/>
        <v>0.2</v>
      </c>
      <c r="Q10" s="258">
        <v>65</v>
      </c>
      <c r="R10" s="258">
        <v>0</v>
      </c>
      <c r="S10" s="258">
        <f t="shared" si="4"/>
        <v>0</v>
      </c>
      <c r="T10" s="264" t="s">
        <v>131</v>
      </c>
      <c r="U10" s="258" t="s">
        <v>302</v>
      </c>
      <c r="V10" s="264">
        <v>50</v>
      </c>
      <c r="W10" s="264" t="str">
        <f t="shared" si="5"/>
        <v>3C X 50</v>
      </c>
      <c r="X10" s="264" t="str">
        <f t="shared" si="6"/>
        <v>3C X 50+PE</v>
      </c>
      <c r="Y10" s="264" t="s">
        <v>314</v>
      </c>
      <c r="Z10" s="265">
        <f>IF(T10="AIR",VLOOKUP(W10,'Catalogue Aluminium'!$B$9:$G$91,2,FALSE),IF(T10="GROUND",VLOOKUP(W10,'Catalogue Aluminium'!$B$9:$G$91,3,FALSE),IF(T10="DUCT",VLOOKUP(W10,'Catalogue Aluminium'!$B$9:$G$91,4,FALSE),IF(T10="TRENCH",VLOOKUP(W10,'Catalogue Aluminium'!$B$9:$G$91,2,FALSE)))))</f>
        <v>141</v>
      </c>
      <c r="AA10" s="266">
        <f>VLOOKUP(W10,'Catalogue Aluminium'!$B$9:$G$91,5,FALSE)</f>
        <v>0.82</v>
      </c>
      <c r="AB10" s="266">
        <f>VLOOKUP(W10,'Catalogue Aluminium'!$B$9:$G$91,6,FALSE)</f>
        <v>7.9200000000000007E-2</v>
      </c>
      <c r="AC10" s="264">
        <f>35+3</f>
        <v>38</v>
      </c>
      <c r="AD10" s="264">
        <f>11+34+48+35+30+11+24+(15+18+26+22+12+12+3+8)</f>
        <v>309</v>
      </c>
      <c r="AE10" s="322">
        <f t="shared" si="18"/>
        <v>38</v>
      </c>
      <c r="AF10" s="264">
        <v>8</v>
      </c>
      <c r="AG10" s="264">
        <f t="shared" si="19"/>
        <v>40</v>
      </c>
      <c r="AH10" s="267"/>
      <c r="AI10" s="265">
        <f>IF(T10="AIR",'Catalogue Aluminium'!$K$9,IF(T10="TRENCH",'Catalogue Aluminium'!$K$12,"NA"))</f>
        <v>0.89</v>
      </c>
      <c r="AJ10" s="263">
        <f>IF(T10="Air",(IF(U10="1C",'Catalogue Aluminium'!$L$9,'Catalogue Aluminium'!$M$9)),IF(T10="DUCT",(IF($U10="1C",'Catalogue Aluminium'!$L$10,'Catalogue Aluminium'!$M$10)),IF(T10="GROUND",(IF($U10="1C",'Catalogue Aluminium'!$L$11,'Catalogue Aluminium'!$M$11)),IF(T10="TRENCH",(IF($U10="1C",'Catalogue Aluminium'!$L$12,'Catalogue Aluminium'!$M$12))))))</f>
        <v>0.66</v>
      </c>
      <c r="AK10" s="265" t="str">
        <f>IF(T10="Air",'Catalogue Aluminium'!$N$9,IF(T10="GROUND",'Catalogue Aluminium'!$N$10,IF(T10="DUCT",'Catalogue Aluminium'!$N$11,IF(T10="TRENCH",'Catalogue Aluminium'!$N$12,"NA"))))</f>
        <v>NA</v>
      </c>
      <c r="AL10" s="265" t="str">
        <f>IF(T10="Air",(IF(U10="1C",'Catalogue Aluminium'!$O$9,'Catalogue Aluminium'!$P$9)),IF(T10="DUCT",(IF($U10="1C",'Catalogue Aluminium'!$O$10,'Catalogue Aluminium'!$P$10)),IF(T10="GROUND",(IF($U10="1C",'Catalogue Aluminium'!$O$11,'Catalogue Aluminium'!$P$11)),IF(T10="TRENCH",(IF($U10="1C",'Catalogue Aluminium'!$O$12,'Catalogue Aluminium'!$P$12))))))</f>
        <v>NA</v>
      </c>
      <c r="AM10" s="265" t="str">
        <f>IF(T10="AIR","NA",IF(T10="TRENCH","NA",IF(T10="DUCT",IF(U10="1C",VLOOKUP(V10,'Catalogue Aluminium'!$Q$9:$S$28,2,FALSE),VLOOKUP(V10,'Catalogue Aluminium'!$Q$9:$S$28,3)),IF(T10="GROUND",IF(U10="1C",VLOOKUP(V10,'Catalogue Aluminium'!$Q$9:$S$28,2,FALSE),VLOOKUP(V10,'Catalogue Aluminium'!$Q$9:$S$28,3))))))</f>
        <v>NA</v>
      </c>
      <c r="AN10" s="268">
        <f t="shared" si="8"/>
        <v>0.58740000000000003</v>
      </c>
      <c r="AO10" s="258">
        <f t="shared" si="9"/>
        <v>82.823400000000007</v>
      </c>
      <c r="AP10" s="259">
        <f t="shared" si="10"/>
        <v>1</v>
      </c>
      <c r="AQ10" s="258" t="str">
        <f t="shared" si="11"/>
        <v>YES</v>
      </c>
      <c r="AR10" s="268">
        <f t="shared" si="12"/>
        <v>0</v>
      </c>
      <c r="AS10" s="349" t="str">
        <f t="shared" si="13"/>
        <v>YES</v>
      </c>
      <c r="AT10" s="350">
        <f t="shared" si="14"/>
        <v>0</v>
      </c>
      <c r="AU10" s="264" t="str">
        <f t="shared" si="15"/>
        <v>YES</v>
      </c>
      <c r="AV10" s="269" t="str">
        <f t="shared" si="16"/>
        <v>1R x 0.6/1kV x 3C x 50 Sqmm</v>
      </c>
      <c r="AW10" s="260" t="str">
        <f t="shared" si="17"/>
        <v>1R x 0.6/1kV x 3C x 50+PE Sqmm</v>
      </c>
      <c r="AX10" s="264"/>
      <c r="AY10" s="270"/>
    </row>
    <row r="11" spans="1:51" ht="20.149999999999999" customHeight="1">
      <c r="A11" s="243">
        <v>1</v>
      </c>
      <c r="B11" s="243" t="s">
        <v>352</v>
      </c>
      <c r="C11" s="243" t="str">
        <f t="shared" si="0"/>
        <v>PMCC-1</v>
      </c>
      <c r="D11" s="272" t="s">
        <v>353</v>
      </c>
      <c r="E11" s="351" t="s">
        <v>310</v>
      </c>
      <c r="F11" s="243" t="s">
        <v>28</v>
      </c>
      <c r="G11" s="243" t="s">
        <v>311</v>
      </c>
      <c r="H11" s="291">
        <v>0.37</v>
      </c>
      <c r="I11" s="243" t="s">
        <v>299</v>
      </c>
      <c r="J11" s="243" t="s">
        <v>300</v>
      </c>
      <c r="K11" s="255">
        <v>400</v>
      </c>
      <c r="L11" s="249">
        <v>0.73</v>
      </c>
      <c r="M11" s="256">
        <v>0.82499999999999996</v>
      </c>
      <c r="N11" s="248">
        <f t="shared" si="1"/>
        <v>0.88678234143133383</v>
      </c>
      <c r="O11" s="248">
        <f t="shared" si="2"/>
        <v>5.3206940485880025</v>
      </c>
      <c r="P11" s="249">
        <f t="shared" si="3"/>
        <v>0.2</v>
      </c>
      <c r="Q11" s="256">
        <v>65</v>
      </c>
      <c r="R11" s="256">
        <v>0</v>
      </c>
      <c r="S11" s="256">
        <f t="shared" si="4"/>
        <v>0</v>
      </c>
      <c r="T11" s="249" t="s">
        <v>131</v>
      </c>
      <c r="U11" s="256" t="s">
        <v>302</v>
      </c>
      <c r="V11" s="249">
        <v>4</v>
      </c>
      <c r="W11" s="249" t="str">
        <f t="shared" si="5"/>
        <v>3C X 4</v>
      </c>
      <c r="X11" s="249" t="str">
        <f t="shared" si="6"/>
        <v>3C X 4+PE</v>
      </c>
      <c r="Y11" s="249" t="s">
        <v>314</v>
      </c>
      <c r="Z11" s="250">
        <f>IF(T11="AIR",VLOOKUP(W11,'Catalogue Aluminium'!$B$9:$G$91,2,FALSE),IF(T11="GROUND",VLOOKUP(W11,'Catalogue Aluminium'!$B$9:$G$91,3,FALSE),IF(T11="DUCT",VLOOKUP(W11,'Catalogue Aluminium'!$B$9:$G$91,4,FALSE),IF(T11="TRENCH",VLOOKUP(W11,'Catalogue Aluminium'!$B$9:$G$91,2,FALSE)))))</f>
        <v>38</v>
      </c>
      <c r="AA11" s="251">
        <f>VLOOKUP(W11,'Catalogue Aluminium'!$B$9:$G$91,5,FALSE)</f>
        <v>5.9</v>
      </c>
      <c r="AB11" s="251">
        <f>VLOOKUP(W11,'Catalogue Aluminium'!$B$9:$G$91,6,FALSE)</f>
        <v>9.4700000000000006E-2</v>
      </c>
      <c r="AC11" s="294">
        <f>26+3</f>
        <v>29</v>
      </c>
      <c r="AD11" s="294">
        <f>40+50+38+50+17+(27+42+51)</f>
        <v>315</v>
      </c>
      <c r="AE11" s="294">
        <f t="shared" si="18"/>
        <v>38</v>
      </c>
      <c r="AF11" s="294">
        <v>8</v>
      </c>
      <c r="AG11" s="294">
        <f t="shared" si="19"/>
        <v>39</v>
      </c>
      <c r="AH11" s="253">
        <f t="shared" ref="AH11:AH36" si="20">SUM(AC11:AG11)</f>
        <v>429</v>
      </c>
      <c r="AI11" s="250">
        <f>IF(T11="AIR",'Catalogue Aluminium'!$K$9,IF(T11="TRENCH",'Catalogue Aluminium'!$K$12,"NA"))</f>
        <v>0.89</v>
      </c>
      <c r="AJ11" s="248">
        <f>IF(T11="Air",(IF(U11="1C",'Catalogue Aluminium'!$L$9,'Catalogue Aluminium'!$M$9)),IF(T11="DUCT",(IF($U11="1C",'Catalogue Aluminium'!$L$10,'Catalogue Aluminium'!$M$10)),IF(T11="GROUND",(IF($U11="1C",'Catalogue Aluminium'!$L$11,'Catalogue Aluminium'!$M$11)),IF(T11="TRENCH",(IF($U11="1C",'Catalogue Aluminium'!$L$12,'Catalogue Aluminium'!$M$12))))))</f>
        <v>0.66</v>
      </c>
      <c r="AK11" s="250" t="str">
        <f>IF(T11="Air",'Catalogue Aluminium'!$N$9,IF(T11="GROUND",'Catalogue Aluminium'!$N$10,IF(T11="DUCT",'Catalogue Aluminium'!$N$11,IF(T11="TRENCH",'Catalogue Aluminium'!$N$12,"NA"))))</f>
        <v>NA</v>
      </c>
      <c r="AL11" s="250" t="str">
        <f>IF(T11="Air",(IF(U11="1C",'Catalogue Aluminium'!$O$9,'Catalogue Aluminium'!$P$9)),IF(T11="DUCT",(IF($U11="1C",'Catalogue Aluminium'!$O$10,'Catalogue Aluminium'!$P$10)),IF(T11="GROUND",(IF($U11="1C",'Catalogue Aluminium'!$O$11,'Catalogue Aluminium'!$P$11)),IF(T11="TRENCH",(IF($U11="1C",'Catalogue Aluminium'!$O$12,'Catalogue Aluminium'!$P$12))))))</f>
        <v>NA</v>
      </c>
      <c r="AM11" s="250" t="str">
        <f>IF(T11="AIR","NA",IF(T11="TRENCH","NA",IF(T11="DUCT",IF(U11="1C",VLOOKUP(V11,'Catalogue Aluminium'!$Q$9:$S$28,2,FALSE),VLOOKUP(V11,'Catalogue Aluminium'!$Q$9:$S$28,3)),IF(T11="GROUND",IF(U11="1C",VLOOKUP(V11,'Catalogue Aluminium'!$Q$9:$S$28,2,FALSE),VLOOKUP(V11,'Catalogue Aluminium'!$Q$9:$S$28,3))))))</f>
        <v>NA</v>
      </c>
      <c r="AN11" s="257">
        <f t="shared" si="8"/>
        <v>0.58740000000000003</v>
      </c>
      <c r="AO11" s="256">
        <f t="shared" si="9"/>
        <v>22.321200000000001</v>
      </c>
      <c r="AP11" s="255">
        <f t="shared" si="10"/>
        <v>1</v>
      </c>
      <c r="AQ11" s="256" t="str">
        <f t="shared" si="11"/>
        <v>YES</v>
      </c>
      <c r="AR11" s="257">
        <f t="shared" si="12"/>
        <v>0.72015759612014385</v>
      </c>
      <c r="AS11" s="249" t="str">
        <f t="shared" si="13"/>
        <v>YES</v>
      </c>
      <c r="AT11" s="257">
        <f t="shared" si="14"/>
        <v>1.2580034546552989</v>
      </c>
      <c r="AU11" s="249" t="str">
        <f t="shared" si="15"/>
        <v>YES</v>
      </c>
      <c r="AV11" s="260" t="str">
        <f t="shared" si="16"/>
        <v>1R x 0.6/1kV x 3C x 4 Sqmm</v>
      </c>
      <c r="AW11" s="260" t="str">
        <f t="shared" si="17"/>
        <v>1R x 0.6/1kV x 3C x 4+PE Sqmm</v>
      </c>
      <c r="AX11" s="249">
        <f t="shared" ref="AX11:AX36" si="21">(IF(K11=400,(IF(U11="1C",(4*AH11*AP11),(AH11*AP11))),IF(K11=230,(AH11*AP11))))</f>
        <v>429</v>
      </c>
      <c r="AY11" s="261"/>
    </row>
    <row r="12" spans="1:51" ht="20.149999999999999" customHeight="1">
      <c r="A12" s="243">
        <f>1+A11</f>
        <v>2</v>
      </c>
      <c r="B12" s="243" t="s">
        <v>354</v>
      </c>
      <c r="C12" s="243" t="str">
        <f t="shared" si="0"/>
        <v>PMCC-1</v>
      </c>
      <c r="D12" s="272" t="s">
        <v>355</v>
      </c>
      <c r="E12" s="351" t="s">
        <v>310</v>
      </c>
      <c r="F12" s="243" t="s">
        <v>29</v>
      </c>
      <c r="G12" s="243" t="s">
        <v>311</v>
      </c>
      <c r="H12" s="291">
        <v>0.37</v>
      </c>
      <c r="I12" s="243" t="s">
        <v>299</v>
      </c>
      <c r="J12" s="243" t="s">
        <v>300</v>
      </c>
      <c r="K12" s="255">
        <v>400</v>
      </c>
      <c r="L12" s="249">
        <v>0.73</v>
      </c>
      <c r="M12" s="256">
        <v>0.82499999999999996</v>
      </c>
      <c r="N12" s="248">
        <f t="shared" si="1"/>
        <v>0.88678234143133383</v>
      </c>
      <c r="O12" s="248">
        <f t="shared" si="2"/>
        <v>5.3206940485880025</v>
      </c>
      <c r="P12" s="249">
        <f t="shared" si="3"/>
        <v>0.2</v>
      </c>
      <c r="Q12" s="256">
        <v>65</v>
      </c>
      <c r="R12" s="256">
        <v>0</v>
      </c>
      <c r="S12" s="256">
        <f t="shared" si="4"/>
        <v>0</v>
      </c>
      <c r="T12" s="249" t="s">
        <v>131</v>
      </c>
      <c r="U12" s="256" t="s">
        <v>302</v>
      </c>
      <c r="V12" s="249">
        <v>4</v>
      </c>
      <c r="W12" s="249" t="str">
        <f t="shared" si="5"/>
        <v>3C X 4</v>
      </c>
      <c r="X12" s="249" t="str">
        <f t="shared" si="6"/>
        <v>3C X 4+PE</v>
      </c>
      <c r="Y12" s="249" t="s">
        <v>314</v>
      </c>
      <c r="Z12" s="250">
        <f>IF(T12="AIR",VLOOKUP(W12,'Catalogue Aluminium'!$B$9:$G$91,2,FALSE),IF(T12="GROUND",VLOOKUP(W12,'Catalogue Aluminium'!$B$9:$G$91,3,FALSE),IF(T12="DUCT",VLOOKUP(W12,'Catalogue Aluminium'!$B$9:$G$91,4,FALSE),IF(T12="TRENCH",VLOOKUP(W12,'Catalogue Aluminium'!$B$9:$G$91,2,FALSE)))))</f>
        <v>38</v>
      </c>
      <c r="AA12" s="251">
        <f>VLOOKUP(W12,'Catalogue Aluminium'!$B$9:$G$91,5,FALSE)</f>
        <v>5.9</v>
      </c>
      <c r="AB12" s="251">
        <f>VLOOKUP(W12,'Catalogue Aluminium'!$B$9:$G$91,6,FALSE)</f>
        <v>9.4700000000000006E-2</v>
      </c>
      <c r="AC12" s="294">
        <f>35+3</f>
        <v>38</v>
      </c>
      <c r="AD12" s="294">
        <f>40+50+38+50+17+(27+30+9+5)</f>
        <v>266</v>
      </c>
      <c r="AE12" s="294">
        <f t="shared" si="18"/>
        <v>38</v>
      </c>
      <c r="AF12" s="294">
        <v>8</v>
      </c>
      <c r="AG12" s="294">
        <f t="shared" si="19"/>
        <v>35</v>
      </c>
      <c r="AH12" s="253">
        <f t="shared" si="20"/>
        <v>385</v>
      </c>
      <c r="AI12" s="250">
        <f>IF(T12="AIR",'Catalogue Aluminium'!$K$9,IF(T12="TRENCH",'Catalogue Aluminium'!$K$12,"NA"))</f>
        <v>0.89</v>
      </c>
      <c r="AJ12" s="248">
        <f>IF(T12="Air",(IF(U12="1C",'Catalogue Aluminium'!$L$9,'Catalogue Aluminium'!$M$9)),IF(T12="DUCT",(IF($U12="1C",'Catalogue Aluminium'!$L$10,'Catalogue Aluminium'!$M$10)),IF(T12="GROUND",(IF($U12="1C",'Catalogue Aluminium'!$L$11,'Catalogue Aluminium'!$M$11)),IF(T12="TRENCH",(IF($U12="1C",'Catalogue Aluminium'!$L$12,'Catalogue Aluminium'!$M$12))))))</f>
        <v>0.66</v>
      </c>
      <c r="AK12" s="250" t="str">
        <f>IF(T12="Air",'Catalogue Aluminium'!$N$9,IF(T12="GROUND",'Catalogue Aluminium'!$N$10,IF(T12="DUCT",'Catalogue Aluminium'!$N$11,IF(T12="TRENCH",'Catalogue Aluminium'!$N$12,"NA"))))</f>
        <v>NA</v>
      </c>
      <c r="AL12" s="250" t="str">
        <f>IF(T12="Air",(IF(U12="1C",'Catalogue Aluminium'!$O$9,'Catalogue Aluminium'!$P$9)),IF(T12="DUCT",(IF($U12="1C",'Catalogue Aluminium'!$O$10,'Catalogue Aluminium'!$P$10)),IF(T12="GROUND",(IF($U12="1C",'Catalogue Aluminium'!$O$11,'Catalogue Aluminium'!$P$11)),IF(T12="TRENCH",(IF($U12="1C",'Catalogue Aluminium'!$O$12,'Catalogue Aluminium'!$P$12))))))</f>
        <v>NA</v>
      </c>
      <c r="AM12" s="250" t="str">
        <f>IF(T12="AIR","NA",IF(T12="TRENCH","NA",IF(T12="DUCT",IF(U12="1C",VLOOKUP(V12,'Catalogue Aluminium'!$Q$9:$S$28,2,FALSE),VLOOKUP(V12,'Catalogue Aluminium'!$Q$9:$S$28,3)),IF(T12="GROUND",IF(U12="1C",VLOOKUP(V12,'Catalogue Aluminium'!$Q$9:$S$28,2,FALSE),VLOOKUP(V12,'Catalogue Aluminium'!$Q$9:$S$28,3))))))</f>
        <v>NA</v>
      </c>
      <c r="AN12" s="257">
        <f t="shared" si="8"/>
        <v>0.58740000000000003</v>
      </c>
      <c r="AO12" s="256">
        <f t="shared" si="9"/>
        <v>22.321200000000001</v>
      </c>
      <c r="AP12" s="255">
        <f t="shared" si="10"/>
        <v>1</v>
      </c>
      <c r="AQ12" s="256" t="str">
        <f t="shared" si="11"/>
        <v>YES</v>
      </c>
      <c r="AR12" s="257">
        <f t="shared" si="12"/>
        <v>0.64629527856935987</v>
      </c>
      <c r="AS12" s="249" t="str">
        <f t="shared" si="13"/>
        <v>YES</v>
      </c>
      <c r="AT12" s="257">
        <f t="shared" si="14"/>
        <v>1.1289774593060373</v>
      </c>
      <c r="AU12" s="249" t="str">
        <f t="shared" si="15"/>
        <v>YES</v>
      </c>
      <c r="AV12" s="260" t="str">
        <f t="shared" si="16"/>
        <v>1R x 0.6/1kV x 3C x 4 Sqmm</v>
      </c>
      <c r="AW12" s="260" t="str">
        <f t="shared" si="17"/>
        <v>1R x 0.6/1kV x 3C x 4+PE Sqmm</v>
      </c>
      <c r="AX12" s="249">
        <f t="shared" si="21"/>
        <v>385</v>
      </c>
      <c r="AY12" s="261"/>
    </row>
    <row r="13" spans="1:51" ht="20.149999999999999" customHeight="1">
      <c r="A13" s="243">
        <f t="shared" ref="A13:A35" si="22">1+A12</f>
        <v>3</v>
      </c>
      <c r="B13" s="243" t="s">
        <v>356</v>
      </c>
      <c r="C13" s="243" t="str">
        <f t="shared" si="0"/>
        <v>PMCC-1</v>
      </c>
      <c r="D13" s="272" t="s">
        <v>357</v>
      </c>
      <c r="E13" s="351" t="s">
        <v>310</v>
      </c>
      <c r="F13" s="243" t="s">
        <v>28</v>
      </c>
      <c r="G13" s="243" t="s">
        <v>311</v>
      </c>
      <c r="H13" s="291">
        <v>0.37</v>
      </c>
      <c r="I13" s="243" t="s">
        <v>299</v>
      </c>
      <c r="J13" s="243" t="s">
        <v>300</v>
      </c>
      <c r="K13" s="255">
        <v>400</v>
      </c>
      <c r="L13" s="249">
        <v>0.73</v>
      </c>
      <c r="M13" s="256">
        <v>0.82499999999999996</v>
      </c>
      <c r="N13" s="248">
        <f t="shared" si="1"/>
        <v>0.88678234143133383</v>
      </c>
      <c r="O13" s="248">
        <f t="shared" si="2"/>
        <v>5.3206940485880025</v>
      </c>
      <c r="P13" s="249">
        <f t="shared" si="3"/>
        <v>0.2</v>
      </c>
      <c r="Q13" s="256">
        <v>65</v>
      </c>
      <c r="R13" s="256">
        <v>0</v>
      </c>
      <c r="S13" s="256">
        <f t="shared" si="4"/>
        <v>0</v>
      </c>
      <c r="T13" s="249" t="s">
        <v>131</v>
      </c>
      <c r="U13" s="256" t="s">
        <v>302</v>
      </c>
      <c r="V13" s="249">
        <v>4</v>
      </c>
      <c r="W13" s="249" t="str">
        <f t="shared" si="5"/>
        <v>3C X 4</v>
      </c>
      <c r="X13" s="249" t="str">
        <f t="shared" si="6"/>
        <v>3C X 4+PE</v>
      </c>
      <c r="Y13" s="249" t="s">
        <v>314</v>
      </c>
      <c r="Z13" s="250">
        <f>IF(T13="AIR",VLOOKUP(W13,'Catalogue Aluminium'!$B$9:$G$91,2,FALSE),IF(T13="GROUND",VLOOKUP(W13,'Catalogue Aluminium'!$B$9:$G$91,3,FALSE),IF(T13="DUCT",VLOOKUP(W13,'Catalogue Aluminium'!$B$9:$G$91,4,FALSE),IF(T13="TRENCH",VLOOKUP(W13,'Catalogue Aluminium'!$B$9:$G$91,2,FALSE)))))</f>
        <v>38</v>
      </c>
      <c r="AA13" s="251">
        <f>VLOOKUP(W13,'Catalogue Aluminium'!$B$9:$G$91,5,FALSE)</f>
        <v>5.9</v>
      </c>
      <c r="AB13" s="251">
        <f>VLOOKUP(W13,'Catalogue Aluminium'!$B$9:$G$91,6,FALSE)</f>
        <v>9.4700000000000006E-2</v>
      </c>
      <c r="AC13" s="294">
        <f>26+3</f>
        <v>29</v>
      </c>
      <c r="AD13" s="294">
        <f>40+50+38+50+17+(27+30+9+18+5)</f>
        <v>284</v>
      </c>
      <c r="AE13" s="294">
        <f t="shared" si="18"/>
        <v>38</v>
      </c>
      <c r="AF13" s="294">
        <v>8</v>
      </c>
      <c r="AG13" s="294">
        <f t="shared" si="19"/>
        <v>36</v>
      </c>
      <c r="AH13" s="253">
        <f t="shared" si="20"/>
        <v>395</v>
      </c>
      <c r="AI13" s="250">
        <f>IF(T13="AIR",'Catalogue Aluminium'!$K$9,IF(T13="TRENCH",'Catalogue Aluminium'!$K$12,"NA"))</f>
        <v>0.89</v>
      </c>
      <c r="AJ13" s="248">
        <f>IF(T13="Air",(IF(U13="1C",'Catalogue Aluminium'!$L$9,'Catalogue Aluminium'!$M$9)),IF(T13="DUCT",(IF($U13="1C",'Catalogue Aluminium'!$L$10,'Catalogue Aluminium'!$M$10)),IF(T13="GROUND",(IF($U13="1C",'Catalogue Aluminium'!$L$11,'Catalogue Aluminium'!$M$11)),IF(T13="TRENCH",(IF($U13="1C",'Catalogue Aluminium'!$L$12,'Catalogue Aluminium'!$M$12))))))</f>
        <v>0.66</v>
      </c>
      <c r="AK13" s="250" t="str">
        <f>IF(T13="Air",'Catalogue Aluminium'!$N$9,IF(T13="GROUND",'Catalogue Aluminium'!$N$10,IF(T13="DUCT",'Catalogue Aluminium'!$N$11,IF(T13="TRENCH",'Catalogue Aluminium'!$N$12,"NA"))))</f>
        <v>NA</v>
      </c>
      <c r="AL13" s="250" t="str">
        <f>IF(T13="Air",(IF(U13="1C",'Catalogue Aluminium'!$O$9,'Catalogue Aluminium'!$P$9)),IF(T13="DUCT",(IF($U13="1C",'Catalogue Aluminium'!$O$10,'Catalogue Aluminium'!$P$10)),IF(T13="GROUND",(IF($U13="1C",'Catalogue Aluminium'!$O$11,'Catalogue Aluminium'!$P$11)),IF(T13="TRENCH",(IF($U13="1C",'Catalogue Aluminium'!$O$12,'Catalogue Aluminium'!$P$12))))))</f>
        <v>NA</v>
      </c>
      <c r="AM13" s="250" t="str">
        <f>IF(T13="AIR","NA",IF(T13="TRENCH","NA",IF(T13="DUCT",IF(U13="1C",VLOOKUP(V13,'Catalogue Aluminium'!$Q$9:$S$28,2,FALSE),VLOOKUP(V13,'Catalogue Aluminium'!$Q$9:$S$28,3)),IF(T13="GROUND",IF(U13="1C",VLOOKUP(V13,'Catalogue Aluminium'!$Q$9:$S$28,2,FALSE),VLOOKUP(V13,'Catalogue Aluminium'!$Q$9:$S$28,3))))))</f>
        <v>NA</v>
      </c>
      <c r="AN13" s="257">
        <f t="shared" si="8"/>
        <v>0.58740000000000003</v>
      </c>
      <c r="AO13" s="256">
        <f t="shared" si="9"/>
        <v>22.321200000000001</v>
      </c>
      <c r="AP13" s="255">
        <f t="shared" si="10"/>
        <v>1</v>
      </c>
      <c r="AQ13" s="256" t="str">
        <f t="shared" si="11"/>
        <v>YES</v>
      </c>
      <c r="AR13" s="257">
        <f t="shared" si="12"/>
        <v>0.66308216892181082</v>
      </c>
      <c r="AS13" s="249" t="str">
        <f t="shared" si="13"/>
        <v>YES</v>
      </c>
      <c r="AT13" s="257">
        <f t="shared" si="14"/>
        <v>1.1583015491581423</v>
      </c>
      <c r="AU13" s="249" t="str">
        <f t="shared" si="15"/>
        <v>YES</v>
      </c>
      <c r="AV13" s="260" t="str">
        <f t="shared" si="16"/>
        <v>1R x 0.6/1kV x 3C x 4 Sqmm</v>
      </c>
      <c r="AW13" s="260" t="str">
        <f t="shared" si="17"/>
        <v>1R x 0.6/1kV x 3C x 4+PE Sqmm</v>
      </c>
      <c r="AX13" s="249">
        <f t="shared" si="21"/>
        <v>395</v>
      </c>
      <c r="AY13" s="261"/>
    </row>
    <row r="14" spans="1:51" ht="20.149999999999999" customHeight="1">
      <c r="A14" s="243">
        <f t="shared" si="22"/>
        <v>4</v>
      </c>
      <c r="B14" s="243" t="s">
        <v>358</v>
      </c>
      <c r="C14" s="243" t="str">
        <f t="shared" si="0"/>
        <v>PMCC-1</v>
      </c>
      <c r="D14" s="272" t="s">
        <v>359</v>
      </c>
      <c r="E14" s="351" t="s">
        <v>310</v>
      </c>
      <c r="F14" s="243" t="s">
        <v>29</v>
      </c>
      <c r="G14" s="243" t="s">
        <v>311</v>
      </c>
      <c r="H14" s="291">
        <v>0.37</v>
      </c>
      <c r="I14" s="243" t="s">
        <v>299</v>
      </c>
      <c r="J14" s="243" t="s">
        <v>300</v>
      </c>
      <c r="K14" s="255">
        <v>400</v>
      </c>
      <c r="L14" s="249">
        <v>0.73</v>
      </c>
      <c r="M14" s="256">
        <v>0.82499999999999996</v>
      </c>
      <c r="N14" s="248">
        <f t="shared" si="1"/>
        <v>0.88678234143133383</v>
      </c>
      <c r="O14" s="248">
        <f t="shared" si="2"/>
        <v>5.3206940485880025</v>
      </c>
      <c r="P14" s="249">
        <f t="shared" si="3"/>
        <v>0.2</v>
      </c>
      <c r="Q14" s="256">
        <v>65</v>
      </c>
      <c r="R14" s="256">
        <v>0</v>
      </c>
      <c r="S14" s="256">
        <f t="shared" si="4"/>
        <v>0</v>
      </c>
      <c r="T14" s="249" t="s">
        <v>131</v>
      </c>
      <c r="U14" s="256" t="s">
        <v>302</v>
      </c>
      <c r="V14" s="249">
        <v>4</v>
      </c>
      <c r="W14" s="249" t="str">
        <f t="shared" si="5"/>
        <v>3C X 4</v>
      </c>
      <c r="X14" s="249" t="str">
        <f t="shared" si="6"/>
        <v>3C X 4+PE</v>
      </c>
      <c r="Y14" s="249" t="s">
        <v>314</v>
      </c>
      <c r="Z14" s="250">
        <f>IF(T14="AIR",VLOOKUP(W14,'Catalogue Aluminium'!$B$9:$G$91,2,FALSE),IF(T14="GROUND",VLOOKUP(W14,'Catalogue Aluminium'!$B$9:$G$91,3,FALSE),IF(T14="DUCT",VLOOKUP(W14,'Catalogue Aluminium'!$B$9:$G$91,4,FALSE),IF(T14="TRENCH",VLOOKUP(W14,'Catalogue Aluminium'!$B$9:$G$91,2,FALSE)))))</f>
        <v>38</v>
      </c>
      <c r="AA14" s="251">
        <f>VLOOKUP(W14,'Catalogue Aluminium'!$B$9:$G$91,5,FALSE)</f>
        <v>5.9</v>
      </c>
      <c r="AB14" s="251">
        <f>VLOOKUP(W14,'Catalogue Aluminium'!$B$9:$G$91,6,FALSE)</f>
        <v>9.4700000000000006E-2</v>
      </c>
      <c r="AC14" s="294">
        <f>35+3</f>
        <v>38</v>
      </c>
      <c r="AD14" s="294">
        <f>40+50+38+50+17+(27+30+9+2+5)</f>
        <v>268</v>
      </c>
      <c r="AE14" s="294">
        <f t="shared" si="18"/>
        <v>38</v>
      </c>
      <c r="AF14" s="294">
        <v>8</v>
      </c>
      <c r="AG14" s="294">
        <f t="shared" si="19"/>
        <v>36</v>
      </c>
      <c r="AH14" s="253">
        <f t="shared" si="20"/>
        <v>388</v>
      </c>
      <c r="AI14" s="250">
        <f>IF(T14="AIR",'Catalogue Aluminium'!$K$9,IF(T14="TRENCH",'Catalogue Aluminium'!$K$12,"NA"))</f>
        <v>0.89</v>
      </c>
      <c r="AJ14" s="248">
        <f>IF(T14="Air",(IF(U14="1C",'Catalogue Aluminium'!$L$9,'Catalogue Aluminium'!$M$9)),IF(T14="DUCT",(IF($U14="1C",'Catalogue Aluminium'!$L$10,'Catalogue Aluminium'!$M$10)),IF(T14="GROUND",(IF($U14="1C",'Catalogue Aluminium'!$L$11,'Catalogue Aluminium'!$M$11)),IF(T14="TRENCH",(IF($U14="1C",'Catalogue Aluminium'!$L$12,'Catalogue Aluminium'!$M$12))))))</f>
        <v>0.66</v>
      </c>
      <c r="AK14" s="250" t="str">
        <f>IF(T14="Air",'Catalogue Aluminium'!$N$9,IF(T14="GROUND",'Catalogue Aluminium'!$N$10,IF(T14="DUCT",'Catalogue Aluminium'!$N$11,IF(T14="TRENCH",'Catalogue Aluminium'!$N$12,"NA"))))</f>
        <v>NA</v>
      </c>
      <c r="AL14" s="250" t="str">
        <f>IF(T14="Air",(IF(U14="1C",'Catalogue Aluminium'!$O$9,'Catalogue Aluminium'!$P$9)),IF(T14="DUCT",(IF($U14="1C",'Catalogue Aluminium'!$O$10,'Catalogue Aluminium'!$P$10)),IF(T14="GROUND",(IF($U14="1C",'Catalogue Aluminium'!$O$11,'Catalogue Aluminium'!$P$11)),IF(T14="TRENCH",(IF($U14="1C",'Catalogue Aluminium'!$O$12,'Catalogue Aluminium'!$P$12))))))</f>
        <v>NA</v>
      </c>
      <c r="AM14" s="250" t="str">
        <f>IF(T14="AIR","NA",IF(T14="TRENCH","NA",IF(T14="DUCT",IF(U14="1C",VLOOKUP(V14,'Catalogue Aluminium'!$Q$9:$S$28,2,FALSE),VLOOKUP(V14,'Catalogue Aluminium'!$Q$9:$S$28,3)),IF(T14="GROUND",IF(U14="1C",VLOOKUP(V14,'Catalogue Aluminium'!$Q$9:$S$28,2,FALSE),VLOOKUP(V14,'Catalogue Aluminium'!$Q$9:$S$28,3))))))</f>
        <v>NA</v>
      </c>
      <c r="AN14" s="257">
        <f t="shared" si="8"/>
        <v>0.58740000000000003</v>
      </c>
      <c r="AO14" s="256">
        <f t="shared" si="9"/>
        <v>22.321200000000001</v>
      </c>
      <c r="AP14" s="255">
        <f t="shared" si="10"/>
        <v>1</v>
      </c>
      <c r="AQ14" s="256" t="str">
        <f t="shared" si="11"/>
        <v>YES</v>
      </c>
      <c r="AR14" s="257">
        <f t="shared" si="12"/>
        <v>0.6513313456750951</v>
      </c>
      <c r="AS14" s="249" t="str">
        <f t="shared" si="13"/>
        <v>YES</v>
      </c>
      <c r="AT14" s="257">
        <f t="shared" si="14"/>
        <v>1.1377746862616689</v>
      </c>
      <c r="AU14" s="249" t="str">
        <f t="shared" si="15"/>
        <v>YES</v>
      </c>
      <c r="AV14" s="260" t="str">
        <f t="shared" si="16"/>
        <v>1R x 0.6/1kV x 3C x 4 Sqmm</v>
      </c>
      <c r="AW14" s="260" t="str">
        <f t="shared" si="17"/>
        <v>1R x 0.6/1kV x 3C x 4+PE Sqmm</v>
      </c>
      <c r="AX14" s="249">
        <f t="shared" si="21"/>
        <v>388</v>
      </c>
      <c r="AY14" s="261"/>
    </row>
    <row r="15" spans="1:51" ht="20.149999999999999" customHeight="1">
      <c r="A15" s="243">
        <f t="shared" si="22"/>
        <v>5</v>
      </c>
      <c r="B15" s="243" t="s">
        <v>360</v>
      </c>
      <c r="C15" s="243" t="str">
        <f t="shared" si="0"/>
        <v>PMCC-1</v>
      </c>
      <c r="D15" s="272" t="s">
        <v>353</v>
      </c>
      <c r="E15" s="351" t="s">
        <v>310</v>
      </c>
      <c r="F15" s="243" t="s">
        <v>28</v>
      </c>
      <c r="G15" s="243" t="s">
        <v>311</v>
      </c>
      <c r="H15" s="291">
        <v>0.37</v>
      </c>
      <c r="I15" s="243" t="s">
        <v>299</v>
      </c>
      <c r="J15" s="243" t="s">
        <v>300</v>
      </c>
      <c r="K15" s="255">
        <v>400</v>
      </c>
      <c r="L15" s="249">
        <v>0.73</v>
      </c>
      <c r="M15" s="256">
        <v>0.82499999999999996</v>
      </c>
      <c r="N15" s="248">
        <f t="shared" si="1"/>
        <v>0.88678234143133383</v>
      </c>
      <c r="O15" s="248">
        <f t="shared" si="2"/>
        <v>5.3206940485880025</v>
      </c>
      <c r="P15" s="249">
        <f t="shared" si="3"/>
        <v>0.2</v>
      </c>
      <c r="Q15" s="256">
        <v>65</v>
      </c>
      <c r="R15" s="256">
        <v>0</v>
      </c>
      <c r="S15" s="256">
        <f t="shared" si="4"/>
        <v>0</v>
      </c>
      <c r="T15" s="249" t="s">
        <v>131</v>
      </c>
      <c r="U15" s="256" t="s">
        <v>302</v>
      </c>
      <c r="V15" s="249">
        <v>4</v>
      </c>
      <c r="W15" s="249" t="str">
        <f t="shared" si="5"/>
        <v>3C X 4</v>
      </c>
      <c r="X15" s="249" t="str">
        <f t="shared" si="6"/>
        <v>3C X 4+PE</v>
      </c>
      <c r="Y15" s="249" t="s">
        <v>314</v>
      </c>
      <c r="Z15" s="250">
        <f>IF(T15="AIR",VLOOKUP(W15,'Catalogue Aluminium'!$B$9:$G$91,2,FALSE),IF(T15="GROUND",VLOOKUP(W15,'Catalogue Aluminium'!$B$9:$G$91,3,FALSE),IF(T15="DUCT",VLOOKUP(W15,'Catalogue Aluminium'!$B$9:$G$91,4,FALSE),IF(T15="TRENCH",VLOOKUP(W15,'Catalogue Aluminium'!$B$9:$G$91,2,FALSE)))))</f>
        <v>38</v>
      </c>
      <c r="AA15" s="251">
        <f>VLOOKUP(W15,'Catalogue Aluminium'!$B$9:$G$91,5,FALSE)</f>
        <v>5.9</v>
      </c>
      <c r="AB15" s="251">
        <f>VLOOKUP(W15,'Catalogue Aluminium'!$B$9:$G$91,6,FALSE)</f>
        <v>9.4700000000000006E-2</v>
      </c>
      <c r="AC15" s="294">
        <f>26+3</f>
        <v>29</v>
      </c>
      <c r="AD15" s="294">
        <f>40+50+38+50+17+(27+42+51)</f>
        <v>315</v>
      </c>
      <c r="AE15" s="294">
        <f t="shared" si="18"/>
        <v>38</v>
      </c>
      <c r="AF15" s="294">
        <v>8</v>
      </c>
      <c r="AG15" s="294">
        <f t="shared" si="19"/>
        <v>39</v>
      </c>
      <c r="AH15" s="253">
        <f t="shared" si="20"/>
        <v>429</v>
      </c>
      <c r="AI15" s="250">
        <f>IF(T15="AIR",'Catalogue Aluminium'!$K$9,IF(T15="TRENCH",'Catalogue Aluminium'!$K$12,"NA"))</f>
        <v>0.89</v>
      </c>
      <c r="AJ15" s="248">
        <f>IF(T15="Air",(IF(U15="1C",'Catalogue Aluminium'!$L$9,'Catalogue Aluminium'!$M$9)),IF(T15="DUCT",(IF($U15="1C",'Catalogue Aluminium'!$L$10,'Catalogue Aluminium'!$M$10)),IF(T15="GROUND",(IF($U15="1C",'Catalogue Aluminium'!$L$11,'Catalogue Aluminium'!$M$11)),IF(T15="TRENCH",(IF($U15="1C",'Catalogue Aluminium'!$L$12,'Catalogue Aluminium'!$M$12))))))</f>
        <v>0.66</v>
      </c>
      <c r="AK15" s="250" t="str">
        <f>IF(T15="Air",'Catalogue Aluminium'!$N$9,IF(T15="GROUND",'Catalogue Aluminium'!$N$10,IF(T15="DUCT",'Catalogue Aluminium'!$N$11,IF(T15="TRENCH",'Catalogue Aluminium'!$N$12,"NA"))))</f>
        <v>NA</v>
      </c>
      <c r="AL15" s="250" t="str">
        <f>IF(T15="Air",(IF(U15="1C",'Catalogue Aluminium'!$O$9,'Catalogue Aluminium'!$P$9)),IF(T15="DUCT",(IF($U15="1C",'Catalogue Aluminium'!$O$10,'Catalogue Aluminium'!$P$10)),IF(T15="GROUND",(IF($U15="1C",'Catalogue Aluminium'!$O$11,'Catalogue Aluminium'!$P$11)),IF(T15="TRENCH",(IF($U15="1C",'Catalogue Aluminium'!$O$12,'Catalogue Aluminium'!$P$12))))))</f>
        <v>NA</v>
      </c>
      <c r="AM15" s="250" t="str">
        <f>IF(T15="AIR","NA",IF(T15="TRENCH","NA",IF(T15="DUCT",IF(U15="1C",VLOOKUP(V15,'Catalogue Aluminium'!$Q$9:$S$28,2,FALSE),VLOOKUP(V15,'Catalogue Aluminium'!$Q$9:$S$28,3)),IF(T15="GROUND",IF(U15="1C",VLOOKUP(V15,'Catalogue Aluminium'!$Q$9:$S$28,2,FALSE),VLOOKUP(V15,'Catalogue Aluminium'!$Q$9:$S$28,3))))))</f>
        <v>NA</v>
      </c>
      <c r="AN15" s="257">
        <f t="shared" si="8"/>
        <v>0.58740000000000003</v>
      </c>
      <c r="AO15" s="256">
        <f t="shared" si="9"/>
        <v>22.321200000000001</v>
      </c>
      <c r="AP15" s="255">
        <f t="shared" si="10"/>
        <v>1</v>
      </c>
      <c r="AQ15" s="256" t="str">
        <f t="shared" si="11"/>
        <v>YES</v>
      </c>
      <c r="AR15" s="257">
        <f t="shared" si="12"/>
        <v>0.72015759612014385</v>
      </c>
      <c r="AS15" s="249" t="str">
        <f t="shared" si="13"/>
        <v>YES</v>
      </c>
      <c r="AT15" s="257">
        <f t="shared" si="14"/>
        <v>1.2580034546552989</v>
      </c>
      <c r="AU15" s="249" t="str">
        <f t="shared" si="15"/>
        <v>YES</v>
      </c>
      <c r="AV15" s="260" t="str">
        <f t="shared" si="16"/>
        <v>1R x 0.6/1kV x 3C x 4 Sqmm</v>
      </c>
      <c r="AW15" s="260" t="str">
        <f t="shared" si="17"/>
        <v>1R x 0.6/1kV x 3C x 4+PE Sqmm</v>
      </c>
      <c r="AX15" s="249">
        <f t="shared" si="21"/>
        <v>429</v>
      </c>
      <c r="AY15" s="261"/>
    </row>
    <row r="16" spans="1:51" ht="20.149999999999999" customHeight="1">
      <c r="A16" s="243">
        <f t="shared" si="22"/>
        <v>6</v>
      </c>
      <c r="B16" s="243" t="s">
        <v>361</v>
      </c>
      <c r="C16" s="243" t="str">
        <f t="shared" si="0"/>
        <v>PMCC-1</v>
      </c>
      <c r="D16" s="272" t="s">
        <v>355</v>
      </c>
      <c r="E16" s="351" t="s">
        <v>310</v>
      </c>
      <c r="F16" s="243" t="s">
        <v>29</v>
      </c>
      <c r="G16" s="243" t="s">
        <v>311</v>
      </c>
      <c r="H16" s="291">
        <v>0.37</v>
      </c>
      <c r="I16" s="243" t="s">
        <v>299</v>
      </c>
      <c r="J16" s="243" t="s">
        <v>300</v>
      </c>
      <c r="K16" s="255">
        <v>400</v>
      </c>
      <c r="L16" s="249">
        <v>0.73</v>
      </c>
      <c r="M16" s="256">
        <v>0.82499999999999996</v>
      </c>
      <c r="N16" s="248">
        <f t="shared" si="1"/>
        <v>0.88678234143133383</v>
      </c>
      <c r="O16" s="248">
        <f t="shared" si="2"/>
        <v>5.3206940485880025</v>
      </c>
      <c r="P16" s="249">
        <f t="shared" si="3"/>
        <v>0.2</v>
      </c>
      <c r="Q16" s="256">
        <v>65</v>
      </c>
      <c r="R16" s="256">
        <v>0</v>
      </c>
      <c r="S16" s="256">
        <f t="shared" si="4"/>
        <v>0</v>
      </c>
      <c r="T16" s="249" t="s">
        <v>131</v>
      </c>
      <c r="U16" s="256" t="s">
        <v>302</v>
      </c>
      <c r="V16" s="249">
        <v>4</v>
      </c>
      <c r="W16" s="249" t="str">
        <f t="shared" si="5"/>
        <v>3C X 4</v>
      </c>
      <c r="X16" s="249" t="str">
        <f t="shared" si="6"/>
        <v>3C X 4+PE</v>
      </c>
      <c r="Y16" s="249" t="s">
        <v>314</v>
      </c>
      <c r="Z16" s="250">
        <f>IF(T16="AIR",VLOOKUP(W16,'Catalogue Aluminium'!$B$9:$G$91,2,FALSE),IF(T16="GROUND",VLOOKUP(W16,'Catalogue Aluminium'!$B$9:$G$91,3,FALSE),IF(T16="DUCT",VLOOKUP(W16,'Catalogue Aluminium'!$B$9:$G$91,4,FALSE),IF(T16="TRENCH",VLOOKUP(W16,'Catalogue Aluminium'!$B$9:$G$91,2,FALSE)))))</f>
        <v>38</v>
      </c>
      <c r="AA16" s="251">
        <f>VLOOKUP(W16,'Catalogue Aluminium'!$B$9:$G$91,5,FALSE)</f>
        <v>5.9</v>
      </c>
      <c r="AB16" s="251">
        <f>VLOOKUP(W16,'Catalogue Aluminium'!$B$9:$G$91,6,FALSE)</f>
        <v>9.4700000000000006E-2</v>
      </c>
      <c r="AC16" s="294">
        <f>35+3</f>
        <v>38</v>
      </c>
      <c r="AD16" s="294">
        <f>40+50+38+50+17+(27+30+9+5)</f>
        <v>266</v>
      </c>
      <c r="AE16" s="294">
        <f t="shared" si="18"/>
        <v>38</v>
      </c>
      <c r="AF16" s="294">
        <v>8</v>
      </c>
      <c r="AG16" s="294">
        <f t="shared" si="19"/>
        <v>35</v>
      </c>
      <c r="AH16" s="253">
        <f t="shared" si="20"/>
        <v>385</v>
      </c>
      <c r="AI16" s="250">
        <f>IF(T16="AIR",'Catalogue Aluminium'!$K$9,IF(T16="TRENCH",'Catalogue Aluminium'!$K$12,"NA"))</f>
        <v>0.89</v>
      </c>
      <c r="AJ16" s="248">
        <f>IF(T16="Air",(IF(U16="1C",'Catalogue Aluminium'!$L$9,'Catalogue Aluminium'!$M$9)),IF(T16="DUCT",(IF($U16="1C",'Catalogue Aluminium'!$L$10,'Catalogue Aluminium'!$M$10)),IF(T16="GROUND",(IF($U16="1C",'Catalogue Aluminium'!$L$11,'Catalogue Aluminium'!$M$11)),IF(T16="TRENCH",(IF($U16="1C",'Catalogue Aluminium'!$L$12,'Catalogue Aluminium'!$M$12))))))</f>
        <v>0.66</v>
      </c>
      <c r="AK16" s="250" t="str">
        <f>IF(T16="Air",'Catalogue Aluminium'!$N$9,IF(T16="GROUND",'Catalogue Aluminium'!$N$10,IF(T16="DUCT",'Catalogue Aluminium'!$N$11,IF(T16="TRENCH",'Catalogue Aluminium'!$N$12,"NA"))))</f>
        <v>NA</v>
      </c>
      <c r="AL16" s="250" t="str">
        <f>IF(T16="Air",(IF(U16="1C",'Catalogue Aluminium'!$O$9,'Catalogue Aluminium'!$P$9)),IF(T16="DUCT",(IF($U16="1C",'Catalogue Aluminium'!$O$10,'Catalogue Aluminium'!$P$10)),IF(T16="GROUND",(IF($U16="1C",'Catalogue Aluminium'!$O$11,'Catalogue Aluminium'!$P$11)),IF(T16="TRENCH",(IF($U16="1C",'Catalogue Aluminium'!$O$12,'Catalogue Aluminium'!$P$12))))))</f>
        <v>NA</v>
      </c>
      <c r="AM16" s="250" t="str">
        <f>IF(T16="AIR","NA",IF(T16="TRENCH","NA",IF(T16="DUCT",IF(U16="1C",VLOOKUP(V16,'Catalogue Aluminium'!$Q$9:$S$28,2,FALSE),VLOOKUP(V16,'Catalogue Aluminium'!$Q$9:$S$28,3)),IF(T16="GROUND",IF(U16="1C",VLOOKUP(V16,'Catalogue Aluminium'!$Q$9:$S$28,2,FALSE),VLOOKUP(V16,'Catalogue Aluminium'!$Q$9:$S$28,3))))))</f>
        <v>NA</v>
      </c>
      <c r="AN16" s="257">
        <f t="shared" si="8"/>
        <v>0.58740000000000003</v>
      </c>
      <c r="AO16" s="256">
        <f t="shared" si="9"/>
        <v>22.321200000000001</v>
      </c>
      <c r="AP16" s="255">
        <f t="shared" si="10"/>
        <v>1</v>
      </c>
      <c r="AQ16" s="256" t="str">
        <f t="shared" si="11"/>
        <v>YES</v>
      </c>
      <c r="AR16" s="257">
        <f t="shared" si="12"/>
        <v>0.64629527856935987</v>
      </c>
      <c r="AS16" s="249" t="str">
        <f t="shared" si="13"/>
        <v>YES</v>
      </c>
      <c r="AT16" s="257">
        <f t="shared" si="14"/>
        <v>1.1289774593060373</v>
      </c>
      <c r="AU16" s="249" t="str">
        <f t="shared" si="15"/>
        <v>YES</v>
      </c>
      <c r="AV16" s="260" t="str">
        <f t="shared" si="16"/>
        <v>1R x 0.6/1kV x 3C x 4 Sqmm</v>
      </c>
      <c r="AW16" s="260" t="str">
        <f t="shared" si="17"/>
        <v>1R x 0.6/1kV x 3C x 4+PE Sqmm</v>
      </c>
      <c r="AX16" s="249">
        <f t="shared" si="21"/>
        <v>385</v>
      </c>
      <c r="AY16" s="261"/>
    </row>
    <row r="17" spans="1:51" ht="20.149999999999999" customHeight="1">
      <c r="A17" s="243">
        <f t="shared" si="22"/>
        <v>7</v>
      </c>
      <c r="B17" s="243" t="s">
        <v>362</v>
      </c>
      <c r="C17" s="243" t="str">
        <f t="shared" si="0"/>
        <v>PMCC-1</v>
      </c>
      <c r="D17" s="272" t="s">
        <v>357</v>
      </c>
      <c r="E17" s="351" t="s">
        <v>310</v>
      </c>
      <c r="F17" s="243" t="s">
        <v>28</v>
      </c>
      <c r="G17" s="243" t="s">
        <v>311</v>
      </c>
      <c r="H17" s="291">
        <v>0.37</v>
      </c>
      <c r="I17" s="243" t="s">
        <v>299</v>
      </c>
      <c r="J17" s="243" t="s">
        <v>300</v>
      </c>
      <c r="K17" s="255">
        <v>400</v>
      </c>
      <c r="L17" s="249">
        <v>0.73</v>
      </c>
      <c r="M17" s="256">
        <v>0.82499999999999996</v>
      </c>
      <c r="N17" s="248">
        <f t="shared" si="1"/>
        <v>0.88678234143133383</v>
      </c>
      <c r="O17" s="248">
        <f t="shared" si="2"/>
        <v>5.3206940485880025</v>
      </c>
      <c r="P17" s="249">
        <f t="shared" si="3"/>
        <v>0.2</v>
      </c>
      <c r="Q17" s="256">
        <v>65</v>
      </c>
      <c r="R17" s="256">
        <v>0</v>
      </c>
      <c r="S17" s="256">
        <f t="shared" si="4"/>
        <v>0</v>
      </c>
      <c r="T17" s="249" t="s">
        <v>131</v>
      </c>
      <c r="U17" s="256" t="s">
        <v>302</v>
      </c>
      <c r="V17" s="249">
        <v>4</v>
      </c>
      <c r="W17" s="249" t="str">
        <f t="shared" si="5"/>
        <v>3C X 4</v>
      </c>
      <c r="X17" s="249" t="str">
        <f t="shared" si="6"/>
        <v>3C X 4+PE</v>
      </c>
      <c r="Y17" s="249" t="s">
        <v>314</v>
      </c>
      <c r="Z17" s="250">
        <f>IF(T17="AIR",VLOOKUP(W17,'Catalogue Aluminium'!$B$9:$G$91,2,FALSE),IF(T17="GROUND",VLOOKUP(W17,'Catalogue Aluminium'!$B$9:$G$91,3,FALSE),IF(T17="DUCT",VLOOKUP(W17,'Catalogue Aluminium'!$B$9:$G$91,4,FALSE),IF(T17="TRENCH",VLOOKUP(W17,'Catalogue Aluminium'!$B$9:$G$91,2,FALSE)))))</f>
        <v>38</v>
      </c>
      <c r="AA17" s="251">
        <f>VLOOKUP(W17,'Catalogue Aluminium'!$B$9:$G$91,5,FALSE)</f>
        <v>5.9</v>
      </c>
      <c r="AB17" s="251">
        <f>VLOOKUP(W17,'Catalogue Aluminium'!$B$9:$G$91,6,FALSE)</f>
        <v>9.4700000000000006E-2</v>
      </c>
      <c r="AC17" s="294">
        <f>26+3</f>
        <v>29</v>
      </c>
      <c r="AD17" s="294">
        <f>40+50+38+50+17+(27+30+9+18+5)</f>
        <v>284</v>
      </c>
      <c r="AE17" s="294">
        <f t="shared" si="18"/>
        <v>38</v>
      </c>
      <c r="AF17" s="294">
        <v>8</v>
      </c>
      <c r="AG17" s="294">
        <f t="shared" si="19"/>
        <v>36</v>
      </c>
      <c r="AH17" s="253">
        <f t="shared" si="20"/>
        <v>395</v>
      </c>
      <c r="AI17" s="250">
        <f>IF(T17="AIR",'Catalogue Aluminium'!$K$9,IF(T17="TRENCH",'Catalogue Aluminium'!$K$12,"NA"))</f>
        <v>0.89</v>
      </c>
      <c r="AJ17" s="248">
        <f>IF(T17="Air",(IF(U17="1C",'Catalogue Aluminium'!$L$9,'Catalogue Aluminium'!$M$9)),IF(T17="DUCT",(IF($U17="1C",'Catalogue Aluminium'!$L$10,'Catalogue Aluminium'!$M$10)),IF(T17="GROUND",(IF($U17="1C",'Catalogue Aluminium'!$L$11,'Catalogue Aluminium'!$M$11)),IF(T17="TRENCH",(IF($U17="1C",'Catalogue Aluminium'!$L$12,'Catalogue Aluminium'!$M$12))))))</f>
        <v>0.66</v>
      </c>
      <c r="AK17" s="250" t="str">
        <f>IF(T17="Air",'Catalogue Aluminium'!$N$9,IF(T17="GROUND",'Catalogue Aluminium'!$N$10,IF(T17="DUCT",'Catalogue Aluminium'!$N$11,IF(T17="TRENCH",'Catalogue Aluminium'!$N$12,"NA"))))</f>
        <v>NA</v>
      </c>
      <c r="AL17" s="250" t="str">
        <f>IF(T17="Air",(IF(U17="1C",'Catalogue Aluminium'!$O$9,'Catalogue Aluminium'!$P$9)),IF(T17="DUCT",(IF($U17="1C",'Catalogue Aluminium'!$O$10,'Catalogue Aluminium'!$P$10)),IF(T17="GROUND",(IF($U17="1C",'Catalogue Aluminium'!$O$11,'Catalogue Aluminium'!$P$11)),IF(T17="TRENCH",(IF($U17="1C",'Catalogue Aluminium'!$O$12,'Catalogue Aluminium'!$P$12))))))</f>
        <v>NA</v>
      </c>
      <c r="AM17" s="250" t="str">
        <f>IF(T17="AIR","NA",IF(T17="TRENCH","NA",IF(T17="DUCT",IF(U17="1C",VLOOKUP(V17,'Catalogue Aluminium'!$Q$9:$S$28,2,FALSE),VLOOKUP(V17,'Catalogue Aluminium'!$Q$9:$S$28,3)),IF(T17="GROUND",IF(U17="1C",VLOOKUP(V17,'Catalogue Aluminium'!$Q$9:$S$28,2,FALSE),VLOOKUP(V17,'Catalogue Aluminium'!$Q$9:$S$28,3))))))</f>
        <v>NA</v>
      </c>
      <c r="AN17" s="257">
        <f t="shared" si="8"/>
        <v>0.58740000000000003</v>
      </c>
      <c r="AO17" s="256">
        <f t="shared" si="9"/>
        <v>22.321200000000001</v>
      </c>
      <c r="AP17" s="255">
        <f t="shared" si="10"/>
        <v>1</v>
      </c>
      <c r="AQ17" s="256" t="str">
        <f t="shared" si="11"/>
        <v>YES</v>
      </c>
      <c r="AR17" s="257">
        <f t="shared" si="12"/>
        <v>0.66308216892181082</v>
      </c>
      <c r="AS17" s="249" t="str">
        <f t="shared" si="13"/>
        <v>YES</v>
      </c>
      <c r="AT17" s="257">
        <f t="shared" si="14"/>
        <v>1.1583015491581423</v>
      </c>
      <c r="AU17" s="249" t="str">
        <f t="shared" si="15"/>
        <v>YES</v>
      </c>
      <c r="AV17" s="260" t="str">
        <f t="shared" si="16"/>
        <v>1R x 0.6/1kV x 3C x 4 Sqmm</v>
      </c>
      <c r="AW17" s="260" t="str">
        <f t="shared" si="17"/>
        <v>1R x 0.6/1kV x 3C x 4+PE Sqmm</v>
      </c>
      <c r="AX17" s="249">
        <f t="shared" si="21"/>
        <v>395</v>
      </c>
      <c r="AY17" s="261"/>
    </row>
    <row r="18" spans="1:51" ht="20.149999999999999" customHeight="1">
      <c r="A18" s="243">
        <f t="shared" si="22"/>
        <v>8</v>
      </c>
      <c r="B18" s="243" t="s">
        <v>363</v>
      </c>
      <c r="C18" s="243" t="str">
        <f t="shared" si="0"/>
        <v>PMCC-1</v>
      </c>
      <c r="D18" s="272" t="s">
        <v>359</v>
      </c>
      <c r="E18" s="351" t="s">
        <v>310</v>
      </c>
      <c r="F18" s="243" t="s">
        <v>28</v>
      </c>
      <c r="G18" s="243" t="s">
        <v>311</v>
      </c>
      <c r="H18" s="291">
        <v>0.37</v>
      </c>
      <c r="I18" s="243" t="s">
        <v>299</v>
      </c>
      <c r="J18" s="243" t="s">
        <v>300</v>
      </c>
      <c r="K18" s="255">
        <v>400</v>
      </c>
      <c r="L18" s="249">
        <v>0.73</v>
      </c>
      <c r="M18" s="256">
        <v>0.82499999999999996</v>
      </c>
      <c r="N18" s="248">
        <f t="shared" si="1"/>
        <v>0.88678234143133383</v>
      </c>
      <c r="O18" s="248">
        <f t="shared" si="2"/>
        <v>5.3206940485880025</v>
      </c>
      <c r="P18" s="249">
        <f t="shared" si="3"/>
        <v>0.2</v>
      </c>
      <c r="Q18" s="256">
        <v>65</v>
      </c>
      <c r="R18" s="256">
        <v>0</v>
      </c>
      <c r="S18" s="256">
        <f t="shared" si="4"/>
        <v>0</v>
      </c>
      <c r="T18" s="249" t="s">
        <v>131</v>
      </c>
      <c r="U18" s="256" t="s">
        <v>302</v>
      </c>
      <c r="V18" s="249">
        <v>4</v>
      </c>
      <c r="W18" s="249" t="str">
        <f t="shared" si="5"/>
        <v>3C X 4</v>
      </c>
      <c r="X18" s="249" t="str">
        <f t="shared" si="6"/>
        <v>3C X 4+PE</v>
      </c>
      <c r="Y18" s="249" t="s">
        <v>314</v>
      </c>
      <c r="Z18" s="250">
        <f>IF(T18="AIR",VLOOKUP(W18,'Catalogue Aluminium'!$B$9:$G$91,2,FALSE),IF(T18="GROUND",VLOOKUP(W18,'Catalogue Aluminium'!$B$9:$G$91,3,FALSE),IF(T18="DUCT",VLOOKUP(W18,'Catalogue Aluminium'!$B$9:$G$91,4,FALSE),IF(T18="TRENCH",VLOOKUP(W18,'Catalogue Aluminium'!$B$9:$G$91,2,FALSE)))))</f>
        <v>38</v>
      </c>
      <c r="AA18" s="251">
        <f>VLOOKUP(W18,'Catalogue Aluminium'!$B$9:$G$91,5,FALSE)</f>
        <v>5.9</v>
      </c>
      <c r="AB18" s="251">
        <f>VLOOKUP(W18,'Catalogue Aluminium'!$B$9:$G$91,6,FALSE)</f>
        <v>9.4700000000000006E-2</v>
      </c>
      <c r="AC18" s="294">
        <f>26+3</f>
        <v>29</v>
      </c>
      <c r="AD18" s="294">
        <f>40+50+38+50+17+(27+30+9+2+5)</f>
        <v>268</v>
      </c>
      <c r="AE18" s="294">
        <f t="shared" si="18"/>
        <v>38</v>
      </c>
      <c r="AF18" s="294">
        <v>8</v>
      </c>
      <c r="AG18" s="294">
        <f t="shared" si="19"/>
        <v>35</v>
      </c>
      <c r="AH18" s="253">
        <f t="shared" si="20"/>
        <v>378</v>
      </c>
      <c r="AI18" s="250">
        <f>IF(T18="AIR",'Catalogue Aluminium'!$K$9,IF(T18="TRENCH",'Catalogue Aluminium'!$K$12,"NA"))</f>
        <v>0.89</v>
      </c>
      <c r="AJ18" s="248">
        <f>IF(T18="Air",(IF(U18="1C",'Catalogue Aluminium'!$L$9,'Catalogue Aluminium'!$M$9)),IF(T18="DUCT",(IF($U18="1C",'Catalogue Aluminium'!$L$10,'Catalogue Aluminium'!$M$10)),IF(T18="GROUND",(IF($U18="1C",'Catalogue Aluminium'!$L$11,'Catalogue Aluminium'!$M$11)),IF(T18="TRENCH",(IF($U18="1C",'Catalogue Aluminium'!$L$12,'Catalogue Aluminium'!$M$12))))))</f>
        <v>0.66</v>
      </c>
      <c r="AK18" s="250" t="str">
        <f>IF(T18="Air",'Catalogue Aluminium'!$N$9,IF(T18="GROUND",'Catalogue Aluminium'!$N$10,IF(T18="DUCT",'Catalogue Aluminium'!$N$11,IF(T18="TRENCH",'Catalogue Aluminium'!$N$12,"NA"))))</f>
        <v>NA</v>
      </c>
      <c r="AL18" s="250" t="str">
        <f>IF(T18="Air",(IF(U18="1C",'Catalogue Aluminium'!$O$9,'Catalogue Aluminium'!$P$9)),IF(T18="DUCT",(IF($U18="1C",'Catalogue Aluminium'!$O$10,'Catalogue Aluminium'!$P$10)),IF(T18="GROUND",(IF($U18="1C",'Catalogue Aluminium'!$O$11,'Catalogue Aluminium'!$P$11)),IF(T18="TRENCH",(IF($U18="1C",'Catalogue Aluminium'!$O$12,'Catalogue Aluminium'!$P$12))))))</f>
        <v>NA</v>
      </c>
      <c r="AM18" s="250" t="str">
        <f>IF(T18="AIR","NA",IF(T18="TRENCH","NA",IF(T18="DUCT",IF(U18="1C",VLOOKUP(V18,'Catalogue Aluminium'!$Q$9:$S$28,2,FALSE),VLOOKUP(V18,'Catalogue Aluminium'!$Q$9:$S$28,3)),IF(T18="GROUND",IF(U18="1C",VLOOKUP(V18,'Catalogue Aluminium'!$Q$9:$S$28,2,FALSE),VLOOKUP(V18,'Catalogue Aluminium'!$Q$9:$S$28,3))))))</f>
        <v>NA</v>
      </c>
      <c r="AN18" s="257">
        <f t="shared" si="8"/>
        <v>0.58740000000000003</v>
      </c>
      <c r="AO18" s="256">
        <f t="shared" si="9"/>
        <v>22.321200000000001</v>
      </c>
      <c r="AP18" s="255">
        <f t="shared" si="10"/>
        <v>1</v>
      </c>
      <c r="AQ18" s="256" t="str">
        <f t="shared" si="11"/>
        <v>YES</v>
      </c>
      <c r="AR18" s="257">
        <f t="shared" si="12"/>
        <v>0.63454445532264425</v>
      </c>
      <c r="AS18" s="249" t="str">
        <f t="shared" si="13"/>
        <v>YES</v>
      </c>
      <c r="AT18" s="257">
        <f t="shared" si="14"/>
        <v>1.1084505964095643</v>
      </c>
      <c r="AU18" s="249" t="str">
        <f t="shared" si="15"/>
        <v>YES</v>
      </c>
      <c r="AV18" s="260" t="str">
        <f t="shared" si="16"/>
        <v>1R x 0.6/1kV x 3C x 4 Sqmm</v>
      </c>
      <c r="AW18" s="260" t="str">
        <f t="shared" si="17"/>
        <v>1R x 0.6/1kV x 3C x 4+PE Sqmm</v>
      </c>
      <c r="AX18" s="249">
        <f t="shared" si="21"/>
        <v>378</v>
      </c>
      <c r="AY18" s="261"/>
    </row>
    <row r="19" spans="1:51" ht="20.149999999999999" customHeight="1">
      <c r="A19" s="243">
        <f t="shared" si="22"/>
        <v>9</v>
      </c>
      <c r="B19" s="243" t="s">
        <v>364</v>
      </c>
      <c r="C19" s="243" t="str">
        <f t="shared" si="0"/>
        <v>PMCC-1</v>
      </c>
      <c r="D19" s="272" t="s">
        <v>357</v>
      </c>
      <c r="E19" s="351" t="s">
        <v>310</v>
      </c>
      <c r="F19" s="243" t="s">
        <v>29</v>
      </c>
      <c r="G19" s="243" t="s">
        <v>311</v>
      </c>
      <c r="H19" s="291">
        <v>0.75</v>
      </c>
      <c r="I19" s="243" t="s">
        <v>299</v>
      </c>
      <c r="J19" s="243" t="s">
        <v>300</v>
      </c>
      <c r="K19" s="255">
        <v>400</v>
      </c>
      <c r="L19" s="249">
        <v>0.73</v>
      </c>
      <c r="M19" s="256">
        <v>0.82499999999999996</v>
      </c>
      <c r="N19" s="248">
        <f t="shared" si="1"/>
        <v>1.7975317731716227</v>
      </c>
      <c r="O19" s="248">
        <f t="shared" si="2"/>
        <v>10.785190639029736</v>
      </c>
      <c r="P19" s="249">
        <f t="shared" si="3"/>
        <v>0.2</v>
      </c>
      <c r="Q19" s="256">
        <v>65</v>
      </c>
      <c r="R19" s="256">
        <v>0</v>
      </c>
      <c r="S19" s="256">
        <f t="shared" si="4"/>
        <v>0</v>
      </c>
      <c r="T19" s="249" t="s">
        <v>131</v>
      </c>
      <c r="U19" s="256" t="s">
        <v>302</v>
      </c>
      <c r="V19" s="249">
        <v>4</v>
      </c>
      <c r="W19" s="249" t="str">
        <f t="shared" si="5"/>
        <v>3C X 4</v>
      </c>
      <c r="X19" s="249" t="str">
        <f t="shared" si="6"/>
        <v>3C X 4+PE</v>
      </c>
      <c r="Y19" s="249" t="s">
        <v>314</v>
      </c>
      <c r="Z19" s="250">
        <f>IF(T19="AIR",VLOOKUP(W19,'Catalogue Aluminium'!$B$9:$G$91,2,FALSE),IF(T19="GROUND",VLOOKUP(W19,'Catalogue Aluminium'!$B$9:$G$91,3,FALSE),IF(T19="DUCT",VLOOKUP(W19,'Catalogue Aluminium'!$B$9:$G$91,4,FALSE),IF(T19="TRENCH",VLOOKUP(W19,'Catalogue Aluminium'!$B$9:$G$91,2,FALSE)))))</f>
        <v>38</v>
      </c>
      <c r="AA19" s="251">
        <f>VLOOKUP(W19,'Catalogue Aluminium'!$B$9:$G$91,5,FALSE)</f>
        <v>5.9</v>
      </c>
      <c r="AB19" s="251">
        <f>VLOOKUP(W19,'Catalogue Aluminium'!$B$9:$G$91,6,FALSE)</f>
        <v>9.4700000000000006E-2</v>
      </c>
      <c r="AC19" s="294">
        <f>35+3</f>
        <v>38</v>
      </c>
      <c r="AD19" s="294">
        <f>40+50+38+50+17+(27+30+9+18+5)</f>
        <v>284</v>
      </c>
      <c r="AE19" s="294">
        <f t="shared" si="18"/>
        <v>38</v>
      </c>
      <c r="AF19" s="294">
        <v>8</v>
      </c>
      <c r="AG19" s="294">
        <f t="shared" si="19"/>
        <v>37</v>
      </c>
      <c r="AH19" s="253">
        <f t="shared" si="20"/>
        <v>405</v>
      </c>
      <c r="AI19" s="250">
        <f>IF(T19="AIR",'Catalogue Aluminium'!$K$9,IF(T19="TRENCH",'Catalogue Aluminium'!$K$12,"NA"))</f>
        <v>0.89</v>
      </c>
      <c r="AJ19" s="248">
        <f>IF(T19="Air",(IF(U19="1C",'Catalogue Aluminium'!$L$9,'Catalogue Aluminium'!$M$9)),IF(T19="DUCT",(IF($U19="1C",'Catalogue Aluminium'!$L$10,'Catalogue Aluminium'!$M$10)),IF(T19="GROUND",(IF($U19="1C",'Catalogue Aluminium'!$L$11,'Catalogue Aluminium'!$M$11)),IF(T19="TRENCH",(IF($U19="1C",'Catalogue Aluminium'!$L$12,'Catalogue Aluminium'!$M$12))))))</f>
        <v>0.66</v>
      </c>
      <c r="AK19" s="250" t="str">
        <f>IF(T19="Air",'Catalogue Aluminium'!$N$9,IF(T19="GROUND",'Catalogue Aluminium'!$N$10,IF(T19="DUCT",'Catalogue Aluminium'!$N$11,IF(T19="TRENCH",'Catalogue Aluminium'!$N$12,"NA"))))</f>
        <v>NA</v>
      </c>
      <c r="AL19" s="250" t="str">
        <f>IF(T19="Air",(IF(U19="1C",'Catalogue Aluminium'!$O$9,'Catalogue Aluminium'!$P$9)),IF(T19="DUCT",(IF($U19="1C",'Catalogue Aluminium'!$O$10,'Catalogue Aluminium'!$P$10)),IF(T19="GROUND",(IF($U19="1C",'Catalogue Aluminium'!$O$11,'Catalogue Aluminium'!$P$11)),IF(T19="TRENCH",(IF($U19="1C",'Catalogue Aluminium'!$O$12,'Catalogue Aluminium'!$P$12))))))</f>
        <v>NA</v>
      </c>
      <c r="AM19" s="250" t="str">
        <f>IF(T19="AIR","NA",IF(T19="TRENCH","NA",IF(T19="DUCT",IF(U19="1C",VLOOKUP(V19,'Catalogue Aluminium'!$Q$9:$S$28,2,FALSE),VLOOKUP(V19,'Catalogue Aluminium'!$Q$9:$S$28,3)),IF(T19="GROUND",IF(U19="1C",VLOOKUP(V19,'Catalogue Aluminium'!$Q$9:$S$28,2,FALSE),VLOOKUP(V19,'Catalogue Aluminium'!$Q$9:$S$28,3))))))</f>
        <v>NA</v>
      </c>
      <c r="AN19" s="257">
        <f t="shared" si="8"/>
        <v>0.58740000000000003</v>
      </c>
      <c r="AO19" s="256">
        <f t="shared" si="9"/>
        <v>22.321200000000001</v>
      </c>
      <c r="AP19" s="255">
        <f t="shared" si="10"/>
        <v>1</v>
      </c>
      <c r="AQ19" s="256" t="str">
        <f t="shared" si="11"/>
        <v>YES</v>
      </c>
      <c r="AR19" s="257">
        <f t="shared" si="12"/>
        <v>1.3781129579883682</v>
      </c>
      <c r="AS19" s="249" t="str">
        <f t="shared" si="13"/>
        <v>YES</v>
      </c>
      <c r="AT19" s="257">
        <f t="shared" si="14"/>
        <v>2.407349268264015</v>
      </c>
      <c r="AU19" s="249" t="str">
        <f t="shared" si="15"/>
        <v>YES</v>
      </c>
      <c r="AV19" s="260" t="str">
        <f t="shared" si="16"/>
        <v>1R x 0.6/1kV x 3C x 4 Sqmm</v>
      </c>
      <c r="AW19" s="260" t="str">
        <f t="shared" si="17"/>
        <v>1R x 0.6/1kV x 3C x 4+PE Sqmm</v>
      </c>
      <c r="AX19" s="249">
        <f t="shared" si="21"/>
        <v>405</v>
      </c>
      <c r="AY19" s="261"/>
    </row>
    <row r="20" spans="1:51" ht="35.25" customHeight="1">
      <c r="A20" s="243">
        <f t="shared" si="22"/>
        <v>10</v>
      </c>
      <c r="B20" s="243" t="s">
        <v>365</v>
      </c>
      <c r="C20" s="243" t="str">
        <f t="shared" si="0"/>
        <v>PMCC-1</v>
      </c>
      <c r="D20" s="272" t="s">
        <v>359</v>
      </c>
      <c r="E20" s="351" t="s">
        <v>310</v>
      </c>
      <c r="F20" s="243" t="s">
        <v>28</v>
      </c>
      <c r="G20" s="243" t="s">
        <v>311</v>
      </c>
      <c r="H20" s="291">
        <v>0.75</v>
      </c>
      <c r="I20" s="243" t="s">
        <v>299</v>
      </c>
      <c r="J20" s="243" t="s">
        <v>300</v>
      </c>
      <c r="K20" s="255">
        <v>400</v>
      </c>
      <c r="L20" s="249">
        <v>0.73</v>
      </c>
      <c r="M20" s="256">
        <v>0.82499999999999996</v>
      </c>
      <c r="N20" s="248">
        <f t="shared" si="1"/>
        <v>1.7975317731716227</v>
      </c>
      <c r="O20" s="248">
        <f t="shared" si="2"/>
        <v>10.785190639029736</v>
      </c>
      <c r="P20" s="249">
        <f t="shared" si="3"/>
        <v>0.2</v>
      </c>
      <c r="Q20" s="256">
        <v>65</v>
      </c>
      <c r="R20" s="256">
        <v>0</v>
      </c>
      <c r="S20" s="256">
        <f t="shared" si="4"/>
        <v>0</v>
      </c>
      <c r="T20" s="249" t="s">
        <v>131</v>
      </c>
      <c r="U20" s="256" t="s">
        <v>302</v>
      </c>
      <c r="V20" s="249">
        <v>4</v>
      </c>
      <c r="W20" s="249" t="str">
        <f t="shared" si="5"/>
        <v>3C X 4</v>
      </c>
      <c r="X20" s="249" t="str">
        <f t="shared" si="6"/>
        <v>3C X 4+PE</v>
      </c>
      <c r="Y20" s="249" t="s">
        <v>314</v>
      </c>
      <c r="Z20" s="250">
        <f>IF(T20="AIR",VLOOKUP(W20,'Catalogue Aluminium'!$B$9:$G$91,2,FALSE),IF(T20="GROUND",VLOOKUP(W20,'Catalogue Aluminium'!$B$9:$G$91,3,FALSE),IF(T20="DUCT",VLOOKUP(W20,'Catalogue Aluminium'!$B$9:$G$91,4,FALSE),IF(T20="TRENCH",VLOOKUP(W20,'Catalogue Aluminium'!$B$9:$G$91,2,FALSE)))))</f>
        <v>38</v>
      </c>
      <c r="AA20" s="251">
        <f>VLOOKUP(W20,'Catalogue Aluminium'!$B$9:$G$91,5,FALSE)</f>
        <v>5.9</v>
      </c>
      <c r="AB20" s="251">
        <f>VLOOKUP(W20,'Catalogue Aluminium'!$B$9:$G$91,6,FALSE)</f>
        <v>9.4700000000000006E-2</v>
      </c>
      <c r="AC20" s="294">
        <f>26+3</f>
        <v>29</v>
      </c>
      <c r="AD20" s="294">
        <f>40+50+38+50+17+(27+30+9+2+5)</f>
        <v>268</v>
      </c>
      <c r="AE20" s="294">
        <f t="shared" si="18"/>
        <v>38</v>
      </c>
      <c r="AF20" s="294">
        <v>8</v>
      </c>
      <c r="AG20" s="294">
        <f t="shared" si="19"/>
        <v>35</v>
      </c>
      <c r="AH20" s="253">
        <f t="shared" si="20"/>
        <v>378</v>
      </c>
      <c r="AI20" s="250">
        <f>IF(T20="AIR",'Catalogue Aluminium'!$K$9,IF(T20="TRENCH",'Catalogue Aluminium'!$K$12,"NA"))</f>
        <v>0.89</v>
      </c>
      <c r="AJ20" s="248">
        <f>IF(T20="Air",(IF(U20="1C",'Catalogue Aluminium'!$L$9,'Catalogue Aluminium'!$M$9)),IF(T20="DUCT",(IF($U20="1C",'Catalogue Aluminium'!$L$10,'Catalogue Aluminium'!$M$10)),IF(T20="GROUND",(IF($U20="1C",'Catalogue Aluminium'!$L$11,'Catalogue Aluminium'!$M$11)),IF(T20="TRENCH",(IF($U20="1C",'Catalogue Aluminium'!$L$12,'Catalogue Aluminium'!$M$12))))))</f>
        <v>0.66</v>
      </c>
      <c r="AK20" s="250" t="str">
        <f>IF(T20="Air",'Catalogue Aluminium'!$N$9,IF(T20="GROUND",'Catalogue Aluminium'!$N$10,IF(T20="DUCT",'Catalogue Aluminium'!$N$11,IF(T20="TRENCH",'Catalogue Aluminium'!$N$12,"NA"))))</f>
        <v>NA</v>
      </c>
      <c r="AL20" s="250" t="str">
        <f>IF(T20="Air",(IF(U20="1C",'Catalogue Aluminium'!$O$9,'Catalogue Aluminium'!$P$9)),IF(T20="DUCT",(IF($U20="1C",'Catalogue Aluminium'!$O$10,'Catalogue Aluminium'!$P$10)),IF(T20="GROUND",(IF($U20="1C",'Catalogue Aluminium'!$O$11,'Catalogue Aluminium'!$P$11)),IF(T20="TRENCH",(IF($U20="1C",'Catalogue Aluminium'!$O$12,'Catalogue Aluminium'!$P$12))))))</f>
        <v>NA</v>
      </c>
      <c r="AM20" s="250" t="str">
        <f>IF(T20="AIR","NA",IF(T20="TRENCH","NA",IF(T20="DUCT",IF(U20="1C",VLOOKUP(V20,'Catalogue Aluminium'!$Q$9:$S$28,2,FALSE),VLOOKUP(V20,'Catalogue Aluminium'!$Q$9:$S$28,3)),IF(T20="GROUND",IF(U20="1C",VLOOKUP(V20,'Catalogue Aluminium'!$Q$9:$S$28,2,FALSE),VLOOKUP(V20,'Catalogue Aluminium'!$Q$9:$S$28,3))))))</f>
        <v>NA</v>
      </c>
      <c r="AN20" s="257">
        <f t="shared" si="8"/>
        <v>0.58740000000000003</v>
      </c>
      <c r="AO20" s="256">
        <f t="shared" si="9"/>
        <v>22.321200000000001</v>
      </c>
      <c r="AP20" s="255">
        <f t="shared" si="10"/>
        <v>1</v>
      </c>
      <c r="AQ20" s="256" t="str">
        <f t="shared" si="11"/>
        <v>YES</v>
      </c>
      <c r="AR20" s="257">
        <f t="shared" si="12"/>
        <v>1.2862387607891439</v>
      </c>
      <c r="AS20" s="249" t="str">
        <f t="shared" si="13"/>
        <v>YES</v>
      </c>
      <c r="AT20" s="257">
        <f t="shared" si="14"/>
        <v>2.2468593170464142</v>
      </c>
      <c r="AU20" s="249" t="str">
        <f t="shared" si="15"/>
        <v>YES</v>
      </c>
      <c r="AV20" s="260" t="str">
        <f t="shared" si="16"/>
        <v>1R x 0.6/1kV x 3C x 4 Sqmm</v>
      </c>
      <c r="AW20" s="260" t="str">
        <f t="shared" si="17"/>
        <v>1R x 0.6/1kV x 3C x 4+PE Sqmm</v>
      </c>
      <c r="AX20" s="249">
        <f t="shared" si="21"/>
        <v>378</v>
      </c>
      <c r="AY20" s="261"/>
    </row>
    <row r="21" spans="1:51" s="576" customFormat="1" ht="35.25" customHeight="1">
      <c r="A21" s="298">
        <f t="shared" si="22"/>
        <v>11</v>
      </c>
      <c r="B21" s="298"/>
      <c r="C21" s="298" t="str">
        <f t="shared" si="0"/>
        <v>PMCC-1</v>
      </c>
      <c r="D21" s="546" t="s">
        <v>1075</v>
      </c>
      <c r="E21" s="418" t="s">
        <v>310</v>
      </c>
      <c r="F21" s="298" t="s">
        <v>28</v>
      </c>
      <c r="G21" s="298" t="s">
        <v>311</v>
      </c>
      <c r="H21" s="573">
        <v>0.01</v>
      </c>
      <c r="I21" s="298" t="s">
        <v>299</v>
      </c>
      <c r="J21" s="298" t="s">
        <v>313</v>
      </c>
      <c r="K21" s="423">
        <v>230</v>
      </c>
      <c r="L21" s="301">
        <v>0.73</v>
      </c>
      <c r="M21" s="421">
        <v>0.82499999999999996</v>
      </c>
      <c r="N21" s="299">
        <f t="shared" ref="N21:N22" si="23">IF(I21="kVA",IF(J21="3Ph",(H21*1000/(1.732*M21*K21)),(H21*1000/(M21*K21))),IF(I21="kW",IF(J21="3Ph",(H21*1000/(1.732*M21*K21*L21)),(H21*1000/(M21*K21*L21)))))</f>
        <v>7.219304420019132E-2</v>
      </c>
      <c r="O21" s="299">
        <f t="shared" ref="O21:O22" si="24">IF(G21="MOTOR",(6*N21),IF(G21="VFD",(1*N21),0))</f>
        <v>0.43315826520114792</v>
      </c>
      <c r="P21" s="301">
        <f t="shared" ref="P21:P22" si="25">IF(G21="MOTOR",0.2,"0.00")</f>
        <v>0.2</v>
      </c>
      <c r="Q21" s="421">
        <v>65</v>
      </c>
      <c r="R21" s="421">
        <v>0</v>
      </c>
      <c r="S21" s="421">
        <f t="shared" ref="S21:S22" si="26">(Q21*1000*SQRT(R21)/143)</f>
        <v>0</v>
      </c>
      <c r="T21" s="301" t="s">
        <v>131</v>
      </c>
      <c r="U21" s="421" t="s">
        <v>302</v>
      </c>
      <c r="V21" s="301">
        <v>4</v>
      </c>
      <c r="W21" s="301" t="str">
        <f t="shared" ref="W21:W22" si="27">CONCATENATE(U21," X ",V21)</f>
        <v>3C X 4</v>
      </c>
      <c r="X21" s="301" t="str">
        <f t="shared" ref="X21:X22" si="28">(IF(J21="1Ph",W21,IF(J21="3Ph",(IF(G21="MOTOR",(CONCATENATE(W21,"+PE")),W21)))))</f>
        <v>3C X 4</v>
      </c>
      <c r="Y21" s="301" t="s">
        <v>314</v>
      </c>
      <c r="Z21" s="300">
        <f>IF(T21="AIR",VLOOKUP(W21,'Catalogue Aluminium'!$B$9:$G$91,2,FALSE),IF(T21="GROUND",VLOOKUP(W21,'Catalogue Aluminium'!$B$9:$G$91,3,FALSE),IF(T21="DUCT",VLOOKUP(W21,'Catalogue Aluminium'!$B$9:$G$91,4,FALSE),IF(T21="TRENCH",VLOOKUP(W21,'Catalogue Aluminium'!$B$9:$G$91,2,FALSE)))))</f>
        <v>38</v>
      </c>
      <c r="AA21" s="302">
        <f>VLOOKUP(W21,'Catalogue Aluminium'!$B$9:$G$91,5,FALSE)</f>
        <v>5.9</v>
      </c>
      <c r="AB21" s="302">
        <f>VLOOKUP(W21,'Catalogue Aluminium'!$B$9:$G$91,6,FALSE)</f>
        <v>9.4700000000000006E-2</v>
      </c>
      <c r="AC21" s="301">
        <f t="shared" ref="AC21" si="29">26+3</f>
        <v>29</v>
      </c>
      <c r="AD21" s="301">
        <f t="shared" ref="AD21:AD22" si="30">40+50+38+50+17+(27+30+9+2+5)</f>
        <v>268</v>
      </c>
      <c r="AE21" s="301">
        <f t="shared" si="18"/>
        <v>38</v>
      </c>
      <c r="AF21" s="301">
        <v>8</v>
      </c>
      <c r="AG21" s="301">
        <f t="shared" ref="AG21:AG22" si="31">ROUNDUP((SUM(AC21:AF21)*0.1),0)</f>
        <v>35</v>
      </c>
      <c r="AH21" s="574">
        <f t="shared" ref="AH21:AH22" si="32">SUM(AC21:AG21)</f>
        <v>378</v>
      </c>
      <c r="AI21" s="300">
        <f>IF(T21="AIR",'Catalogue Aluminium'!$K$9,IF(T21="TRENCH",'Catalogue Aluminium'!$K$12,"NA"))</f>
        <v>0.89</v>
      </c>
      <c r="AJ21" s="299">
        <f>IF(T21="Air",(IF(U21="1C",'Catalogue Aluminium'!$L$9,'Catalogue Aluminium'!$M$9)),IF(T21="DUCT",(IF($U21="1C",'Catalogue Aluminium'!$L$10,'Catalogue Aluminium'!$M$10)),IF(T21="GROUND",(IF($U21="1C",'Catalogue Aluminium'!$L$11,'Catalogue Aluminium'!$M$11)),IF(T21="TRENCH",(IF($U21="1C",'Catalogue Aluminium'!$L$12,'Catalogue Aluminium'!$M$12))))))</f>
        <v>0.66</v>
      </c>
      <c r="AK21" s="300" t="str">
        <f>IF(T21="Air",'Catalogue Aluminium'!$N$9,IF(T21="GROUND",'Catalogue Aluminium'!$N$10,IF(T21="DUCT",'Catalogue Aluminium'!$N$11,IF(T21="TRENCH",'Catalogue Aluminium'!$N$12,"NA"))))</f>
        <v>NA</v>
      </c>
      <c r="AL21" s="300" t="str">
        <f>IF(T21="Air",(IF(U21="1C",'Catalogue Aluminium'!$O$9,'Catalogue Aluminium'!$P$9)),IF(T21="DUCT",(IF($U21="1C",'Catalogue Aluminium'!$O$10,'Catalogue Aluminium'!$P$10)),IF(T21="GROUND",(IF($U21="1C",'Catalogue Aluminium'!$O$11,'Catalogue Aluminium'!$P$11)),IF(T21="TRENCH",(IF($U21="1C",'Catalogue Aluminium'!$O$12,'Catalogue Aluminium'!$P$12))))))</f>
        <v>NA</v>
      </c>
      <c r="AM21" s="300" t="str">
        <f>IF(T21="AIR","NA",IF(T21="TRENCH","NA",IF(T21="DUCT",IF(U21="1C",VLOOKUP(V21,'Catalogue Aluminium'!$Q$9:$S$28,2,FALSE),VLOOKUP(V21,'Catalogue Aluminium'!$Q$9:$S$28,3)),IF(T21="GROUND",IF(U21="1C",VLOOKUP(V21,'Catalogue Aluminium'!$Q$9:$S$28,2,FALSE),VLOOKUP(V21,'Catalogue Aluminium'!$Q$9:$S$28,3))))))</f>
        <v>NA</v>
      </c>
      <c r="AN21" s="422">
        <f t="shared" ref="AN21:AN22" si="33">IF(T21="AIR",AI21*AJ21,IF(T21="TRENCH",AI21*AJ21,IF(T21="DUCT",AJ21*AK21*AL21*AM21,IF(T21="GROUND",AJ21*AK21*AL21*AM21))))</f>
        <v>0.58740000000000003</v>
      </c>
      <c r="AO21" s="421">
        <f t="shared" ref="AO21:AO22" si="34">Z21*AN21</f>
        <v>22.321200000000001</v>
      </c>
      <c r="AP21" s="423">
        <f t="shared" ref="AP21:AP22" si="35">CEILING(((N21)/AO21),1)</f>
        <v>1</v>
      </c>
      <c r="AQ21" s="421" t="str">
        <f t="shared" ref="AQ21:AQ22" si="36">IF(AO21*AP21&gt;=N21,"YES","NO")</f>
        <v>YES</v>
      </c>
      <c r="AR21" s="422">
        <f t="shared" ref="AR21:AR22" si="37">SQRT(3)*AH21*N21*((AA21*L21)+(AB21*SIN(ACOS(L21))))*100/(AP21*K21*1000)</f>
        <v>8.9840576027696933E-2</v>
      </c>
      <c r="AS21" s="301" t="str">
        <f t="shared" ref="AS21:AS22" si="38">IF(G21="INCOMER",(IF(AR21&lt;=2,"YES","NO")),IF(G21="POWER",(IF(AR21&lt;=2.5,"YES","NO")),IF(G21="MOTOR",(IF(AR21&lt;=3,"YES","NO")))))</f>
        <v>YES</v>
      </c>
      <c r="AT21" s="422">
        <f t="shared" ref="AT21:AT22" si="39">IF(G21="MOTOR",(SQRT(3)*AH21*O21*((AA21*P21)+(AB21*SIN(ACOS(P21))))*100/(AP21*K21*1000)),"NA")</f>
        <v>0.15693753092373092</v>
      </c>
      <c r="AU21" s="301" t="str">
        <f t="shared" ref="AU21:AU22" si="40">IF(G21="MOTOR",IF(AT21&lt;=15,"YES","NO"),"NA")</f>
        <v>YES</v>
      </c>
      <c r="AV21" s="424" t="str">
        <f t="shared" ref="AV21:AV22" si="41">IF(U21="1C",CONCATENATE(AP21,"R x ",Y21,"kV x ",U21," x ",V21," Sqmm/Phase"),CONCATENATE(AP21,"R x ",0.6,"/1kV x ",U21," x ",V21," Sqmm"))</f>
        <v>1R x 0.6/1kV x 3C x 4 Sqmm</v>
      </c>
      <c r="AW21" s="424" t="str">
        <f t="shared" ref="AW21:AW22" si="42">IF(U21="1C",CONCATENATE(AP21,"R x ",Y21,"kV x ",U21," x ",V21," Sqmm/Phase"),CONCATENATE(AP21,"R x ",0.6,"/1kV x ",U21," x ",V21,(IF(G21="MOTOR","+PE",""))," Sqmm"))</f>
        <v>1R x 0.6/1kV x 3C x 4+PE Sqmm</v>
      </c>
      <c r="AX21" s="301">
        <f t="shared" ref="AX21:AX22" si="43">(IF(K21=400,(IF(U21="1C",(4*AH21*AP21),(AH21*AP21))),IF(K21=230,(AH21*AP21))))</f>
        <v>378</v>
      </c>
      <c r="AY21" s="575"/>
    </row>
    <row r="22" spans="1:51" s="576" customFormat="1" ht="35.25" customHeight="1">
      <c r="A22" s="298">
        <f t="shared" si="22"/>
        <v>12</v>
      </c>
      <c r="B22" s="298"/>
      <c r="C22" s="298" t="str">
        <f t="shared" si="0"/>
        <v>PMCC-1</v>
      </c>
      <c r="D22" s="546" t="s">
        <v>1076</v>
      </c>
      <c r="E22" s="418" t="s">
        <v>310</v>
      </c>
      <c r="F22" s="298" t="s">
        <v>29</v>
      </c>
      <c r="G22" s="298" t="s">
        <v>311</v>
      </c>
      <c r="H22" s="573">
        <v>0.01</v>
      </c>
      <c r="I22" s="298" t="s">
        <v>299</v>
      </c>
      <c r="J22" s="298" t="s">
        <v>313</v>
      </c>
      <c r="K22" s="423">
        <v>230</v>
      </c>
      <c r="L22" s="301">
        <v>0.73</v>
      </c>
      <c r="M22" s="421">
        <v>0.82499999999999996</v>
      </c>
      <c r="N22" s="299">
        <f t="shared" si="23"/>
        <v>7.219304420019132E-2</v>
      </c>
      <c r="O22" s="299">
        <f t="shared" si="24"/>
        <v>0.43315826520114792</v>
      </c>
      <c r="P22" s="301">
        <f t="shared" si="25"/>
        <v>0.2</v>
      </c>
      <c r="Q22" s="421">
        <v>65</v>
      </c>
      <c r="R22" s="421">
        <v>0</v>
      </c>
      <c r="S22" s="421">
        <f t="shared" si="26"/>
        <v>0</v>
      </c>
      <c r="T22" s="301" t="s">
        <v>131</v>
      </c>
      <c r="U22" s="421" t="s">
        <v>302</v>
      </c>
      <c r="V22" s="301">
        <v>4</v>
      </c>
      <c r="W22" s="301" t="str">
        <f t="shared" si="27"/>
        <v>3C X 4</v>
      </c>
      <c r="X22" s="301" t="str">
        <f t="shared" si="28"/>
        <v>3C X 4</v>
      </c>
      <c r="Y22" s="301" t="s">
        <v>314</v>
      </c>
      <c r="Z22" s="300">
        <f>IF(T22="AIR",VLOOKUP(W22,'Catalogue Aluminium'!$B$9:$G$91,2,FALSE),IF(T22="GROUND",VLOOKUP(W22,'Catalogue Aluminium'!$B$9:$G$91,3,FALSE),IF(T22="DUCT",VLOOKUP(W22,'Catalogue Aluminium'!$B$9:$G$91,4,FALSE),IF(T22="TRENCH",VLOOKUP(W22,'Catalogue Aluminium'!$B$9:$G$91,2,FALSE)))))</f>
        <v>38</v>
      </c>
      <c r="AA22" s="302">
        <f>VLOOKUP(W22,'Catalogue Aluminium'!$B$9:$G$91,5,FALSE)</f>
        <v>5.9</v>
      </c>
      <c r="AB22" s="302">
        <f>VLOOKUP(W22,'Catalogue Aluminium'!$B$9:$G$91,6,FALSE)</f>
        <v>9.4700000000000006E-2</v>
      </c>
      <c r="AC22" s="301">
        <f>35+3</f>
        <v>38</v>
      </c>
      <c r="AD22" s="301">
        <f t="shared" si="30"/>
        <v>268</v>
      </c>
      <c r="AE22" s="301">
        <f t="shared" si="18"/>
        <v>38</v>
      </c>
      <c r="AF22" s="301">
        <v>8</v>
      </c>
      <c r="AG22" s="301">
        <f t="shared" si="31"/>
        <v>36</v>
      </c>
      <c r="AH22" s="574">
        <f t="shared" si="32"/>
        <v>388</v>
      </c>
      <c r="AI22" s="300">
        <f>IF(T22="AIR",'Catalogue Aluminium'!$K$9,IF(T22="TRENCH",'Catalogue Aluminium'!$K$12,"NA"))</f>
        <v>0.89</v>
      </c>
      <c r="AJ22" s="299">
        <f>IF(T22="Air",(IF(U22="1C",'Catalogue Aluminium'!$L$9,'Catalogue Aluminium'!$M$9)),IF(T22="DUCT",(IF($U22="1C",'Catalogue Aluminium'!$L$10,'Catalogue Aluminium'!$M$10)),IF(T22="GROUND",(IF($U22="1C",'Catalogue Aluminium'!$L$11,'Catalogue Aluminium'!$M$11)),IF(T22="TRENCH",(IF($U22="1C",'Catalogue Aluminium'!$L$12,'Catalogue Aluminium'!$M$12))))))</f>
        <v>0.66</v>
      </c>
      <c r="AK22" s="300" t="str">
        <f>IF(T22="Air",'Catalogue Aluminium'!$N$9,IF(T22="GROUND",'Catalogue Aluminium'!$N$10,IF(T22="DUCT",'Catalogue Aluminium'!$N$11,IF(T22="TRENCH",'Catalogue Aluminium'!$N$12,"NA"))))</f>
        <v>NA</v>
      </c>
      <c r="AL22" s="300" t="str">
        <f>IF(T22="Air",(IF(U22="1C",'Catalogue Aluminium'!$O$9,'Catalogue Aluminium'!$P$9)),IF(T22="DUCT",(IF($U22="1C",'Catalogue Aluminium'!$O$10,'Catalogue Aluminium'!$P$10)),IF(T22="GROUND",(IF($U22="1C",'Catalogue Aluminium'!$O$11,'Catalogue Aluminium'!$P$11)),IF(T22="TRENCH",(IF($U22="1C",'Catalogue Aluminium'!$O$12,'Catalogue Aluminium'!$P$12))))))</f>
        <v>NA</v>
      </c>
      <c r="AM22" s="300" t="str">
        <f>IF(T22="AIR","NA",IF(T22="TRENCH","NA",IF(T22="DUCT",IF(U22="1C",VLOOKUP(V22,'Catalogue Aluminium'!$Q$9:$S$28,2,FALSE),VLOOKUP(V22,'Catalogue Aluminium'!$Q$9:$S$28,3)),IF(T22="GROUND",IF(U22="1C",VLOOKUP(V22,'Catalogue Aluminium'!$Q$9:$S$28,2,FALSE),VLOOKUP(V22,'Catalogue Aluminium'!$Q$9:$S$28,3))))))</f>
        <v>NA</v>
      </c>
      <c r="AN22" s="422">
        <f t="shared" si="33"/>
        <v>0.58740000000000003</v>
      </c>
      <c r="AO22" s="421">
        <f t="shared" si="34"/>
        <v>22.321200000000001</v>
      </c>
      <c r="AP22" s="423">
        <f t="shared" si="35"/>
        <v>1</v>
      </c>
      <c r="AQ22" s="421" t="str">
        <f t="shared" si="36"/>
        <v>YES</v>
      </c>
      <c r="AR22" s="422">
        <f t="shared" si="37"/>
        <v>9.2217310843244443E-2</v>
      </c>
      <c r="AS22" s="301" t="str">
        <f t="shared" si="38"/>
        <v>YES</v>
      </c>
      <c r="AT22" s="422">
        <f t="shared" si="39"/>
        <v>0.16108931745610475</v>
      </c>
      <c r="AU22" s="301" t="str">
        <f t="shared" si="40"/>
        <v>YES</v>
      </c>
      <c r="AV22" s="424" t="str">
        <f t="shared" si="41"/>
        <v>1R x 0.6/1kV x 3C x 4 Sqmm</v>
      </c>
      <c r="AW22" s="424" t="str">
        <f t="shared" si="42"/>
        <v>1R x 0.6/1kV x 3C x 4+PE Sqmm</v>
      </c>
      <c r="AX22" s="301">
        <f t="shared" si="43"/>
        <v>388</v>
      </c>
      <c r="AY22" s="575"/>
    </row>
    <row r="23" spans="1:51" ht="35.25" customHeight="1">
      <c r="A23" s="243">
        <f>1+A22</f>
        <v>13</v>
      </c>
      <c r="B23" s="243" t="s">
        <v>366</v>
      </c>
      <c r="C23" s="243" t="str">
        <f t="shared" si="0"/>
        <v>PMCC-1</v>
      </c>
      <c r="D23" s="272" t="s">
        <v>367</v>
      </c>
      <c r="E23" s="351" t="s">
        <v>368</v>
      </c>
      <c r="F23" s="243" t="s">
        <v>28</v>
      </c>
      <c r="G23" s="243" t="s">
        <v>311</v>
      </c>
      <c r="H23" s="573">
        <v>160</v>
      </c>
      <c r="I23" s="243" t="s">
        <v>299</v>
      </c>
      <c r="J23" s="243" t="s">
        <v>300</v>
      </c>
      <c r="K23" s="255">
        <v>400</v>
      </c>
      <c r="L23" s="249">
        <v>0.86</v>
      </c>
      <c r="M23" s="256">
        <v>0.96400000000000008</v>
      </c>
      <c r="N23" s="248">
        <f t="shared" si="1"/>
        <v>278.57145881632982</v>
      </c>
      <c r="O23" s="248">
        <f t="shared" si="2"/>
        <v>1671.4287528979789</v>
      </c>
      <c r="P23" s="249">
        <f t="shared" si="3"/>
        <v>0.2</v>
      </c>
      <c r="Q23" s="256">
        <v>65</v>
      </c>
      <c r="R23" s="256">
        <v>0</v>
      </c>
      <c r="S23" s="256">
        <f t="shared" si="4"/>
        <v>0</v>
      </c>
      <c r="T23" s="249" t="s">
        <v>131</v>
      </c>
      <c r="U23" s="256" t="s">
        <v>302</v>
      </c>
      <c r="V23" s="249">
        <v>300</v>
      </c>
      <c r="W23" s="249" t="str">
        <f t="shared" si="5"/>
        <v>3C X 300</v>
      </c>
      <c r="X23" s="249" t="str">
        <f t="shared" si="6"/>
        <v>3C X 300+PE</v>
      </c>
      <c r="Y23" s="249" t="s">
        <v>314</v>
      </c>
      <c r="Z23" s="250">
        <f>IF(T23="AIR",VLOOKUP(W23,'Catalogue Aluminium'!$B$9:$G$91,2,FALSE),IF(T23="GROUND",VLOOKUP(W23,'Catalogue Aluminium'!$B$9:$G$91,3,FALSE),IF(T23="DUCT",VLOOKUP(W23,'Catalogue Aluminium'!$B$9:$G$91,4,FALSE),IF(T23="TRENCH",VLOOKUP(W23,'Catalogue Aluminium'!$B$9:$G$91,2,FALSE)))))</f>
        <v>459</v>
      </c>
      <c r="AA23" s="251">
        <f>VLOOKUP(W23,'Catalogue Aluminium'!$B$9:$G$91,5,FALSE)</f>
        <v>0.128</v>
      </c>
      <c r="AB23" s="251">
        <f>VLOOKUP(W23,'Catalogue Aluminium'!$B$9:$G$91,6,FALSE)</f>
        <v>7.1099999999999997E-2</v>
      </c>
      <c r="AC23" s="294">
        <f>18+11</f>
        <v>29</v>
      </c>
      <c r="AD23" s="294">
        <f>42+74+36+5</f>
        <v>157</v>
      </c>
      <c r="AE23" s="294">
        <f t="shared" ref="AE23:AE36" si="44">11+11</f>
        <v>22</v>
      </c>
      <c r="AF23" s="294">
        <v>8</v>
      </c>
      <c r="AG23" s="294">
        <f t="shared" si="19"/>
        <v>22</v>
      </c>
      <c r="AH23" s="253">
        <f t="shared" si="20"/>
        <v>238</v>
      </c>
      <c r="AI23" s="250">
        <f>IF(T23="AIR",'Catalogue Aluminium'!$K$9,IF(T23="TRENCH",'Catalogue Aluminium'!$K$12,"NA"))</f>
        <v>0.89</v>
      </c>
      <c r="AJ23" s="248">
        <f>IF(T23="Air",(IF(U23="1C",'Catalogue Aluminium'!$L$9,'Catalogue Aluminium'!$M$9)),IF(T23="DUCT",(IF($U23="1C",'Catalogue Aluminium'!$L$10,'Catalogue Aluminium'!$M$10)),IF(T23="GROUND",(IF($U23="1C",'Catalogue Aluminium'!$L$11,'Catalogue Aluminium'!$M$11)),IF(T23="TRENCH",(IF($U23="1C",'Catalogue Aluminium'!$L$12,'Catalogue Aluminium'!$M$12))))))</f>
        <v>0.66</v>
      </c>
      <c r="AK23" s="250" t="str">
        <f>IF(T23="Air",'Catalogue Aluminium'!$N$9,IF(T23="GROUND",'Catalogue Aluminium'!$N$10,IF(T23="DUCT",'Catalogue Aluminium'!$N$11,IF(T23="TRENCH",'Catalogue Aluminium'!$N$12,"NA"))))</f>
        <v>NA</v>
      </c>
      <c r="AL23" s="250" t="str">
        <f>IF(T23="Air",(IF(U23="1C",'Catalogue Aluminium'!$O$9,'Catalogue Aluminium'!$P$9)),IF(T23="DUCT",(IF($U23="1C",'Catalogue Aluminium'!$O$10,'Catalogue Aluminium'!$P$10)),IF(T23="GROUND",(IF($U23="1C",'Catalogue Aluminium'!$O$11,'Catalogue Aluminium'!$P$11)),IF(T23="TRENCH",(IF($U23="1C",'Catalogue Aluminium'!$O$12,'Catalogue Aluminium'!$P$12))))))</f>
        <v>NA</v>
      </c>
      <c r="AM23" s="250" t="str">
        <f>IF(T23="AIR","NA",IF(T23="TRENCH","NA",IF(T23="DUCT",IF(U23="1C",VLOOKUP(V23,'Catalogue Aluminium'!$Q$9:$S$28,2,FALSE),VLOOKUP(V23,'Catalogue Aluminium'!$Q$9:$S$28,3)),IF(T23="GROUND",IF(U23="1C",VLOOKUP(V23,'Catalogue Aluminium'!$Q$9:$S$28,2,FALSE),VLOOKUP(V23,'Catalogue Aluminium'!$Q$9:$S$28,3))))))</f>
        <v>NA</v>
      </c>
      <c r="AN23" s="257">
        <f t="shared" si="8"/>
        <v>0.58740000000000003</v>
      </c>
      <c r="AO23" s="256">
        <f t="shared" si="9"/>
        <v>269.61660000000001</v>
      </c>
      <c r="AP23" s="255">
        <v>2</v>
      </c>
      <c r="AQ23" s="256" t="str">
        <f t="shared" si="11"/>
        <v>YES</v>
      </c>
      <c r="AR23" s="257">
        <f t="shared" si="12"/>
        <v>2.1009333332480122</v>
      </c>
      <c r="AS23" s="249" t="str">
        <f t="shared" si="13"/>
        <v>YES</v>
      </c>
      <c r="AT23" s="257">
        <f t="shared" si="14"/>
        <v>8.2046856510669812</v>
      </c>
      <c r="AU23" s="249" t="str">
        <f t="shared" si="15"/>
        <v>YES</v>
      </c>
      <c r="AV23" s="260" t="str">
        <f t="shared" si="16"/>
        <v>2R x 0.6/1kV x 3C x 300 Sqmm</v>
      </c>
      <c r="AW23" s="260" t="str">
        <f t="shared" si="17"/>
        <v>2R x 0.6/1kV x 3C x 300+PE Sqmm</v>
      </c>
      <c r="AX23" s="249">
        <f t="shared" si="21"/>
        <v>476</v>
      </c>
      <c r="AY23" s="261"/>
    </row>
    <row r="24" spans="1:51" ht="35.25" customHeight="1">
      <c r="A24" s="243">
        <f t="shared" si="22"/>
        <v>14</v>
      </c>
      <c r="B24" s="285" t="s">
        <v>366</v>
      </c>
      <c r="C24" s="285" t="str">
        <f t="shared" si="0"/>
        <v>PMCC-1</v>
      </c>
      <c r="D24" s="244" t="s">
        <v>369</v>
      </c>
      <c r="E24" s="352" t="s">
        <v>368</v>
      </c>
      <c r="F24" s="285" t="s">
        <v>28</v>
      </c>
      <c r="G24" s="285" t="s">
        <v>298</v>
      </c>
      <c r="H24" s="291">
        <v>0.2</v>
      </c>
      <c r="I24" s="285" t="s">
        <v>299</v>
      </c>
      <c r="J24" s="285" t="s">
        <v>313</v>
      </c>
      <c r="K24" s="309">
        <v>230</v>
      </c>
      <c r="L24" s="294">
        <v>0.85</v>
      </c>
      <c r="M24" s="304">
        <v>0.95</v>
      </c>
      <c r="N24" s="287">
        <f t="shared" ref="N24" si="45">IF(I24="kVA",IF(J24="3Ph",(H24*1000/(1.732*M24*K24)),(H24*1000/(M24*K24))),IF(I24="kW",IF(J24="3Ph",(H24*1000/(1.732*M24*K24*L24)),(H24*1000/(M24*K24*L24)))))</f>
        <v>1.0768609503297888</v>
      </c>
      <c r="O24" s="287">
        <f t="shared" ref="O24" si="46">IF(G24="MOTOR",(6*N24),IF(G24="VFD",(1*N24),0))</f>
        <v>0</v>
      </c>
      <c r="P24" s="294" t="str">
        <f t="shared" ref="P24" si="47">IF(G24="MOTOR",0.2,"0.00")</f>
        <v>0.00</v>
      </c>
      <c r="Q24" s="304">
        <v>65</v>
      </c>
      <c r="R24" s="304">
        <v>0</v>
      </c>
      <c r="S24" s="304">
        <f t="shared" ref="S24" si="48">(Q24*1000*SQRT(R24)/143)</f>
        <v>0</v>
      </c>
      <c r="T24" s="294" t="s">
        <v>131</v>
      </c>
      <c r="U24" s="304" t="s">
        <v>302</v>
      </c>
      <c r="V24" s="294">
        <v>2.5</v>
      </c>
      <c r="W24" s="294" t="str">
        <f t="shared" ref="W24" si="49">CONCATENATE(U24," X ",V24)</f>
        <v>3C X 2.5</v>
      </c>
      <c r="X24" s="294" t="str">
        <f t="shared" ref="X24" si="50">(IF(J24="1Ph",W24,IF(J24="3Ph",(IF(G24="MOTOR",(CONCATENATE(W24,"+PE")),W24)))))</f>
        <v>3C X 2.5</v>
      </c>
      <c r="Y24" s="294" t="s">
        <v>314</v>
      </c>
      <c r="Z24" s="288">
        <f>IF(T24="AIR",VLOOKUP(W24,'Catalogue Aluminium'!$B$9:$G$91,2,FALSE),IF(T24="GROUND",VLOOKUP(W24,'Catalogue Aluminium'!$B$9:$G$91,3,FALSE),IF(T24="DUCT",VLOOKUP(W24,'Catalogue Aluminium'!$B$9:$G$91,4,FALSE),IF(T24="TRENCH",VLOOKUP(W24,'Catalogue Aluminium'!$B$9:$G$91,2,FALSE)))))</f>
        <v>28</v>
      </c>
      <c r="AA24" s="295">
        <f>VLOOKUP(W24,'Catalogue Aluminium'!$B$9:$G$91,5,FALSE)</f>
        <v>9.48</v>
      </c>
      <c r="AB24" s="295">
        <f>VLOOKUP(W24,'Catalogue Aluminium'!$B$9:$G$91,6,FALSE)</f>
        <v>0.1007</v>
      </c>
      <c r="AC24" s="294">
        <f>18+11</f>
        <v>29</v>
      </c>
      <c r="AD24" s="294">
        <f>42+74+36+5</f>
        <v>157</v>
      </c>
      <c r="AE24" s="294">
        <f t="shared" si="44"/>
        <v>22</v>
      </c>
      <c r="AF24" s="294">
        <v>8</v>
      </c>
      <c r="AG24" s="294">
        <f t="shared" ref="AG24" si="51">ROUNDUP((SUM(AC24:AF24)*0.1),0)</f>
        <v>22</v>
      </c>
      <c r="AH24" s="311">
        <f t="shared" ref="AH24" si="52">SUM(AC24:AG24)</f>
        <v>238</v>
      </c>
      <c r="AI24" s="288">
        <f>IF(T24="AIR",'Catalogue Aluminium'!$K$9,IF(T24="TRENCH",'Catalogue Aluminium'!$K$12,"NA"))</f>
        <v>0.89</v>
      </c>
      <c r="AJ24" s="287">
        <f>IF(T24="Air",(IF(U24="1C",'Catalogue Aluminium'!$L$9,'Catalogue Aluminium'!$M$9)),IF(T24="DUCT",(IF($U24="1C",'Catalogue Aluminium'!$L$10,'Catalogue Aluminium'!$M$10)),IF(T24="GROUND",(IF($U24="1C",'Catalogue Aluminium'!$L$11,'Catalogue Aluminium'!$M$11)),IF(T24="TRENCH",(IF($U24="1C",'Catalogue Aluminium'!$L$12,'Catalogue Aluminium'!$M$12))))))</f>
        <v>0.66</v>
      </c>
      <c r="AK24" s="288" t="str">
        <f>IF(T24="Air",'Catalogue Aluminium'!$N$9,IF(T24="GROUND",'Catalogue Aluminium'!$N$10,IF(T24="DUCT",'Catalogue Aluminium'!$N$11,IF(T24="TRENCH",'Catalogue Aluminium'!$N$12,"NA"))))</f>
        <v>NA</v>
      </c>
      <c r="AL24" s="288" t="str">
        <f>IF(T24="Air",(IF(U24="1C",'Catalogue Aluminium'!$O$9,'Catalogue Aluminium'!$P$9)),IF(T24="DUCT",(IF($U24="1C",'Catalogue Aluminium'!$O$10,'Catalogue Aluminium'!$P$10)),IF(T24="GROUND",(IF($U24="1C",'Catalogue Aluminium'!$O$11,'Catalogue Aluminium'!$P$11)),IF(T24="TRENCH",(IF($U24="1C",'Catalogue Aluminium'!$O$12,'Catalogue Aluminium'!$P$12))))))</f>
        <v>NA</v>
      </c>
      <c r="AM24" s="288" t="str">
        <f>IF(T24="AIR","NA",IF(T24="TRENCH","NA",IF(T24="DUCT",IF(U24="1C",VLOOKUP(V24,'Catalogue Aluminium'!$Q$9:$S$28,2,FALSE),VLOOKUP(V24,'Catalogue Aluminium'!$Q$9:$S$28,3)),IF(T24="GROUND",IF(U24="1C",VLOOKUP(V24,'Catalogue Aluminium'!$Q$9:$S$28,2,FALSE),VLOOKUP(V24,'Catalogue Aluminium'!$Q$9:$S$28,3))))))</f>
        <v>NA</v>
      </c>
      <c r="AN24" s="312">
        <f t="shared" ref="AN24" si="53">IF(T24="AIR",AI24*AJ24,IF(T24="TRENCH",AI24*AJ24,IF(T24="DUCT",AJ24*AK24*AL24*AM24,IF(T24="GROUND",AJ24*AK24*AL24*AM24))))</f>
        <v>0.58740000000000003</v>
      </c>
      <c r="AO24" s="304">
        <f t="shared" ref="AO24" si="54">Z24*AN24</f>
        <v>16.447200000000002</v>
      </c>
      <c r="AP24" s="309">
        <v>1</v>
      </c>
      <c r="AQ24" s="304" t="str">
        <f t="shared" ref="AQ24" si="55">IF(AO24*AP24&gt;=N24,"YES","NO")</f>
        <v>YES</v>
      </c>
      <c r="AR24" s="312">
        <f t="shared" ref="AR24" si="56">SQRT(3)*AH24*N24*((AA24*L24)+(AB24*SIN(ACOS(L24))))*100/(AP24*K24*1000)</f>
        <v>1.5654755745358064</v>
      </c>
      <c r="AS24" s="294" t="str">
        <f t="shared" ref="AS24" si="57">IF(G24="INCOMER",(IF(AR24&lt;=2,"YES","NO")),IF(G24="POWER",(IF(AR24&lt;=2.5,"YES","NO")),IF(G24="MOTOR",(IF(AR24&lt;=3,"YES","NO")))))</f>
        <v>YES</v>
      </c>
      <c r="AT24" s="312" t="str">
        <f t="shared" si="14"/>
        <v>NA</v>
      </c>
      <c r="AU24" s="294" t="str">
        <f t="shared" si="15"/>
        <v>NA</v>
      </c>
      <c r="AV24" s="353" t="str">
        <f t="shared" si="16"/>
        <v>1R x 0.6/1kV x 3C x 2.5 Sqmm</v>
      </c>
      <c r="AW24" s="353" t="str">
        <f t="shared" si="17"/>
        <v>1R x 0.6/1kV x 3C x 2.5 Sqmm</v>
      </c>
      <c r="AX24" s="294">
        <f t="shared" si="21"/>
        <v>238</v>
      </c>
      <c r="AY24" s="354"/>
    </row>
    <row r="25" spans="1:51" ht="35.25" customHeight="1">
      <c r="A25" s="243">
        <f t="shared" si="22"/>
        <v>15</v>
      </c>
      <c r="B25" s="243" t="s">
        <v>370</v>
      </c>
      <c r="C25" s="243" t="str">
        <f t="shared" si="0"/>
        <v>PMCC-1</v>
      </c>
      <c r="D25" s="272" t="s">
        <v>371</v>
      </c>
      <c r="E25" s="351" t="s">
        <v>368</v>
      </c>
      <c r="F25" s="243" t="s">
        <v>29</v>
      </c>
      <c r="G25" s="243" t="s">
        <v>311</v>
      </c>
      <c r="H25" s="573">
        <v>160</v>
      </c>
      <c r="I25" s="243" t="s">
        <v>299</v>
      </c>
      <c r="J25" s="243" t="s">
        <v>300</v>
      </c>
      <c r="K25" s="255">
        <v>400</v>
      </c>
      <c r="L25" s="249">
        <v>0.86</v>
      </c>
      <c r="M25" s="256">
        <v>0.96400000000000008</v>
      </c>
      <c r="N25" s="248">
        <f t="shared" si="1"/>
        <v>278.57145881632982</v>
      </c>
      <c r="O25" s="248">
        <f t="shared" si="2"/>
        <v>1671.4287528979789</v>
      </c>
      <c r="P25" s="249">
        <f t="shared" si="3"/>
        <v>0.2</v>
      </c>
      <c r="Q25" s="256">
        <v>65</v>
      </c>
      <c r="R25" s="256">
        <v>0</v>
      </c>
      <c r="S25" s="256">
        <f t="shared" si="4"/>
        <v>0</v>
      </c>
      <c r="T25" s="249" t="s">
        <v>131</v>
      </c>
      <c r="U25" s="256" t="s">
        <v>302</v>
      </c>
      <c r="V25" s="249">
        <v>300</v>
      </c>
      <c r="W25" s="249" t="str">
        <f t="shared" ref="W25:W27" si="58">CONCATENATE(U25," X ",V25)</f>
        <v>3C X 300</v>
      </c>
      <c r="X25" s="249" t="str">
        <f t="shared" si="6"/>
        <v>3C X 300+PE</v>
      </c>
      <c r="Y25" s="249" t="s">
        <v>314</v>
      </c>
      <c r="Z25" s="250">
        <f>IF(T25="AIR",VLOOKUP(W25,'Catalogue Aluminium'!$B$9:$G$91,2,FALSE),IF(T25="GROUND",VLOOKUP(W25,'Catalogue Aluminium'!$B$9:$G$91,3,FALSE),IF(T25="DUCT",VLOOKUP(W25,'Catalogue Aluminium'!$B$9:$G$91,4,FALSE),IF(T25="TRENCH",VLOOKUP(W25,'Catalogue Aluminium'!$B$9:$G$91,2,FALSE)))))</f>
        <v>459</v>
      </c>
      <c r="AA25" s="251">
        <f>VLOOKUP(W25,'Catalogue Aluminium'!$B$9:$G$91,5,FALSE)</f>
        <v>0.128</v>
      </c>
      <c r="AB25" s="251">
        <f>VLOOKUP(W25,'Catalogue Aluminium'!$B$9:$G$91,6,FALSE)</f>
        <v>7.1099999999999997E-2</v>
      </c>
      <c r="AC25" s="294">
        <f>15+13</f>
        <v>28</v>
      </c>
      <c r="AD25" s="294">
        <f t="shared" ref="AD25:AD28" si="59">42+74+36+5</f>
        <v>157</v>
      </c>
      <c r="AE25" s="294">
        <f t="shared" si="44"/>
        <v>22</v>
      </c>
      <c r="AF25" s="294">
        <v>8</v>
      </c>
      <c r="AG25" s="294">
        <f t="shared" si="19"/>
        <v>22</v>
      </c>
      <c r="AH25" s="253">
        <f t="shared" si="20"/>
        <v>237</v>
      </c>
      <c r="AI25" s="250">
        <f>IF(T25="AIR",'Catalogue Aluminium'!$K$9,IF(T25="TRENCH",'Catalogue Aluminium'!$K$12,"NA"))</f>
        <v>0.89</v>
      </c>
      <c r="AJ25" s="248">
        <f>IF(T25="Air",(IF(U25="1C",'Catalogue Aluminium'!$L$9,'Catalogue Aluminium'!$M$9)),IF(T25="DUCT",(IF($U25="1C",'Catalogue Aluminium'!$L$10,'Catalogue Aluminium'!$M$10)),IF(T25="GROUND",(IF($U25="1C",'Catalogue Aluminium'!$L$11,'Catalogue Aluminium'!$M$11)),IF(T25="TRENCH",(IF($U25="1C",'Catalogue Aluminium'!$L$12,'Catalogue Aluminium'!$M$12))))))</f>
        <v>0.66</v>
      </c>
      <c r="AK25" s="250" t="str">
        <f>IF(T25="Air",'Catalogue Aluminium'!$N$9,IF(T25="GROUND",'Catalogue Aluminium'!$N$10,IF(T25="DUCT",'Catalogue Aluminium'!$N$11,IF(T25="TRENCH",'Catalogue Aluminium'!$N$12,"NA"))))</f>
        <v>NA</v>
      </c>
      <c r="AL25" s="250" t="str">
        <f>IF(T25="Air",(IF(U25="1C",'Catalogue Aluminium'!$O$9,'Catalogue Aluminium'!$P$9)),IF(T25="DUCT",(IF($U25="1C",'Catalogue Aluminium'!$O$10,'Catalogue Aluminium'!$P$10)),IF(T25="GROUND",(IF($U25="1C",'Catalogue Aluminium'!$O$11,'Catalogue Aluminium'!$P$11)),IF(T25="TRENCH",(IF($U25="1C",'Catalogue Aluminium'!$O$12,'Catalogue Aluminium'!$P$12))))))</f>
        <v>NA</v>
      </c>
      <c r="AM25" s="250" t="str">
        <f>IF(T25="AIR","NA",IF(T25="TRENCH","NA",IF(T25="DUCT",IF(U25="1C",VLOOKUP(V25,'Catalogue Aluminium'!$Q$9:$S$28,2,FALSE),VLOOKUP(V25,'Catalogue Aluminium'!$Q$9:$S$28,3)),IF(T25="GROUND",IF(U25="1C",VLOOKUP(V25,'Catalogue Aluminium'!$Q$9:$S$28,2,FALSE),VLOOKUP(V25,'Catalogue Aluminium'!$Q$9:$S$28,3))))))</f>
        <v>NA</v>
      </c>
      <c r="AN25" s="257">
        <f t="shared" si="8"/>
        <v>0.58740000000000003</v>
      </c>
      <c r="AO25" s="256">
        <f t="shared" si="9"/>
        <v>269.61660000000001</v>
      </c>
      <c r="AP25" s="255">
        <v>2</v>
      </c>
      <c r="AQ25" s="256" t="str">
        <f t="shared" si="11"/>
        <v>YES</v>
      </c>
      <c r="AR25" s="257">
        <f t="shared" si="12"/>
        <v>2.0921058822679788</v>
      </c>
      <c r="AS25" s="249" t="str">
        <f t="shared" si="13"/>
        <v>YES</v>
      </c>
      <c r="AT25" s="257">
        <f t="shared" si="14"/>
        <v>8.1702121819448514</v>
      </c>
      <c r="AU25" s="249" t="str">
        <f t="shared" si="15"/>
        <v>YES</v>
      </c>
      <c r="AV25" s="260" t="str">
        <f t="shared" si="16"/>
        <v>2R x 0.6/1kV x 3C x 300 Sqmm</v>
      </c>
      <c r="AW25" s="260" t="str">
        <f t="shared" si="17"/>
        <v>2R x 0.6/1kV x 3C x 300+PE Sqmm</v>
      </c>
      <c r="AX25" s="249">
        <f t="shared" si="21"/>
        <v>474</v>
      </c>
      <c r="AY25" s="261"/>
    </row>
    <row r="26" spans="1:51" ht="35.25" customHeight="1">
      <c r="A26" s="243">
        <f t="shared" si="22"/>
        <v>16</v>
      </c>
      <c r="B26" s="285" t="s">
        <v>370</v>
      </c>
      <c r="C26" s="285" t="str">
        <f t="shared" si="0"/>
        <v>PMCC-1</v>
      </c>
      <c r="D26" s="244" t="s">
        <v>372</v>
      </c>
      <c r="E26" s="352" t="s">
        <v>368</v>
      </c>
      <c r="F26" s="285" t="s">
        <v>29</v>
      </c>
      <c r="G26" s="285" t="s">
        <v>298</v>
      </c>
      <c r="H26" s="291">
        <v>0.2</v>
      </c>
      <c r="I26" s="285" t="s">
        <v>299</v>
      </c>
      <c r="J26" s="285" t="s">
        <v>313</v>
      </c>
      <c r="K26" s="309">
        <v>230</v>
      </c>
      <c r="L26" s="294">
        <v>0.85</v>
      </c>
      <c r="M26" s="304">
        <v>0.95</v>
      </c>
      <c r="N26" s="287">
        <f t="shared" si="1"/>
        <v>1.0768609503297888</v>
      </c>
      <c r="O26" s="287">
        <f t="shared" si="2"/>
        <v>0</v>
      </c>
      <c r="P26" s="294" t="str">
        <f t="shared" si="3"/>
        <v>0.00</v>
      </c>
      <c r="Q26" s="304">
        <v>65</v>
      </c>
      <c r="R26" s="304">
        <v>0</v>
      </c>
      <c r="S26" s="304">
        <f t="shared" si="4"/>
        <v>0</v>
      </c>
      <c r="T26" s="294" t="s">
        <v>131</v>
      </c>
      <c r="U26" s="304" t="s">
        <v>302</v>
      </c>
      <c r="V26" s="294">
        <v>2.5</v>
      </c>
      <c r="W26" s="294" t="str">
        <f t="shared" si="58"/>
        <v>3C X 2.5</v>
      </c>
      <c r="X26" s="294" t="str">
        <f t="shared" ref="X26" si="60">(IF(J26="1Ph",W26,IF(J26="3Ph",(IF(G26="MOTOR",(CONCATENATE(W26,"+PE")),W26)))))</f>
        <v>3C X 2.5</v>
      </c>
      <c r="Y26" s="294" t="s">
        <v>314</v>
      </c>
      <c r="Z26" s="288">
        <f>IF(T26="AIR",VLOOKUP(W26,'Catalogue Aluminium'!$B$9:$G$91,2,FALSE),IF(T26="GROUND",VLOOKUP(W26,'Catalogue Aluminium'!$B$9:$G$91,3,FALSE),IF(T26="DUCT",VLOOKUP(W26,'Catalogue Aluminium'!$B$9:$G$91,4,FALSE),IF(T26="TRENCH",VLOOKUP(W26,'Catalogue Aluminium'!$B$9:$G$91,2,FALSE)))))</f>
        <v>28</v>
      </c>
      <c r="AA26" s="295">
        <f>VLOOKUP(W26,'Catalogue Aluminium'!$B$9:$G$91,5,FALSE)</f>
        <v>9.48</v>
      </c>
      <c r="AB26" s="295">
        <f>VLOOKUP(W26,'Catalogue Aluminium'!$B$9:$G$91,6,FALSE)</f>
        <v>0.1007</v>
      </c>
      <c r="AC26" s="294">
        <f>15+13</f>
        <v>28</v>
      </c>
      <c r="AD26" s="294">
        <f t="shared" si="59"/>
        <v>157</v>
      </c>
      <c r="AE26" s="294">
        <f t="shared" si="44"/>
        <v>22</v>
      </c>
      <c r="AF26" s="294">
        <v>8</v>
      </c>
      <c r="AG26" s="294">
        <f t="shared" ref="AG26" si="61">ROUNDUP((SUM(AC26:AF26)*0.1),0)</f>
        <v>22</v>
      </c>
      <c r="AH26" s="311">
        <f t="shared" ref="AH26" si="62">SUM(AC26:AG26)</f>
        <v>237</v>
      </c>
      <c r="AI26" s="288">
        <f>IF(T26="AIR",'Catalogue Aluminium'!$K$9,IF(T26="TRENCH",'Catalogue Aluminium'!$K$12,"NA"))</f>
        <v>0.89</v>
      </c>
      <c r="AJ26" s="287">
        <f>IF(T26="Air",(IF(U26="1C",'Catalogue Aluminium'!$L$9,'Catalogue Aluminium'!$M$9)),IF(T26="DUCT",(IF($U26="1C",'Catalogue Aluminium'!$L$10,'Catalogue Aluminium'!$M$10)),IF(T26="GROUND",(IF($U26="1C",'Catalogue Aluminium'!$L$11,'Catalogue Aluminium'!$M$11)),IF(T26="TRENCH",(IF($U26="1C",'Catalogue Aluminium'!$L$12,'Catalogue Aluminium'!$M$12))))))</f>
        <v>0.66</v>
      </c>
      <c r="AK26" s="288" t="str">
        <f>IF(T26="Air",'Catalogue Aluminium'!$N$9,IF(T26="GROUND",'Catalogue Aluminium'!$N$10,IF(T26="DUCT",'Catalogue Aluminium'!$N$11,IF(T26="TRENCH",'Catalogue Aluminium'!$N$12,"NA"))))</f>
        <v>NA</v>
      </c>
      <c r="AL26" s="288" t="str">
        <f>IF(T26="Air",(IF(U26="1C",'Catalogue Aluminium'!$O$9,'Catalogue Aluminium'!$P$9)),IF(T26="DUCT",(IF($U26="1C",'Catalogue Aluminium'!$O$10,'Catalogue Aluminium'!$P$10)),IF(T26="GROUND",(IF($U26="1C",'Catalogue Aluminium'!$O$11,'Catalogue Aluminium'!$P$11)),IF(T26="TRENCH",(IF($U26="1C",'Catalogue Aluminium'!$O$12,'Catalogue Aluminium'!$P$12))))))</f>
        <v>NA</v>
      </c>
      <c r="AM26" s="288" t="str">
        <f>IF(T26="AIR","NA",IF(T26="TRENCH","NA",IF(T26="DUCT",IF(U26="1C",VLOOKUP(V26,'Catalogue Aluminium'!$Q$9:$S$28,2,FALSE),VLOOKUP(V26,'Catalogue Aluminium'!$Q$9:$S$28,3)),IF(T26="GROUND",IF(U26="1C",VLOOKUP(V26,'Catalogue Aluminium'!$Q$9:$S$28,2,FALSE),VLOOKUP(V26,'Catalogue Aluminium'!$Q$9:$S$28,3))))))</f>
        <v>NA</v>
      </c>
      <c r="AN26" s="312">
        <f t="shared" ref="AN26" si="63">IF(T26="AIR",AI26*AJ26,IF(T26="TRENCH",AI26*AJ26,IF(T26="DUCT",AJ26*AK26*AL26*AM26,IF(T26="GROUND",AJ26*AK26*AL26*AM26))))</f>
        <v>0.58740000000000003</v>
      </c>
      <c r="AO26" s="304">
        <f t="shared" ref="AO26" si="64">Z26*AN26</f>
        <v>16.447200000000002</v>
      </c>
      <c r="AP26" s="309">
        <v>1</v>
      </c>
      <c r="AQ26" s="304" t="str">
        <f t="shared" ref="AQ26" si="65">IF(AO26*AP26&gt;=N26,"YES","NO")</f>
        <v>YES</v>
      </c>
      <c r="AR26" s="312">
        <f t="shared" ref="AR26" si="66">SQRT(3)*AH26*N26*((AA26*L26)+(AB26*SIN(ACOS(L26))))*100/(AP26*K26*1000)</f>
        <v>1.5588979460713701</v>
      </c>
      <c r="AS26" s="294" t="str">
        <f t="shared" ref="AS26" si="67">IF(G26="INCOMER",(IF(AR26&lt;=2,"YES","NO")),IF(G26="POWER",(IF(AR26&lt;=2.5,"YES","NO")),IF(G26="MOTOR",(IF(AR26&lt;=3,"YES","NO")))))</f>
        <v>YES</v>
      </c>
      <c r="AT26" s="312" t="str">
        <f t="shared" si="14"/>
        <v>NA</v>
      </c>
      <c r="AU26" s="294" t="str">
        <f t="shared" si="15"/>
        <v>NA</v>
      </c>
      <c r="AV26" s="353" t="str">
        <f t="shared" si="16"/>
        <v>1R x 0.6/1kV x 3C x 2.5 Sqmm</v>
      </c>
      <c r="AW26" s="353" t="str">
        <f t="shared" si="17"/>
        <v>1R x 0.6/1kV x 3C x 2.5 Sqmm</v>
      </c>
      <c r="AX26" s="294">
        <f t="shared" si="21"/>
        <v>237</v>
      </c>
      <c r="AY26" s="354"/>
    </row>
    <row r="27" spans="1:51" ht="35.25" customHeight="1">
      <c r="A27" s="243">
        <f t="shared" si="22"/>
        <v>17</v>
      </c>
      <c r="B27" s="243" t="s">
        <v>373</v>
      </c>
      <c r="C27" s="243" t="str">
        <f t="shared" si="0"/>
        <v>PMCC-1</v>
      </c>
      <c r="D27" s="272" t="s">
        <v>374</v>
      </c>
      <c r="E27" s="351" t="s">
        <v>368</v>
      </c>
      <c r="F27" s="243" t="s">
        <v>28</v>
      </c>
      <c r="G27" s="243" t="s">
        <v>311</v>
      </c>
      <c r="H27" s="573">
        <v>160</v>
      </c>
      <c r="I27" s="243" t="s">
        <v>299</v>
      </c>
      <c r="J27" s="243" t="s">
        <v>300</v>
      </c>
      <c r="K27" s="255">
        <v>400</v>
      </c>
      <c r="L27" s="249">
        <v>0.86</v>
      </c>
      <c r="M27" s="256">
        <v>0.96400000000000008</v>
      </c>
      <c r="N27" s="248">
        <f t="shared" si="1"/>
        <v>278.57145881632982</v>
      </c>
      <c r="O27" s="248">
        <f t="shared" si="2"/>
        <v>1671.4287528979789</v>
      </c>
      <c r="P27" s="249">
        <f t="shared" si="3"/>
        <v>0.2</v>
      </c>
      <c r="Q27" s="256">
        <v>65</v>
      </c>
      <c r="R27" s="256">
        <v>0</v>
      </c>
      <c r="S27" s="256">
        <f t="shared" si="4"/>
        <v>0</v>
      </c>
      <c r="T27" s="249" t="s">
        <v>131</v>
      </c>
      <c r="U27" s="256" t="s">
        <v>302</v>
      </c>
      <c r="V27" s="249">
        <v>300</v>
      </c>
      <c r="W27" s="249" t="str">
        <f t="shared" si="58"/>
        <v>3C X 300</v>
      </c>
      <c r="X27" s="249" t="str">
        <f t="shared" si="6"/>
        <v>3C X 300+PE</v>
      </c>
      <c r="Y27" s="249" t="s">
        <v>314</v>
      </c>
      <c r="Z27" s="250">
        <f>IF(T27="AIR",VLOOKUP(W27,'Catalogue Aluminium'!$B$9:$G$91,2,FALSE),IF(T27="GROUND",VLOOKUP(W27,'Catalogue Aluminium'!$B$9:$G$91,3,FALSE),IF(T27="DUCT",VLOOKUP(W27,'Catalogue Aluminium'!$B$9:$G$91,4,FALSE),IF(T27="TRENCH",VLOOKUP(W27,'Catalogue Aluminium'!$B$9:$G$91,2,FALSE)))))</f>
        <v>459</v>
      </c>
      <c r="AA27" s="251">
        <f>VLOOKUP(W27,'Catalogue Aluminium'!$B$9:$G$91,5,FALSE)</f>
        <v>0.128</v>
      </c>
      <c r="AB27" s="251">
        <f>VLOOKUP(W27,'Catalogue Aluminium'!$B$9:$G$91,6,FALSE)</f>
        <v>7.1099999999999997E-2</v>
      </c>
      <c r="AC27" s="294">
        <f>18+11</f>
        <v>29</v>
      </c>
      <c r="AD27" s="294">
        <f t="shared" si="59"/>
        <v>157</v>
      </c>
      <c r="AE27" s="294">
        <f t="shared" si="44"/>
        <v>22</v>
      </c>
      <c r="AF27" s="294">
        <v>8</v>
      </c>
      <c r="AG27" s="294">
        <f t="shared" si="19"/>
        <v>22</v>
      </c>
      <c r="AH27" s="253">
        <f t="shared" si="20"/>
        <v>238</v>
      </c>
      <c r="AI27" s="250">
        <f>IF(T27="AIR",'Catalogue Aluminium'!$K$9,IF(T27="TRENCH",'Catalogue Aluminium'!$K$12,"NA"))</f>
        <v>0.89</v>
      </c>
      <c r="AJ27" s="248">
        <f>IF(T27="Air",(IF(U27="1C",'Catalogue Aluminium'!$L$9,'Catalogue Aluminium'!$M$9)),IF(T27="DUCT",(IF($U27="1C",'Catalogue Aluminium'!$L$10,'Catalogue Aluminium'!$M$10)),IF(T27="GROUND",(IF($U27="1C",'Catalogue Aluminium'!$L$11,'Catalogue Aluminium'!$M$11)),IF(T27="TRENCH",(IF($U27="1C",'Catalogue Aluminium'!$L$12,'Catalogue Aluminium'!$M$12))))))</f>
        <v>0.66</v>
      </c>
      <c r="AK27" s="250" t="str">
        <f>IF(T27="Air",'Catalogue Aluminium'!$N$9,IF(T27="GROUND",'Catalogue Aluminium'!$N$10,IF(T27="DUCT",'Catalogue Aluminium'!$N$11,IF(T27="TRENCH",'Catalogue Aluminium'!$N$12,"NA"))))</f>
        <v>NA</v>
      </c>
      <c r="AL27" s="250" t="str">
        <f>IF(T27="Air",(IF(U27="1C",'Catalogue Aluminium'!$O$9,'Catalogue Aluminium'!$P$9)),IF(T27="DUCT",(IF($U27="1C",'Catalogue Aluminium'!$O$10,'Catalogue Aluminium'!$P$10)),IF(T27="GROUND",(IF($U27="1C",'Catalogue Aluminium'!$O$11,'Catalogue Aluminium'!$P$11)),IF(T27="TRENCH",(IF($U27="1C",'Catalogue Aluminium'!$O$12,'Catalogue Aluminium'!$P$12))))))</f>
        <v>NA</v>
      </c>
      <c r="AM27" s="250" t="str">
        <f>IF(T27="AIR","NA",IF(T27="TRENCH","NA",IF(T27="DUCT",IF(U27="1C",VLOOKUP(V27,'Catalogue Aluminium'!$Q$9:$S$28,2,FALSE),VLOOKUP(V27,'Catalogue Aluminium'!$Q$9:$S$28,3)),IF(T27="GROUND",IF(U27="1C",VLOOKUP(V27,'Catalogue Aluminium'!$Q$9:$S$28,2,FALSE),VLOOKUP(V27,'Catalogue Aluminium'!$Q$9:$S$28,3))))))</f>
        <v>NA</v>
      </c>
      <c r="AN27" s="257">
        <f t="shared" si="8"/>
        <v>0.58740000000000003</v>
      </c>
      <c r="AO27" s="256">
        <f t="shared" si="9"/>
        <v>269.61660000000001</v>
      </c>
      <c r="AP27" s="255">
        <v>2</v>
      </c>
      <c r="AQ27" s="256" t="str">
        <f t="shared" si="11"/>
        <v>YES</v>
      </c>
      <c r="AR27" s="257">
        <f t="shared" si="12"/>
        <v>2.1009333332480122</v>
      </c>
      <c r="AS27" s="249" t="str">
        <f t="shared" si="13"/>
        <v>YES</v>
      </c>
      <c r="AT27" s="257">
        <f t="shared" si="14"/>
        <v>8.2046856510669812</v>
      </c>
      <c r="AU27" s="249" t="str">
        <f t="shared" si="15"/>
        <v>YES</v>
      </c>
      <c r="AV27" s="260" t="str">
        <f t="shared" si="16"/>
        <v>2R x 0.6/1kV x 3C x 300 Sqmm</v>
      </c>
      <c r="AW27" s="260" t="str">
        <f t="shared" si="17"/>
        <v>2R x 0.6/1kV x 3C x 300+PE Sqmm</v>
      </c>
      <c r="AX27" s="249">
        <f t="shared" si="21"/>
        <v>476</v>
      </c>
      <c r="AY27" s="261"/>
    </row>
    <row r="28" spans="1:51" ht="35.25" customHeight="1">
      <c r="A28" s="243">
        <f t="shared" si="22"/>
        <v>18</v>
      </c>
      <c r="B28" s="285" t="s">
        <v>373</v>
      </c>
      <c r="C28" s="285" t="str">
        <f t="shared" si="0"/>
        <v>PMCC-1</v>
      </c>
      <c r="D28" s="244" t="s">
        <v>375</v>
      </c>
      <c r="E28" s="352" t="s">
        <v>368</v>
      </c>
      <c r="F28" s="285" t="s">
        <v>28</v>
      </c>
      <c r="G28" s="285" t="s">
        <v>298</v>
      </c>
      <c r="H28" s="291">
        <v>0.2</v>
      </c>
      <c r="I28" s="285" t="s">
        <v>299</v>
      </c>
      <c r="J28" s="285" t="s">
        <v>313</v>
      </c>
      <c r="K28" s="309">
        <v>230</v>
      </c>
      <c r="L28" s="294">
        <v>0.85</v>
      </c>
      <c r="M28" s="304">
        <v>0.95</v>
      </c>
      <c r="N28" s="287">
        <f t="shared" ref="N28" si="68">IF(I28="kVA",IF(J28="3Ph",(H28*1000/(1.732*M28*K28)),(H28*1000/(M28*K28))),IF(I28="kW",IF(J28="3Ph",(H28*1000/(1.732*M28*K28*L28)),(H28*1000/(M28*K28*L28)))))</f>
        <v>1.0768609503297888</v>
      </c>
      <c r="O28" s="287">
        <f t="shared" ref="O28" si="69">IF(G28="MOTOR",(6*N28),IF(G28="VFD",(1*N28),0))</f>
        <v>0</v>
      </c>
      <c r="P28" s="294" t="str">
        <f t="shared" ref="P28" si="70">IF(G28="MOTOR",0.2,"0.00")</f>
        <v>0.00</v>
      </c>
      <c r="Q28" s="304">
        <v>65</v>
      </c>
      <c r="R28" s="304">
        <v>0</v>
      </c>
      <c r="S28" s="304">
        <f t="shared" ref="S28" si="71">(Q28*1000*SQRT(R28)/143)</f>
        <v>0</v>
      </c>
      <c r="T28" s="294" t="s">
        <v>131</v>
      </c>
      <c r="U28" s="304" t="s">
        <v>302</v>
      </c>
      <c r="V28" s="294">
        <v>2.5</v>
      </c>
      <c r="W28" s="294" t="str">
        <f t="shared" ref="W28" si="72">CONCATENATE(U28," X ",V28)</f>
        <v>3C X 2.5</v>
      </c>
      <c r="X28" s="294" t="str">
        <f t="shared" ref="X28" si="73">(IF(J28="1Ph",W28,IF(J28="3Ph",(IF(G28="MOTOR",(CONCATENATE(W28,"+PE")),W28)))))</f>
        <v>3C X 2.5</v>
      </c>
      <c r="Y28" s="294" t="s">
        <v>314</v>
      </c>
      <c r="Z28" s="288">
        <f>IF(T28="AIR",VLOOKUP(W28,'Catalogue Aluminium'!$B$9:$G$91,2,FALSE),IF(T28="GROUND",VLOOKUP(W28,'Catalogue Aluminium'!$B$9:$G$91,3,FALSE),IF(T28="DUCT",VLOOKUP(W28,'Catalogue Aluminium'!$B$9:$G$91,4,FALSE),IF(T28="TRENCH",VLOOKUP(W28,'Catalogue Aluminium'!$B$9:$G$91,2,FALSE)))))</f>
        <v>28</v>
      </c>
      <c r="AA28" s="295">
        <f>VLOOKUP(W28,'Catalogue Aluminium'!$B$9:$G$91,5,FALSE)</f>
        <v>9.48</v>
      </c>
      <c r="AB28" s="295">
        <f>VLOOKUP(W28,'Catalogue Aluminium'!$B$9:$G$91,6,FALSE)</f>
        <v>0.1007</v>
      </c>
      <c r="AC28" s="294">
        <f>18+11</f>
        <v>29</v>
      </c>
      <c r="AD28" s="294">
        <f t="shared" si="59"/>
        <v>157</v>
      </c>
      <c r="AE28" s="294">
        <f t="shared" si="44"/>
        <v>22</v>
      </c>
      <c r="AF28" s="294">
        <v>8</v>
      </c>
      <c r="AG28" s="294">
        <f t="shared" ref="AG28" si="74">ROUNDUP((SUM(AC28:AF28)*0.1),0)</f>
        <v>22</v>
      </c>
      <c r="AH28" s="311">
        <f t="shared" ref="AH28" si="75">SUM(AC28:AG28)</f>
        <v>238</v>
      </c>
      <c r="AI28" s="288">
        <f>IF(T28="AIR",'Catalogue Aluminium'!$K$9,IF(T28="TRENCH",'Catalogue Aluminium'!$K$12,"NA"))</f>
        <v>0.89</v>
      </c>
      <c r="AJ28" s="287">
        <f>IF(T28="Air",(IF(U28="1C",'Catalogue Aluminium'!$L$9,'Catalogue Aluminium'!$M$9)),IF(T28="DUCT",(IF($U28="1C",'Catalogue Aluminium'!$L$10,'Catalogue Aluminium'!$M$10)),IF(T28="GROUND",(IF($U28="1C",'Catalogue Aluminium'!$L$11,'Catalogue Aluminium'!$M$11)),IF(T28="TRENCH",(IF($U28="1C",'Catalogue Aluminium'!$L$12,'Catalogue Aluminium'!$M$12))))))</f>
        <v>0.66</v>
      </c>
      <c r="AK28" s="288" t="str">
        <f>IF(T28="Air",'Catalogue Aluminium'!$N$9,IF(T28="GROUND",'Catalogue Aluminium'!$N$10,IF(T28="DUCT",'Catalogue Aluminium'!$N$11,IF(T28="TRENCH",'Catalogue Aluminium'!$N$12,"NA"))))</f>
        <v>NA</v>
      </c>
      <c r="AL28" s="288" t="str">
        <f>IF(T28="Air",(IF(U28="1C",'Catalogue Aluminium'!$O$9,'Catalogue Aluminium'!$P$9)),IF(T28="DUCT",(IF($U28="1C",'Catalogue Aluminium'!$O$10,'Catalogue Aluminium'!$P$10)),IF(T28="GROUND",(IF($U28="1C",'Catalogue Aluminium'!$O$11,'Catalogue Aluminium'!$P$11)),IF(T28="TRENCH",(IF($U28="1C",'Catalogue Aluminium'!$O$12,'Catalogue Aluminium'!$P$12))))))</f>
        <v>NA</v>
      </c>
      <c r="AM28" s="288" t="str">
        <f>IF(T28="AIR","NA",IF(T28="TRENCH","NA",IF(T28="DUCT",IF(U28="1C",VLOOKUP(V28,'Catalogue Aluminium'!$Q$9:$S$28,2,FALSE),VLOOKUP(V28,'Catalogue Aluminium'!$Q$9:$S$28,3)),IF(T28="GROUND",IF(U28="1C",VLOOKUP(V28,'Catalogue Aluminium'!$Q$9:$S$28,2,FALSE),VLOOKUP(V28,'Catalogue Aluminium'!$Q$9:$S$28,3))))))</f>
        <v>NA</v>
      </c>
      <c r="AN28" s="312">
        <f t="shared" ref="AN28" si="76">IF(T28="AIR",AI28*AJ28,IF(T28="TRENCH",AI28*AJ28,IF(T28="DUCT",AJ28*AK28*AL28*AM28,IF(T28="GROUND",AJ28*AK28*AL28*AM28))))</f>
        <v>0.58740000000000003</v>
      </c>
      <c r="AO28" s="304">
        <f t="shared" ref="AO28" si="77">Z28*AN28</f>
        <v>16.447200000000002</v>
      </c>
      <c r="AP28" s="309">
        <v>1</v>
      </c>
      <c r="AQ28" s="304" t="str">
        <f t="shared" ref="AQ28" si="78">IF(AO28*AP28&gt;=N28,"YES","NO")</f>
        <v>YES</v>
      </c>
      <c r="AR28" s="312">
        <f t="shared" ref="AR28" si="79">SQRT(3)*AH28*N28*((AA28*L28)+(AB28*SIN(ACOS(L28))))*100/(AP28*K28*1000)</f>
        <v>1.5654755745358064</v>
      </c>
      <c r="AS28" s="294" t="str">
        <f t="shared" ref="AS28" si="80">IF(G28="INCOMER",(IF(AR28&lt;=2,"YES","NO")),IF(G28="POWER",(IF(AR28&lt;=2.5,"YES","NO")),IF(G28="MOTOR",(IF(AR28&lt;=3,"YES","NO")))))</f>
        <v>YES</v>
      </c>
      <c r="AT28" s="312" t="str">
        <f t="shared" si="14"/>
        <v>NA</v>
      </c>
      <c r="AU28" s="294" t="str">
        <f t="shared" si="15"/>
        <v>NA</v>
      </c>
      <c r="AV28" s="353" t="str">
        <f t="shared" si="16"/>
        <v>1R x 0.6/1kV x 3C x 2.5 Sqmm</v>
      </c>
      <c r="AW28" s="353" t="str">
        <f t="shared" si="17"/>
        <v>1R x 0.6/1kV x 3C x 2.5 Sqmm</v>
      </c>
      <c r="AX28" s="294">
        <f t="shared" si="21"/>
        <v>238</v>
      </c>
      <c r="AY28" s="354"/>
    </row>
    <row r="29" spans="1:51" ht="35.25" customHeight="1">
      <c r="A29" s="243">
        <f t="shared" si="22"/>
        <v>19</v>
      </c>
      <c r="B29" s="243" t="s">
        <v>376</v>
      </c>
      <c r="C29" s="243" t="str">
        <f t="shared" si="0"/>
        <v>PMCC-1</v>
      </c>
      <c r="D29" s="546" t="s">
        <v>975</v>
      </c>
      <c r="E29" s="351" t="s">
        <v>368</v>
      </c>
      <c r="F29" s="243" t="s">
        <v>28</v>
      </c>
      <c r="G29" s="243" t="s">
        <v>298</v>
      </c>
      <c r="H29" s="573">
        <v>0.5</v>
      </c>
      <c r="I29" s="243" t="s">
        <v>299</v>
      </c>
      <c r="J29" s="243" t="s">
        <v>300</v>
      </c>
      <c r="K29" s="255">
        <v>400</v>
      </c>
      <c r="L29" s="249">
        <v>0.85</v>
      </c>
      <c r="M29" s="256">
        <v>0.95</v>
      </c>
      <c r="N29" s="248">
        <f t="shared" si="1"/>
        <v>0.89375728412186572</v>
      </c>
      <c r="O29" s="248">
        <f t="shared" si="2"/>
        <v>0</v>
      </c>
      <c r="P29" s="249" t="str">
        <f t="shared" si="3"/>
        <v>0.00</v>
      </c>
      <c r="Q29" s="256">
        <v>65</v>
      </c>
      <c r="R29" s="256">
        <v>0</v>
      </c>
      <c r="S29" s="256">
        <f t="shared" si="4"/>
        <v>0</v>
      </c>
      <c r="T29" s="249" t="s">
        <v>131</v>
      </c>
      <c r="U29" s="256" t="s">
        <v>377</v>
      </c>
      <c r="V29" s="249">
        <v>4</v>
      </c>
      <c r="W29" s="249" t="str">
        <f t="shared" si="5"/>
        <v>4C X 4</v>
      </c>
      <c r="X29" s="249" t="str">
        <f t="shared" si="6"/>
        <v>4C X 4</v>
      </c>
      <c r="Y29" s="249" t="s">
        <v>314</v>
      </c>
      <c r="Z29" s="250">
        <f>IF(T29="AIR",VLOOKUP(W29,'Catalogue Aluminium'!$B$9:$G$91,2,FALSE),IF(T29="GROUND",VLOOKUP(W29,'Catalogue Aluminium'!$B$9:$G$91,3,FALSE),IF(T29="DUCT",VLOOKUP(W29,'Catalogue Aluminium'!$B$9:$G$91,4,FALSE),IF(T29="TRENCH",VLOOKUP(W29,'Catalogue Aluminium'!$B$9:$G$91,2,FALSE)))))</f>
        <v>38</v>
      </c>
      <c r="AA29" s="251">
        <f>VLOOKUP(W29,'Catalogue Aluminium'!$B$9:$G$91,5,FALSE)</f>
        <v>5.9</v>
      </c>
      <c r="AB29" s="251">
        <f>VLOOKUP(W29,'Catalogue Aluminium'!$B$9:$G$91,6,FALSE)</f>
        <v>9.4700000000000006E-2</v>
      </c>
      <c r="AC29" s="294">
        <f>29+11</f>
        <v>40</v>
      </c>
      <c r="AD29" s="294">
        <f>42+74+25+21</f>
        <v>162</v>
      </c>
      <c r="AE29" s="294">
        <f t="shared" si="44"/>
        <v>22</v>
      </c>
      <c r="AF29" s="294">
        <v>8</v>
      </c>
      <c r="AG29" s="294">
        <f t="shared" si="19"/>
        <v>24</v>
      </c>
      <c r="AH29" s="253">
        <f t="shared" si="20"/>
        <v>256</v>
      </c>
      <c r="AI29" s="250">
        <f>IF(T29="AIR",'Catalogue Aluminium'!$K$9,IF(T29="TRENCH",'Catalogue Aluminium'!$K$12,"NA"))</f>
        <v>0.89</v>
      </c>
      <c r="AJ29" s="248">
        <f>IF(T29="Air",(IF(U29="1C",'Catalogue Aluminium'!$L$9,'Catalogue Aluminium'!$M$9)),IF(T29="DUCT",(IF($U29="1C",'Catalogue Aluminium'!$L$10,'Catalogue Aluminium'!$M$10)),IF(T29="GROUND",(IF($U29="1C",'Catalogue Aluminium'!$L$11,'Catalogue Aluminium'!$M$11)),IF(T29="TRENCH",(IF($U29="1C",'Catalogue Aluminium'!$L$12,'Catalogue Aluminium'!$M$12))))))</f>
        <v>0.66</v>
      </c>
      <c r="AK29" s="250" t="str">
        <f>IF(T29="Air",'Catalogue Aluminium'!$N$9,IF(T29="GROUND",'Catalogue Aluminium'!$N$10,IF(T29="DUCT",'Catalogue Aluminium'!$N$11,IF(T29="TRENCH",'Catalogue Aluminium'!$N$12,"NA"))))</f>
        <v>NA</v>
      </c>
      <c r="AL29" s="250" t="str">
        <f>IF(T29="Air",(IF(U29="1C",'Catalogue Aluminium'!$O$9,'Catalogue Aluminium'!$P$9)),IF(T29="DUCT",(IF($U29="1C",'Catalogue Aluminium'!$O$10,'Catalogue Aluminium'!$P$10)),IF(T29="GROUND",(IF($U29="1C",'Catalogue Aluminium'!$O$11,'Catalogue Aluminium'!$P$11)),IF(T29="TRENCH",(IF($U29="1C",'Catalogue Aluminium'!$O$12,'Catalogue Aluminium'!$P$12))))))</f>
        <v>NA</v>
      </c>
      <c r="AM29" s="250" t="str">
        <f>IF(T29="AIR","NA",IF(T29="TRENCH","NA",IF(T29="DUCT",IF(U29="1C",VLOOKUP(V29,'Catalogue Aluminium'!$Q$9:$S$28,2,FALSE),VLOOKUP(V29,'Catalogue Aluminium'!$Q$9:$S$28,3)),IF(T29="GROUND",IF(U29="1C",VLOOKUP(V29,'Catalogue Aluminium'!$Q$9:$S$28,2,FALSE),VLOOKUP(V29,'Catalogue Aluminium'!$Q$9:$S$28,3))))))</f>
        <v>NA</v>
      </c>
      <c r="AN29" s="257">
        <f t="shared" si="8"/>
        <v>0.58740000000000003</v>
      </c>
      <c r="AO29" s="256">
        <f t="shared" si="9"/>
        <v>22.321200000000001</v>
      </c>
      <c r="AP29" s="255">
        <f t="shared" si="10"/>
        <v>1</v>
      </c>
      <c r="AQ29" s="256" t="str">
        <f t="shared" si="11"/>
        <v>YES</v>
      </c>
      <c r="AR29" s="257">
        <f t="shared" si="12"/>
        <v>0.501799122928138</v>
      </c>
      <c r="AS29" s="249" t="str">
        <f t="shared" si="13"/>
        <v>YES</v>
      </c>
      <c r="AT29" s="257" t="str">
        <f t="shared" si="14"/>
        <v>NA</v>
      </c>
      <c r="AU29" s="249" t="str">
        <f t="shared" si="15"/>
        <v>NA</v>
      </c>
      <c r="AV29" s="260" t="str">
        <f t="shared" si="16"/>
        <v>1R x 0.6/1kV x 4C x 4 Sqmm</v>
      </c>
      <c r="AW29" s="260" t="str">
        <f t="shared" si="17"/>
        <v>1R x 0.6/1kV x 4C x 4 Sqmm</v>
      </c>
      <c r="AX29" s="249">
        <f t="shared" si="21"/>
        <v>256</v>
      </c>
      <c r="AY29" s="261"/>
    </row>
    <row r="30" spans="1:51" ht="35.25" customHeight="1">
      <c r="A30" s="243">
        <f t="shared" si="22"/>
        <v>20</v>
      </c>
      <c r="B30" s="243" t="s">
        <v>378</v>
      </c>
      <c r="C30" s="243" t="str">
        <f t="shared" si="0"/>
        <v>PMCC-1</v>
      </c>
      <c r="D30" s="546" t="s">
        <v>976</v>
      </c>
      <c r="E30" s="351" t="s">
        <v>368</v>
      </c>
      <c r="F30" s="243" t="s">
        <v>29</v>
      </c>
      <c r="G30" s="243" t="s">
        <v>298</v>
      </c>
      <c r="H30" s="573">
        <v>0.5</v>
      </c>
      <c r="I30" s="243" t="s">
        <v>299</v>
      </c>
      <c r="J30" s="243" t="s">
        <v>300</v>
      </c>
      <c r="K30" s="255">
        <v>400</v>
      </c>
      <c r="L30" s="249">
        <v>0.85</v>
      </c>
      <c r="M30" s="256">
        <v>0.95</v>
      </c>
      <c r="N30" s="248">
        <f t="shared" si="1"/>
        <v>0.89375728412186572</v>
      </c>
      <c r="O30" s="248">
        <f t="shared" si="2"/>
        <v>0</v>
      </c>
      <c r="P30" s="249" t="str">
        <f t="shared" si="3"/>
        <v>0.00</v>
      </c>
      <c r="Q30" s="256">
        <v>65</v>
      </c>
      <c r="R30" s="256">
        <v>0</v>
      </c>
      <c r="S30" s="256">
        <f t="shared" si="4"/>
        <v>0</v>
      </c>
      <c r="T30" s="249" t="s">
        <v>131</v>
      </c>
      <c r="U30" s="256" t="s">
        <v>377</v>
      </c>
      <c r="V30" s="249">
        <v>4</v>
      </c>
      <c r="W30" s="249" t="str">
        <f t="shared" si="5"/>
        <v>4C X 4</v>
      </c>
      <c r="X30" s="249" t="str">
        <f t="shared" si="6"/>
        <v>4C X 4</v>
      </c>
      <c r="Y30" s="249" t="s">
        <v>314</v>
      </c>
      <c r="Z30" s="250">
        <f>IF(T30="AIR",VLOOKUP(W30,'Catalogue Aluminium'!$B$9:$G$91,2,FALSE),IF(T30="GROUND",VLOOKUP(W30,'Catalogue Aluminium'!$B$9:$G$91,3,FALSE),IF(T30="DUCT",VLOOKUP(W30,'Catalogue Aluminium'!$B$9:$G$91,4,FALSE),IF(T30="TRENCH",VLOOKUP(W30,'Catalogue Aluminium'!$B$9:$G$91,2,FALSE)))))</f>
        <v>38</v>
      </c>
      <c r="AA30" s="251">
        <f>VLOOKUP(W30,'Catalogue Aluminium'!$B$9:$G$91,5,FALSE)</f>
        <v>5.9</v>
      </c>
      <c r="AB30" s="251">
        <f>VLOOKUP(W30,'Catalogue Aluminium'!$B$9:$G$91,6,FALSE)</f>
        <v>9.4700000000000006E-2</v>
      </c>
      <c r="AC30" s="294">
        <f>15+13</f>
        <v>28</v>
      </c>
      <c r="AD30" s="294">
        <f>42+74+25+21</f>
        <v>162</v>
      </c>
      <c r="AE30" s="294">
        <f t="shared" si="44"/>
        <v>22</v>
      </c>
      <c r="AF30" s="294">
        <v>8</v>
      </c>
      <c r="AG30" s="294">
        <f t="shared" si="19"/>
        <v>22</v>
      </c>
      <c r="AH30" s="253">
        <f t="shared" si="20"/>
        <v>242</v>
      </c>
      <c r="AI30" s="250">
        <f>IF(T30="AIR",'Catalogue Aluminium'!$K$9,IF(T30="TRENCH",'Catalogue Aluminium'!$K$12,"NA"))</f>
        <v>0.89</v>
      </c>
      <c r="AJ30" s="248">
        <f>IF(T30="Air",(IF(U30="1C",'Catalogue Aluminium'!$L$9,'Catalogue Aluminium'!$M$9)),IF(T30="DUCT",(IF($U30="1C",'Catalogue Aluminium'!$L$10,'Catalogue Aluminium'!$M$10)),IF(T30="GROUND",(IF($U30="1C",'Catalogue Aluminium'!$L$11,'Catalogue Aluminium'!$M$11)),IF(T30="TRENCH",(IF($U30="1C",'Catalogue Aluminium'!$L$12,'Catalogue Aluminium'!$M$12))))))</f>
        <v>0.66</v>
      </c>
      <c r="AK30" s="250" t="str">
        <f>IF(T30="Air",'Catalogue Aluminium'!$N$9,IF(T30="GROUND",'Catalogue Aluminium'!$N$10,IF(T30="DUCT",'Catalogue Aluminium'!$N$11,IF(T30="TRENCH",'Catalogue Aluminium'!$N$12,"NA"))))</f>
        <v>NA</v>
      </c>
      <c r="AL30" s="250" t="str">
        <f>IF(T30="Air",(IF(U30="1C",'Catalogue Aluminium'!$O$9,'Catalogue Aluminium'!$P$9)),IF(T30="DUCT",(IF($U30="1C",'Catalogue Aluminium'!$O$10,'Catalogue Aluminium'!$P$10)),IF(T30="GROUND",(IF($U30="1C",'Catalogue Aluminium'!$O$11,'Catalogue Aluminium'!$P$11)),IF(T30="TRENCH",(IF($U30="1C",'Catalogue Aluminium'!$O$12,'Catalogue Aluminium'!$P$12))))))</f>
        <v>NA</v>
      </c>
      <c r="AM30" s="250" t="str">
        <f>IF(T30="AIR","NA",IF(T30="TRENCH","NA",IF(T30="DUCT",IF(U30="1C",VLOOKUP(V30,'Catalogue Aluminium'!$Q$9:$S$28,2,FALSE),VLOOKUP(V30,'Catalogue Aluminium'!$Q$9:$S$28,3)),IF(T30="GROUND",IF(U30="1C",VLOOKUP(V30,'Catalogue Aluminium'!$Q$9:$S$28,2,FALSE),VLOOKUP(V30,'Catalogue Aluminium'!$Q$9:$S$28,3))))))</f>
        <v>NA</v>
      </c>
      <c r="AN30" s="257">
        <f t="shared" si="8"/>
        <v>0.58740000000000003</v>
      </c>
      <c r="AO30" s="256">
        <f t="shared" si="9"/>
        <v>22.321200000000001</v>
      </c>
      <c r="AP30" s="255">
        <f t="shared" si="10"/>
        <v>1</v>
      </c>
      <c r="AQ30" s="256" t="str">
        <f t="shared" si="11"/>
        <v>YES</v>
      </c>
      <c r="AR30" s="257">
        <f t="shared" si="12"/>
        <v>0.47435698339300542</v>
      </c>
      <c r="AS30" s="249" t="str">
        <f t="shared" si="13"/>
        <v>YES</v>
      </c>
      <c r="AT30" s="257" t="str">
        <f t="shared" si="14"/>
        <v>NA</v>
      </c>
      <c r="AU30" s="249" t="str">
        <f t="shared" si="15"/>
        <v>NA</v>
      </c>
      <c r="AV30" s="260" t="str">
        <f t="shared" si="16"/>
        <v>1R x 0.6/1kV x 4C x 4 Sqmm</v>
      </c>
      <c r="AW30" s="260" t="str">
        <f t="shared" si="17"/>
        <v>1R x 0.6/1kV x 4C x 4 Sqmm</v>
      </c>
      <c r="AX30" s="249">
        <f t="shared" si="21"/>
        <v>242</v>
      </c>
      <c r="AY30" s="261"/>
    </row>
    <row r="31" spans="1:51" s="576" customFormat="1" ht="35.25" customHeight="1">
      <c r="A31" s="298">
        <f t="shared" si="22"/>
        <v>21</v>
      </c>
      <c r="B31" s="298" t="s">
        <v>977</v>
      </c>
      <c r="C31" s="298" t="str">
        <f t="shared" si="0"/>
        <v>PMCC-1</v>
      </c>
      <c r="D31" s="546" t="s">
        <v>980</v>
      </c>
      <c r="E31" s="418" t="s">
        <v>368</v>
      </c>
      <c r="F31" s="298" t="s">
        <v>28</v>
      </c>
      <c r="G31" s="298" t="s">
        <v>298</v>
      </c>
      <c r="H31" s="573">
        <v>0.03</v>
      </c>
      <c r="I31" s="298" t="s">
        <v>299</v>
      </c>
      <c r="J31" s="298" t="s">
        <v>313</v>
      </c>
      <c r="K31" s="423">
        <v>230</v>
      </c>
      <c r="L31" s="301">
        <v>0.73</v>
      </c>
      <c r="M31" s="421">
        <v>0.82499999999999996</v>
      </c>
      <c r="N31" s="299">
        <f t="shared" si="1"/>
        <v>0.21657913260057396</v>
      </c>
      <c r="O31" s="299">
        <f t="shared" si="2"/>
        <v>0</v>
      </c>
      <c r="P31" s="301" t="str">
        <f t="shared" si="3"/>
        <v>0.00</v>
      </c>
      <c r="Q31" s="421">
        <v>65</v>
      </c>
      <c r="R31" s="421">
        <v>0</v>
      </c>
      <c r="S31" s="421">
        <f t="shared" si="4"/>
        <v>0</v>
      </c>
      <c r="T31" s="301" t="s">
        <v>131</v>
      </c>
      <c r="U31" s="421" t="s">
        <v>302</v>
      </c>
      <c r="V31" s="301">
        <v>4</v>
      </c>
      <c r="W31" s="301" t="str">
        <f t="shared" si="5"/>
        <v>3C X 4</v>
      </c>
      <c r="X31" s="301" t="str">
        <f t="shared" si="6"/>
        <v>3C X 4</v>
      </c>
      <c r="Y31" s="301" t="s">
        <v>314</v>
      </c>
      <c r="Z31" s="300">
        <f>IF(T31="AIR",VLOOKUP(W31,'Catalogue Aluminium'!$B$9:$G$91,2,FALSE),IF(T31="GROUND",VLOOKUP(W31,'Catalogue Aluminium'!$B$9:$G$91,3,FALSE),IF(T31="DUCT",VLOOKUP(W31,'Catalogue Aluminium'!$B$9:$G$91,4,FALSE),IF(T31="TRENCH",VLOOKUP(W31,'Catalogue Aluminium'!$B$9:$G$91,2,FALSE)))))</f>
        <v>38</v>
      </c>
      <c r="AA31" s="302">
        <f>VLOOKUP(W31,'Catalogue Aluminium'!$B$9:$G$91,5,FALSE)</f>
        <v>5.9</v>
      </c>
      <c r="AB31" s="302">
        <f>VLOOKUP(W31,'Catalogue Aluminium'!$B$9:$G$91,6,FALSE)</f>
        <v>9.4700000000000006E-2</v>
      </c>
      <c r="AC31" s="301">
        <f t="shared" ref="AC31:AC33" si="81">15+13</f>
        <v>28</v>
      </c>
      <c r="AD31" s="301">
        <f t="shared" ref="AD31:AD33" si="82">42+74+25+21</f>
        <v>162</v>
      </c>
      <c r="AE31" s="301">
        <f t="shared" si="44"/>
        <v>22</v>
      </c>
      <c r="AF31" s="301">
        <v>8</v>
      </c>
      <c r="AG31" s="301">
        <f t="shared" ref="AG31:AG33" si="83">ROUNDUP((SUM(AC31:AF31)*0.1),0)</f>
        <v>22</v>
      </c>
      <c r="AH31" s="574">
        <f t="shared" si="20"/>
        <v>242</v>
      </c>
      <c r="AI31" s="300">
        <f>IF(T31="AIR",'Catalogue Aluminium'!$K$9,IF(T31="TRENCH",'Catalogue Aluminium'!$K$12,"NA"))</f>
        <v>0.89</v>
      </c>
      <c r="AJ31" s="299">
        <f>IF(T31="Air",(IF(U31="1C",'Catalogue Aluminium'!$L$9,'Catalogue Aluminium'!$M$9)),IF(T31="DUCT",(IF($U31="1C",'Catalogue Aluminium'!$L$10,'Catalogue Aluminium'!$M$10)),IF(T31="GROUND",(IF($U31="1C",'Catalogue Aluminium'!$L$11,'Catalogue Aluminium'!$M$11)),IF(T31="TRENCH",(IF($U31="1C",'Catalogue Aluminium'!$L$12,'Catalogue Aluminium'!$M$12))))))</f>
        <v>0.66</v>
      </c>
      <c r="AK31" s="300" t="str">
        <f>IF(T31="Air",'Catalogue Aluminium'!$N$9,IF(T31="GROUND",'Catalogue Aluminium'!$N$10,IF(T31="DUCT",'Catalogue Aluminium'!$N$11,IF(T31="TRENCH",'Catalogue Aluminium'!$N$12,"NA"))))</f>
        <v>NA</v>
      </c>
      <c r="AL31" s="300" t="str">
        <f>IF(T31="Air",(IF(U31="1C",'Catalogue Aluminium'!$O$9,'Catalogue Aluminium'!$P$9)),IF(T31="DUCT",(IF($U31="1C",'Catalogue Aluminium'!$O$10,'Catalogue Aluminium'!$P$10)),IF(T31="GROUND",(IF($U31="1C",'Catalogue Aluminium'!$O$11,'Catalogue Aluminium'!$P$11)),IF(T31="TRENCH",(IF($U31="1C",'Catalogue Aluminium'!$O$12,'Catalogue Aluminium'!$P$12))))))</f>
        <v>NA</v>
      </c>
      <c r="AM31" s="300" t="str">
        <f>IF(T31="AIR","NA",IF(T31="TRENCH","NA",IF(T31="DUCT",IF(U31="1C",VLOOKUP(V31,'Catalogue Aluminium'!$Q$9:$S$28,2,FALSE),VLOOKUP(V31,'Catalogue Aluminium'!$Q$9:$S$28,3)),IF(T31="GROUND",IF(U31="1C",VLOOKUP(V31,'Catalogue Aluminium'!$Q$9:$S$28,2,FALSE),VLOOKUP(V31,'Catalogue Aluminium'!$Q$9:$S$28,3))))))</f>
        <v>NA</v>
      </c>
      <c r="AN31" s="422">
        <f t="shared" si="8"/>
        <v>0.58740000000000003</v>
      </c>
      <c r="AO31" s="421">
        <f t="shared" si="9"/>
        <v>22.321200000000001</v>
      </c>
      <c r="AP31" s="423">
        <f t="shared" si="10"/>
        <v>1</v>
      </c>
      <c r="AQ31" s="421" t="str">
        <f t="shared" si="11"/>
        <v>YES</v>
      </c>
      <c r="AR31" s="422">
        <f t="shared" si="12"/>
        <v>0.17255094760875125</v>
      </c>
      <c r="AS31" s="301" t="str">
        <f t="shared" si="13"/>
        <v>YES</v>
      </c>
      <c r="AT31" s="422" t="str">
        <f t="shared" si="14"/>
        <v>NA</v>
      </c>
      <c r="AU31" s="301" t="str">
        <f t="shared" si="15"/>
        <v>NA</v>
      </c>
      <c r="AV31" s="424" t="str">
        <f t="shared" si="16"/>
        <v>1R x 0.6/1kV x 3C x 4 Sqmm</v>
      </c>
      <c r="AW31" s="424" t="str">
        <f t="shared" si="17"/>
        <v>1R x 0.6/1kV x 3C x 4 Sqmm</v>
      </c>
      <c r="AX31" s="301">
        <f t="shared" si="21"/>
        <v>242</v>
      </c>
      <c r="AY31" s="575"/>
    </row>
    <row r="32" spans="1:51" s="576" customFormat="1" ht="35.25" customHeight="1">
      <c r="A32" s="298">
        <f t="shared" si="22"/>
        <v>22</v>
      </c>
      <c r="B32" s="298" t="s">
        <v>978</v>
      </c>
      <c r="C32" s="298" t="str">
        <f t="shared" si="0"/>
        <v>PMCC-1</v>
      </c>
      <c r="D32" s="546" t="s">
        <v>981</v>
      </c>
      <c r="E32" s="418" t="s">
        <v>368</v>
      </c>
      <c r="F32" s="298" t="s">
        <v>29</v>
      </c>
      <c r="G32" s="298" t="s">
        <v>298</v>
      </c>
      <c r="H32" s="573">
        <v>0.03</v>
      </c>
      <c r="I32" s="298" t="s">
        <v>299</v>
      </c>
      <c r="J32" s="298" t="s">
        <v>313</v>
      </c>
      <c r="K32" s="423">
        <v>230</v>
      </c>
      <c r="L32" s="301">
        <v>0.73</v>
      </c>
      <c r="M32" s="421">
        <v>0.82499999999999996</v>
      </c>
      <c r="N32" s="299">
        <f t="shared" si="1"/>
        <v>0.21657913260057396</v>
      </c>
      <c r="O32" s="299">
        <f t="shared" si="2"/>
        <v>0</v>
      </c>
      <c r="P32" s="301" t="str">
        <f t="shared" si="3"/>
        <v>0.00</v>
      </c>
      <c r="Q32" s="421">
        <v>65</v>
      </c>
      <c r="R32" s="421">
        <v>0</v>
      </c>
      <c r="S32" s="421">
        <f t="shared" si="4"/>
        <v>0</v>
      </c>
      <c r="T32" s="301" t="s">
        <v>131</v>
      </c>
      <c r="U32" s="421" t="s">
        <v>302</v>
      </c>
      <c r="V32" s="301">
        <v>4</v>
      </c>
      <c r="W32" s="301" t="str">
        <f t="shared" si="5"/>
        <v>3C X 4</v>
      </c>
      <c r="X32" s="301" t="str">
        <f t="shared" si="6"/>
        <v>3C X 4</v>
      </c>
      <c r="Y32" s="301" t="s">
        <v>314</v>
      </c>
      <c r="Z32" s="300">
        <f>IF(T32="AIR",VLOOKUP(W32,'Catalogue Aluminium'!$B$9:$G$91,2,FALSE),IF(T32="GROUND",VLOOKUP(W32,'Catalogue Aluminium'!$B$9:$G$91,3,FALSE),IF(T32="DUCT",VLOOKUP(W32,'Catalogue Aluminium'!$B$9:$G$91,4,FALSE),IF(T32="TRENCH",VLOOKUP(W32,'Catalogue Aluminium'!$B$9:$G$91,2,FALSE)))))</f>
        <v>38</v>
      </c>
      <c r="AA32" s="302">
        <f>VLOOKUP(W32,'Catalogue Aluminium'!$B$9:$G$91,5,FALSE)</f>
        <v>5.9</v>
      </c>
      <c r="AB32" s="302">
        <f>VLOOKUP(W32,'Catalogue Aluminium'!$B$9:$G$91,6,FALSE)</f>
        <v>9.4700000000000006E-2</v>
      </c>
      <c r="AC32" s="301">
        <f t="shared" ref="AC32:AC36" si="84">29+11</f>
        <v>40</v>
      </c>
      <c r="AD32" s="301">
        <f>42+74+25+21</f>
        <v>162</v>
      </c>
      <c r="AE32" s="301">
        <f t="shared" si="44"/>
        <v>22</v>
      </c>
      <c r="AF32" s="301">
        <v>8</v>
      </c>
      <c r="AG32" s="301">
        <f t="shared" si="83"/>
        <v>24</v>
      </c>
      <c r="AH32" s="574">
        <f t="shared" si="20"/>
        <v>256</v>
      </c>
      <c r="AI32" s="300">
        <f>IF(T32="AIR",'Catalogue Aluminium'!$K$9,IF(T32="TRENCH",'Catalogue Aluminium'!$K$12,"NA"))</f>
        <v>0.89</v>
      </c>
      <c r="AJ32" s="299">
        <f>IF(T32="Air",(IF(U32="1C",'Catalogue Aluminium'!$L$9,'Catalogue Aluminium'!$M$9)),IF(T32="DUCT",(IF($U32="1C",'Catalogue Aluminium'!$L$10,'Catalogue Aluminium'!$M$10)),IF(T32="GROUND",(IF($U32="1C",'Catalogue Aluminium'!$L$11,'Catalogue Aluminium'!$M$11)),IF(T32="TRENCH",(IF($U32="1C",'Catalogue Aluminium'!$L$12,'Catalogue Aluminium'!$M$12))))))</f>
        <v>0.66</v>
      </c>
      <c r="AK32" s="300" t="str">
        <f>IF(T32="Air",'Catalogue Aluminium'!$N$9,IF(T32="GROUND",'Catalogue Aluminium'!$N$10,IF(T32="DUCT",'Catalogue Aluminium'!$N$11,IF(T32="TRENCH",'Catalogue Aluminium'!$N$12,"NA"))))</f>
        <v>NA</v>
      </c>
      <c r="AL32" s="300" t="str">
        <f>IF(T32="Air",(IF(U32="1C",'Catalogue Aluminium'!$O$9,'Catalogue Aluminium'!$P$9)),IF(T32="DUCT",(IF($U32="1C",'Catalogue Aluminium'!$O$10,'Catalogue Aluminium'!$P$10)),IF(T32="GROUND",(IF($U32="1C",'Catalogue Aluminium'!$O$11,'Catalogue Aluminium'!$P$11)),IF(T32="TRENCH",(IF($U32="1C",'Catalogue Aluminium'!$O$12,'Catalogue Aluminium'!$P$12))))))</f>
        <v>NA</v>
      </c>
      <c r="AM32" s="300" t="str">
        <f>IF(T32="AIR","NA",IF(T32="TRENCH","NA",IF(T32="DUCT",IF(U32="1C",VLOOKUP(V32,'Catalogue Aluminium'!$Q$9:$S$28,2,FALSE),VLOOKUP(V32,'Catalogue Aluminium'!$Q$9:$S$28,3)),IF(T32="GROUND",IF(U32="1C",VLOOKUP(V32,'Catalogue Aluminium'!$Q$9:$S$28,2,FALSE),VLOOKUP(V32,'Catalogue Aluminium'!$Q$9:$S$28,3))))))</f>
        <v>NA</v>
      </c>
      <c r="AN32" s="422">
        <f t="shared" si="8"/>
        <v>0.58740000000000003</v>
      </c>
      <c r="AO32" s="421">
        <f t="shared" si="9"/>
        <v>22.321200000000001</v>
      </c>
      <c r="AP32" s="423">
        <f t="shared" si="10"/>
        <v>1</v>
      </c>
      <c r="AQ32" s="421" t="str">
        <f t="shared" si="11"/>
        <v>YES</v>
      </c>
      <c r="AR32" s="422">
        <f t="shared" si="12"/>
        <v>0.1825332338340509</v>
      </c>
      <c r="AS32" s="301" t="str">
        <f t="shared" si="13"/>
        <v>YES</v>
      </c>
      <c r="AT32" s="422" t="str">
        <f t="shared" si="14"/>
        <v>NA</v>
      </c>
      <c r="AU32" s="301" t="str">
        <f t="shared" si="15"/>
        <v>NA</v>
      </c>
      <c r="AV32" s="424" t="str">
        <f t="shared" si="16"/>
        <v>1R x 0.6/1kV x 3C x 4 Sqmm</v>
      </c>
      <c r="AW32" s="424" t="str">
        <f t="shared" si="17"/>
        <v>1R x 0.6/1kV x 3C x 4 Sqmm</v>
      </c>
      <c r="AX32" s="301">
        <f t="shared" si="21"/>
        <v>256</v>
      </c>
      <c r="AY32" s="575"/>
    </row>
    <row r="33" spans="1:51" s="576" customFormat="1" ht="35.25" customHeight="1">
      <c r="A33" s="298">
        <f t="shared" si="22"/>
        <v>23</v>
      </c>
      <c r="B33" s="298" t="s">
        <v>979</v>
      </c>
      <c r="C33" s="298" t="str">
        <f t="shared" si="0"/>
        <v>PMCC-1</v>
      </c>
      <c r="D33" s="546" t="s">
        <v>981</v>
      </c>
      <c r="E33" s="418" t="s">
        <v>368</v>
      </c>
      <c r="F33" s="298" t="s">
        <v>28</v>
      </c>
      <c r="G33" s="298" t="s">
        <v>298</v>
      </c>
      <c r="H33" s="573">
        <v>0.03</v>
      </c>
      <c r="I33" s="298" t="s">
        <v>299</v>
      </c>
      <c r="J33" s="298" t="s">
        <v>313</v>
      </c>
      <c r="K33" s="423">
        <v>230</v>
      </c>
      <c r="L33" s="301">
        <v>0.73</v>
      </c>
      <c r="M33" s="421">
        <v>0.82499999999999996</v>
      </c>
      <c r="N33" s="299">
        <f t="shared" si="1"/>
        <v>0.21657913260057396</v>
      </c>
      <c r="O33" s="299">
        <f t="shared" si="2"/>
        <v>0</v>
      </c>
      <c r="P33" s="301" t="str">
        <f t="shared" si="3"/>
        <v>0.00</v>
      </c>
      <c r="Q33" s="421">
        <v>65</v>
      </c>
      <c r="R33" s="421">
        <v>0</v>
      </c>
      <c r="S33" s="421">
        <f t="shared" si="4"/>
        <v>0</v>
      </c>
      <c r="T33" s="301" t="s">
        <v>131</v>
      </c>
      <c r="U33" s="421" t="s">
        <v>302</v>
      </c>
      <c r="V33" s="301">
        <v>4</v>
      </c>
      <c r="W33" s="301" t="str">
        <f t="shared" si="5"/>
        <v>3C X 4</v>
      </c>
      <c r="X33" s="301" t="str">
        <f t="shared" si="6"/>
        <v>3C X 4</v>
      </c>
      <c r="Y33" s="301" t="s">
        <v>314</v>
      </c>
      <c r="Z33" s="300">
        <f>IF(T33="AIR",VLOOKUP(W33,'Catalogue Aluminium'!$B$9:$G$91,2,FALSE),IF(T33="GROUND",VLOOKUP(W33,'Catalogue Aluminium'!$B$9:$G$91,3,FALSE),IF(T33="DUCT",VLOOKUP(W33,'Catalogue Aluminium'!$B$9:$G$91,4,FALSE),IF(T33="TRENCH",VLOOKUP(W33,'Catalogue Aluminium'!$B$9:$G$91,2,FALSE)))))</f>
        <v>38</v>
      </c>
      <c r="AA33" s="302">
        <f>VLOOKUP(W33,'Catalogue Aluminium'!$B$9:$G$91,5,FALSE)</f>
        <v>5.9</v>
      </c>
      <c r="AB33" s="302">
        <f>VLOOKUP(W33,'Catalogue Aluminium'!$B$9:$G$91,6,FALSE)</f>
        <v>9.4700000000000006E-2</v>
      </c>
      <c r="AC33" s="301">
        <f t="shared" si="81"/>
        <v>28</v>
      </c>
      <c r="AD33" s="301">
        <f t="shared" si="82"/>
        <v>162</v>
      </c>
      <c r="AE33" s="301">
        <f t="shared" si="44"/>
        <v>22</v>
      </c>
      <c r="AF33" s="301">
        <v>8</v>
      </c>
      <c r="AG33" s="301">
        <f t="shared" si="83"/>
        <v>22</v>
      </c>
      <c r="AH33" s="574">
        <f t="shared" si="20"/>
        <v>242</v>
      </c>
      <c r="AI33" s="300">
        <f>IF(T33="AIR",'Catalogue Aluminium'!$K$9,IF(T33="TRENCH",'Catalogue Aluminium'!$K$12,"NA"))</f>
        <v>0.89</v>
      </c>
      <c r="AJ33" s="299">
        <f>IF(T33="Air",(IF(U33="1C",'Catalogue Aluminium'!$L$9,'Catalogue Aluminium'!$M$9)),IF(T33="DUCT",(IF($U33="1C",'Catalogue Aluminium'!$L$10,'Catalogue Aluminium'!$M$10)),IF(T33="GROUND",(IF($U33="1C",'Catalogue Aluminium'!$L$11,'Catalogue Aluminium'!$M$11)),IF(T33="TRENCH",(IF($U33="1C",'Catalogue Aluminium'!$L$12,'Catalogue Aluminium'!$M$12))))))</f>
        <v>0.66</v>
      </c>
      <c r="AK33" s="300" t="str">
        <f>IF(T33="Air",'Catalogue Aluminium'!$N$9,IF(T33="GROUND",'Catalogue Aluminium'!$N$10,IF(T33="DUCT",'Catalogue Aluminium'!$N$11,IF(T33="TRENCH",'Catalogue Aluminium'!$N$12,"NA"))))</f>
        <v>NA</v>
      </c>
      <c r="AL33" s="300" t="str">
        <f>IF(T33="Air",(IF(U33="1C",'Catalogue Aluminium'!$O$9,'Catalogue Aluminium'!$P$9)),IF(T33="DUCT",(IF($U33="1C",'Catalogue Aluminium'!$O$10,'Catalogue Aluminium'!$P$10)),IF(T33="GROUND",(IF($U33="1C",'Catalogue Aluminium'!$O$11,'Catalogue Aluminium'!$P$11)),IF(T33="TRENCH",(IF($U33="1C",'Catalogue Aluminium'!$O$12,'Catalogue Aluminium'!$P$12))))))</f>
        <v>NA</v>
      </c>
      <c r="AM33" s="300" t="str">
        <f>IF(T33="AIR","NA",IF(T33="TRENCH","NA",IF(T33="DUCT",IF(U33="1C",VLOOKUP(V33,'Catalogue Aluminium'!$Q$9:$S$28,2,FALSE),VLOOKUP(V33,'Catalogue Aluminium'!$Q$9:$S$28,3)),IF(T33="GROUND",IF(U33="1C",VLOOKUP(V33,'Catalogue Aluminium'!$Q$9:$S$28,2,FALSE),VLOOKUP(V33,'Catalogue Aluminium'!$Q$9:$S$28,3))))))</f>
        <v>NA</v>
      </c>
      <c r="AN33" s="422">
        <f t="shared" si="8"/>
        <v>0.58740000000000003</v>
      </c>
      <c r="AO33" s="421">
        <f t="shared" si="9"/>
        <v>22.321200000000001</v>
      </c>
      <c r="AP33" s="423">
        <f t="shared" si="10"/>
        <v>1</v>
      </c>
      <c r="AQ33" s="421" t="str">
        <f t="shared" si="11"/>
        <v>YES</v>
      </c>
      <c r="AR33" s="422">
        <f t="shared" si="12"/>
        <v>0.17255094760875125</v>
      </c>
      <c r="AS33" s="301" t="str">
        <f t="shared" si="13"/>
        <v>YES</v>
      </c>
      <c r="AT33" s="422" t="str">
        <f t="shared" si="14"/>
        <v>NA</v>
      </c>
      <c r="AU33" s="301" t="str">
        <f t="shared" si="15"/>
        <v>NA</v>
      </c>
      <c r="AV33" s="424" t="str">
        <f t="shared" si="16"/>
        <v>1R x 0.6/1kV x 3C x 4 Sqmm</v>
      </c>
      <c r="AW33" s="424" t="str">
        <f t="shared" si="17"/>
        <v>1R x 0.6/1kV x 3C x 4 Sqmm</v>
      </c>
      <c r="AX33" s="301">
        <f t="shared" si="21"/>
        <v>242</v>
      </c>
      <c r="AY33" s="575"/>
    </row>
    <row r="34" spans="1:51" ht="35.25" customHeight="1">
      <c r="A34" s="243">
        <f>1+A33</f>
        <v>24</v>
      </c>
      <c r="B34" s="355" t="s">
        <v>379</v>
      </c>
      <c r="C34" s="285" t="str">
        <f t="shared" si="0"/>
        <v>PMCC-1</v>
      </c>
      <c r="D34" s="244" t="s">
        <v>380</v>
      </c>
      <c r="E34" s="352" t="s">
        <v>368</v>
      </c>
      <c r="F34" s="285" t="s">
        <v>29</v>
      </c>
      <c r="G34" s="285" t="s">
        <v>311</v>
      </c>
      <c r="H34" s="573">
        <v>3</v>
      </c>
      <c r="I34" s="285" t="s">
        <v>299</v>
      </c>
      <c r="J34" s="285" t="s">
        <v>300</v>
      </c>
      <c r="K34" s="309">
        <v>400</v>
      </c>
      <c r="L34" s="294">
        <v>0.85</v>
      </c>
      <c r="M34" s="304">
        <v>0.95</v>
      </c>
      <c r="N34" s="287">
        <f t="shared" si="1"/>
        <v>5.3625437047311939</v>
      </c>
      <c r="O34" s="287">
        <f t="shared" si="2"/>
        <v>32.175262228387162</v>
      </c>
      <c r="P34" s="294">
        <f t="shared" si="3"/>
        <v>0.2</v>
      </c>
      <c r="Q34" s="304">
        <v>65</v>
      </c>
      <c r="R34" s="304">
        <v>0</v>
      </c>
      <c r="S34" s="304">
        <f t="shared" si="4"/>
        <v>0</v>
      </c>
      <c r="T34" s="294" t="s">
        <v>131</v>
      </c>
      <c r="U34" s="304" t="s">
        <v>302</v>
      </c>
      <c r="V34" s="294">
        <v>6</v>
      </c>
      <c r="W34" s="294" t="str">
        <f t="shared" si="5"/>
        <v>3C X 6</v>
      </c>
      <c r="X34" s="294" t="str">
        <f t="shared" si="6"/>
        <v>3C X 6+PE</v>
      </c>
      <c r="Y34" s="294" t="s">
        <v>314</v>
      </c>
      <c r="Z34" s="288">
        <f>IF(T34="AIR",VLOOKUP(W34,'Catalogue Aluminium'!$B$9:$G$91,2,FALSE),IF(T34="GROUND",VLOOKUP(W34,'Catalogue Aluminium'!$B$9:$G$91,3,FALSE),IF(T34="DUCT",VLOOKUP(W34,'Catalogue Aluminium'!$B$9:$G$91,4,FALSE),IF(T34="TRENCH",VLOOKUP(W34,'Catalogue Aluminium'!$B$9:$G$91,2,FALSE)))))</f>
        <v>51</v>
      </c>
      <c r="AA34" s="295">
        <f>VLOOKUP(W34,'Catalogue Aluminium'!$B$9:$G$91,5,FALSE)</f>
        <v>3.94</v>
      </c>
      <c r="AB34" s="295">
        <f>VLOOKUP(W34,'Catalogue Aluminium'!$B$9:$G$91,6,FALSE)</f>
        <v>9.0200000000000002E-2</v>
      </c>
      <c r="AC34" s="294">
        <f t="shared" si="84"/>
        <v>40</v>
      </c>
      <c r="AD34" s="294">
        <f>42+74+25+21</f>
        <v>162</v>
      </c>
      <c r="AE34" s="294">
        <f t="shared" si="44"/>
        <v>22</v>
      </c>
      <c r="AF34" s="294">
        <v>8</v>
      </c>
      <c r="AG34" s="294">
        <f t="shared" si="19"/>
        <v>24</v>
      </c>
      <c r="AH34" s="311">
        <f t="shared" si="20"/>
        <v>256</v>
      </c>
      <c r="AI34" s="288">
        <f>IF(T34="AIR",'Catalogue Aluminium'!$K$9,IF(T34="TRENCH",'Catalogue Aluminium'!$K$12,"NA"))</f>
        <v>0.89</v>
      </c>
      <c r="AJ34" s="287">
        <f>IF(T34="Air",(IF(U34="1C",'Catalogue Aluminium'!$L$9,'Catalogue Aluminium'!$M$9)),IF(T34="DUCT",(IF($U34="1C",'Catalogue Aluminium'!$L$10,'Catalogue Aluminium'!$M$10)),IF(T34="GROUND",(IF($U34="1C",'Catalogue Aluminium'!$L$11,'Catalogue Aluminium'!$M$11)),IF(T34="TRENCH",(IF($U34="1C",'Catalogue Aluminium'!$L$12,'Catalogue Aluminium'!$M$12))))))</f>
        <v>0.66</v>
      </c>
      <c r="AK34" s="288" t="str">
        <f>IF(T34="Air",'Catalogue Aluminium'!$N$9,IF(T34="GROUND",'Catalogue Aluminium'!$N$10,IF(T34="DUCT",'Catalogue Aluminium'!$N$11,IF(T34="TRENCH",'Catalogue Aluminium'!$N$12,"NA"))))</f>
        <v>NA</v>
      </c>
      <c r="AL34" s="288" t="str">
        <f>IF(T34="Air",(IF(U34="1C",'Catalogue Aluminium'!$O$9,'Catalogue Aluminium'!$P$9)),IF(T34="DUCT",(IF($U34="1C",'Catalogue Aluminium'!$O$10,'Catalogue Aluminium'!$P$10)),IF(T34="GROUND",(IF($U34="1C",'Catalogue Aluminium'!$O$11,'Catalogue Aluminium'!$P$11)),IF(T34="TRENCH",(IF($U34="1C",'Catalogue Aluminium'!$O$12,'Catalogue Aluminium'!$P$12))))))</f>
        <v>NA</v>
      </c>
      <c r="AM34" s="288" t="str">
        <f>IF(T34="AIR","NA",IF(T34="TRENCH","NA",IF(T34="DUCT",IF(U34="1C",VLOOKUP(V34,'Catalogue Aluminium'!$Q$9:$S$28,2,FALSE),VLOOKUP(V34,'Catalogue Aluminium'!$Q$9:$S$28,3)),IF(T34="GROUND",IF(U34="1C",VLOOKUP(V34,'Catalogue Aluminium'!$Q$9:$S$28,2,FALSE),VLOOKUP(V34,'Catalogue Aluminium'!$Q$9:$S$28,3))))))</f>
        <v>NA</v>
      </c>
      <c r="AN34" s="312">
        <f t="shared" si="8"/>
        <v>0.58740000000000003</v>
      </c>
      <c r="AO34" s="304">
        <f t="shared" si="9"/>
        <v>29.957400000000003</v>
      </c>
      <c r="AP34" s="309">
        <f t="shared" si="10"/>
        <v>1</v>
      </c>
      <c r="AQ34" s="304" t="str">
        <f t="shared" si="11"/>
        <v>YES</v>
      </c>
      <c r="AR34" s="312">
        <f t="shared" si="12"/>
        <v>2.0190407533014612</v>
      </c>
      <c r="AS34" s="294" t="str">
        <f t="shared" si="13"/>
        <v>YES</v>
      </c>
      <c r="AT34" s="312">
        <f t="shared" si="14"/>
        <v>3.1257479858886112</v>
      </c>
      <c r="AU34" s="294" t="str">
        <f t="shared" si="15"/>
        <v>YES</v>
      </c>
      <c r="AV34" s="353" t="str">
        <f t="shared" si="16"/>
        <v>1R x 0.6/1kV x 3C x 6 Sqmm</v>
      </c>
      <c r="AW34" s="353" t="str">
        <f t="shared" si="17"/>
        <v>1R x 0.6/1kV x 3C x 6+PE Sqmm</v>
      </c>
      <c r="AX34" s="294">
        <f t="shared" si="21"/>
        <v>256</v>
      </c>
      <c r="AY34" s="354"/>
    </row>
    <row r="35" spans="1:51" ht="35.25" customHeight="1">
      <c r="A35" s="243">
        <f t="shared" si="22"/>
        <v>25</v>
      </c>
      <c r="B35" s="355" t="s">
        <v>381</v>
      </c>
      <c r="C35" s="285" t="str">
        <f t="shared" si="0"/>
        <v>PMCC-1</v>
      </c>
      <c r="D35" s="244" t="s">
        <v>380</v>
      </c>
      <c r="E35" s="352" t="s">
        <v>368</v>
      </c>
      <c r="F35" s="285" t="s">
        <v>29</v>
      </c>
      <c r="G35" s="285" t="s">
        <v>311</v>
      </c>
      <c r="H35" s="573">
        <v>3</v>
      </c>
      <c r="I35" s="285" t="s">
        <v>299</v>
      </c>
      <c r="J35" s="285" t="s">
        <v>300</v>
      </c>
      <c r="K35" s="309">
        <v>400</v>
      </c>
      <c r="L35" s="294">
        <v>0.85</v>
      </c>
      <c r="M35" s="304">
        <v>0.95</v>
      </c>
      <c r="N35" s="287">
        <f t="shared" si="1"/>
        <v>5.3625437047311939</v>
      </c>
      <c r="O35" s="287">
        <f t="shared" si="2"/>
        <v>32.175262228387162</v>
      </c>
      <c r="P35" s="294">
        <f t="shared" si="3"/>
        <v>0.2</v>
      </c>
      <c r="Q35" s="304">
        <v>65</v>
      </c>
      <c r="R35" s="304">
        <v>0</v>
      </c>
      <c r="S35" s="304">
        <f t="shared" si="4"/>
        <v>0</v>
      </c>
      <c r="T35" s="294" t="s">
        <v>131</v>
      </c>
      <c r="U35" s="304" t="s">
        <v>302</v>
      </c>
      <c r="V35" s="294">
        <v>6</v>
      </c>
      <c r="W35" s="294" t="str">
        <f t="shared" si="5"/>
        <v>3C X 6</v>
      </c>
      <c r="X35" s="294" t="str">
        <f t="shared" si="6"/>
        <v>3C X 6+PE</v>
      </c>
      <c r="Y35" s="294" t="s">
        <v>314</v>
      </c>
      <c r="Z35" s="288">
        <f>IF(T35="AIR",VLOOKUP(W35,'Catalogue Aluminium'!$B$9:$G$91,2,FALSE),IF(T35="GROUND",VLOOKUP(W35,'Catalogue Aluminium'!$B$9:$G$91,3,FALSE),IF(T35="DUCT",VLOOKUP(W35,'Catalogue Aluminium'!$B$9:$G$91,4,FALSE),IF(T35="TRENCH",VLOOKUP(W35,'Catalogue Aluminium'!$B$9:$G$91,2,FALSE)))))</f>
        <v>51</v>
      </c>
      <c r="AA35" s="295">
        <f>VLOOKUP(W35,'Catalogue Aluminium'!$B$9:$G$91,5,FALSE)</f>
        <v>3.94</v>
      </c>
      <c r="AB35" s="295">
        <f>VLOOKUP(W35,'Catalogue Aluminium'!$B$9:$G$91,6,FALSE)</f>
        <v>9.0200000000000002E-2</v>
      </c>
      <c r="AC35" s="294">
        <f t="shared" si="84"/>
        <v>40</v>
      </c>
      <c r="AD35" s="294">
        <f>42+74+25+21</f>
        <v>162</v>
      </c>
      <c r="AE35" s="294">
        <f t="shared" si="44"/>
        <v>22</v>
      </c>
      <c r="AF35" s="294">
        <v>8</v>
      </c>
      <c r="AG35" s="294">
        <f t="shared" si="19"/>
        <v>24</v>
      </c>
      <c r="AH35" s="311">
        <f t="shared" si="20"/>
        <v>256</v>
      </c>
      <c r="AI35" s="288">
        <f>IF(T35="AIR",'Catalogue Aluminium'!$K$9,IF(T35="TRENCH",'Catalogue Aluminium'!$K$12,"NA"))</f>
        <v>0.89</v>
      </c>
      <c r="AJ35" s="287">
        <f>IF(T35="Air",(IF(U35="1C",'Catalogue Aluminium'!$L$9,'Catalogue Aluminium'!$M$9)),IF(T35="DUCT",(IF($U35="1C",'Catalogue Aluminium'!$L$10,'Catalogue Aluminium'!$M$10)),IF(T35="GROUND",(IF($U35="1C",'Catalogue Aluminium'!$L$11,'Catalogue Aluminium'!$M$11)),IF(T35="TRENCH",(IF($U35="1C",'Catalogue Aluminium'!$L$12,'Catalogue Aluminium'!$M$12))))))</f>
        <v>0.66</v>
      </c>
      <c r="AK35" s="288" t="str">
        <f>IF(T35="Air",'Catalogue Aluminium'!$N$9,IF(T35="GROUND",'Catalogue Aluminium'!$N$10,IF(T35="DUCT",'Catalogue Aluminium'!$N$11,IF(T35="TRENCH",'Catalogue Aluminium'!$N$12,"NA"))))</f>
        <v>NA</v>
      </c>
      <c r="AL35" s="288" t="str">
        <f>IF(T35="Air",(IF(U35="1C",'Catalogue Aluminium'!$O$9,'Catalogue Aluminium'!$P$9)),IF(T35="DUCT",(IF($U35="1C",'Catalogue Aluminium'!$O$10,'Catalogue Aluminium'!$P$10)),IF(T35="GROUND",(IF($U35="1C",'Catalogue Aluminium'!$O$11,'Catalogue Aluminium'!$P$11)),IF(T35="TRENCH",(IF($U35="1C",'Catalogue Aluminium'!$O$12,'Catalogue Aluminium'!$P$12))))))</f>
        <v>NA</v>
      </c>
      <c r="AM35" s="288" t="str">
        <f>IF(T35="AIR","NA",IF(T35="TRENCH","NA",IF(T35="DUCT",IF(U35="1C",VLOOKUP(V35,'Catalogue Aluminium'!$Q$9:$S$28,2,FALSE),VLOOKUP(V35,'Catalogue Aluminium'!$Q$9:$S$28,3)),IF(T35="GROUND",IF(U35="1C",VLOOKUP(V35,'Catalogue Aluminium'!$Q$9:$S$28,2,FALSE),VLOOKUP(V35,'Catalogue Aluminium'!$Q$9:$S$28,3))))))</f>
        <v>NA</v>
      </c>
      <c r="AN35" s="312">
        <f t="shared" si="8"/>
        <v>0.58740000000000003</v>
      </c>
      <c r="AO35" s="304">
        <f t="shared" si="9"/>
        <v>29.957400000000003</v>
      </c>
      <c r="AP35" s="309">
        <f t="shared" si="10"/>
        <v>1</v>
      </c>
      <c r="AQ35" s="304" t="str">
        <f t="shared" si="11"/>
        <v>YES</v>
      </c>
      <c r="AR35" s="312">
        <f t="shared" si="12"/>
        <v>2.0190407533014612</v>
      </c>
      <c r="AS35" s="294" t="str">
        <f t="shared" si="13"/>
        <v>YES</v>
      </c>
      <c r="AT35" s="312">
        <f t="shared" si="14"/>
        <v>3.1257479858886112</v>
      </c>
      <c r="AU35" s="294" t="str">
        <f t="shared" si="15"/>
        <v>YES</v>
      </c>
      <c r="AV35" s="353" t="str">
        <f t="shared" si="16"/>
        <v>1R x 0.6/1kV x 3C x 6 Sqmm</v>
      </c>
      <c r="AW35" s="353" t="str">
        <f t="shared" si="17"/>
        <v>1R x 0.6/1kV x 3C x 6+PE Sqmm</v>
      </c>
      <c r="AX35" s="294">
        <f t="shared" si="21"/>
        <v>256</v>
      </c>
      <c r="AY35" s="354"/>
    </row>
    <row r="36" spans="1:51" s="592" customFormat="1" ht="35.25" hidden="1" customHeight="1">
      <c r="A36" s="577" t="s">
        <v>303</v>
      </c>
      <c r="B36" s="578" t="s">
        <v>382</v>
      </c>
      <c r="C36" s="577" t="str">
        <f t="shared" si="0"/>
        <v>PMCC-1</v>
      </c>
      <c r="D36" s="579" t="s">
        <v>383</v>
      </c>
      <c r="E36" s="580" t="s">
        <v>368</v>
      </c>
      <c r="F36" s="577" t="s">
        <v>29</v>
      </c>
      <c r="G36" s="577" t="s">
        <v>298</v>
      </c>
      <c r="H36" s="581">
        <v>2</v>
      </c>
      <c r="I36" s="577" t="s">
        <v>299</v>
      </c>
      <c r="J36" s="577" t="s">
        <v>300</v>
      </c>
      <c r="K36" s="582">
        <v>400</v>
      </c>
      <c r="L36" s="583">
        <v>0.85</v>
      </c>
      <c r="M36" s="584">
        <v>0.95</v>
      </c>
      <c r="N36" s="585">
        <f t="shared" si="1"/>
        <v>3.5750291364874629</v>
      </c>
      <c r="O36" s="585">
        <f t="shared" si="2"/>
        <v>0</v>
      </c>
      <c r="P36" s="583" t="str">
        <f t="shared" si="3"/>
        <v>0.00</v>
      </c>
      <c r="Q36" s="584">
        <v>65</v>
      </c>
      <c r="R36" s="584">
        <v>0</v>
      </c>
      <c r="S36" s="584">
        <f t="shared" si="4"/>
        <v>0</v>
      </c>
      <c r="T36" s="583" t="s">
        <v>131</v>
      </c>
      <c r="U36" s="584" t="s">
        <v>377</v>
      </c>
      <c r="V36" s="583">
        <v>4</v>
      </c>
      <c r="W36" s="583" t="str">
        <f t="shared" si="5"/>
        <v>4C X 4</v>
      </c>
      <c r="X36" s="583" t="str">
        <f t="shared" si="6"/>
        <v>4C X 4</v>
      </c>
      <c r="Y36" s="583" t="s">
        <v>314</v>
      </c>
      <c r="Z36" s="586">
        <f>IF(T36="AIR",VLOOKUP(W36,'Catalogue Aluminium'!$B$9:$G$91,2,FALSE),IF(T36="GROUND",VLOOKUP(W36,'Catalogue Aluminium'!$B$9:$G$91,3,FALSE),IF(T36="DUCT",VLOOKUP(W36,'Catalogue Aluminium'!$B$9:$G$91,4,FALSE),IF(T36="TRENCH",VLOOKUP(W36,'Catalogue Aluminium'!$B$9:$G$91,2,FALSE)))))</f>
        <v>38</v>
      </c>
      <c r="AA36" s="587">
        <f>VLOOKUP(W36,'Catalogue Aluminium'!$B$9:$G$91,5,FALSE)</f>
        <v>5.9</v>
      </c>
      <c r="AB36" s="587">
        <f>VLOOKUP(W36,'Catalogue Aluminium'!$B$9:$G$91,6,FALSE)</f>
        <v>9.4700000000000006E-2</v>
      </c>
      <c r="AC36" s="583">
        <f t="shared" si="84"/>
        <v>40</v>
      </c>
      <c r="AD36" s="583">
        <f>42+74+25+21</f>
        <v>162</v>
      </c>
      <c r="AE36" s="583">
        <f t="shared" si="44"/>
        <v>22</v>
      </c>
      <c r="AF36" s="583">
        <v>8</v>
      </c>
      <c r="AG36" s="583">
        <f t="shared" si="19"/>
        <v>24</v>
      </c>
      <c r="AH36" s="588">
        <f t="shared" si="20"/>
        <v>256</v>
      </c>
      <c r="AI36" s="586">
        <f>IF(T36="AIR",'Catalogue Aluminium'!$K$9,IF(T36="TRENCH",'Catalogue Aluminium'!$K$12,"NA"))</f>
        <v>0.89</v>
      </c>
      <c r="AJ36" s="585">
        <f>IF(T36="Air",(IF(U36="1C",'Catalogue Aluminium'!$L$9,'Catalogue Aluminium'!$M$9)),IF(T36="DUCT",(IF($U36="1C",'Catalogue Aluminium'!$L$10,'Catalogue Aluminium'!$M$10)),IF(T36="GROUND",(IF($U36="1C",'Catalogue Aluminium'!$L$11,'Catalogue Aluminium'!$M$11)),IF(T36="TRENCH",(IF($U36="1C",'Catalogue Aluminium'!$L$12,'Catalogue Aluminium'!$M$12))))))</f>
        <v>0.66</v>
      </c>
      <c r="AK36" s="586" t="str">
        <f>IF(T36="Air",'Catalogue Aluminium'!$N$9,IF(T36="GROUND",'Catalogue Aluminium'!$N$10,IF(T36="DUCT",'Catalogue Aluminium'!$N$11,IF(T36="TRENCH",'Catalogue Aluminium'!$N$12,"NA"))))</f>
        <v>NA</v>
      </c>
      <c r="AL36" s="586" t="str">
        <f>IF(T36="Air",(IF(U36="1C",'Catalogue Aluminium'!$O$9,'Catalogue Aluminium'!$P$9)),IF(T36="DUCT",(IF($U36="1C",'Catalogue Aluminium'!$O$10,'Catalogue Aluminium'!$P$10)),IF(T36="GROUND",(IF($U36="1C",'Catalogue Aluminium'!$O$11,'Catalogue Aluminium'!$P$11)),IF(T36="TRENCH",(IF($U36="1C",'Catalogue Aluminium'!$O$12,'Catalogue Aluminium'!$P$12))))))</f>
        <v>NA</v>
      </c>
      <c r="AM36" s="586" t="str">
        <f>IF(T36="AIR","NA",IF(T36="TRENCH","NA",IF(T36="DUCT",IF(U36="1C",VLOOKUP(V36,'Catalogue Aluminium'!$Q$9:$S$28,2,FALSE),VLOOKUP(V36,'Catalogue Aluminium'!$Q$9:$S$28,3)),IF(T36="GROUND",IF(U36="1C",VLOOKUP(V36,'Catalogue Aluminium'!$Q$9:$S$28,2,FALSE),VLOOKUP(V36,'Catalogue Aluminium'!$Q$9:$S$28,3))))))</f>
        <v>NA</v>
      </c>
      <c r="AN36" s="589">
        <f t="shared" si="8"/>
        <v>0.58740000000000003</v>
      </c>
      <c r="AO36" s="584">
        <f t="shared" si="9"/>
        <v>22.321200000000001</v>
      </c>
      <c r="AP36" s="582">
        <f t="shared" si="10"/>
        <v>1</v>
      </c>
      <c r="AQ36" s="584" t="str">
        <f t="shared" si="11"/>
        <v>YES</v>
      </c>
      <c r="AR36" s="589">
        <f t="shared" si="12"/>
        <v>2.007196491712552</v>
      </c>
      <c r="AS36" s="583" t="str">
        <f t="shared" si="13"/>
        <v>YES</v>
      </c>
      <c r="AT36" s="589" t="str">
        <f t="shared" si="14"/>
        <v>NA</v>
      </c>
      <c r="AU36" s="583" t="str">
        <f t="shared" si="15"/>
        <v>NA</v>
      </c>
      <c r="AV36" s="590" t="str">
        <f t="shared" si="16"/>
        <v>1R x 0.6/1kV x 4C x 4 Sqmm</v>
      </c>
      <c r="AW36" s="590" t="str">
        <f t="shared" si="17"/>
        <v>1R x 0.6/1kV x 4C x 4 Sqmm</v>
      </c>
      <c r="AX36" s="583">
        <f t="shared" si="21"/>
        <v>256</v>
      </c>
      <c r="AY36" s="591"/>
    </row>
    <row r="37" spans="1:51" s="70" customFormat="1" ht="20.149999999999999" hidden="1" customHeight="1">
      <c r="A37" s="356" t="s">
        <v>303</v>
      </c>
      <c r="B37" s="273"/>
      <c r="C37" s="273"/>
      <c r="D37" s="357" t="s">
        <v>317</v>
      </c>
      <c r="E37" s="358"/>
      <c r="F37" s="359"/>
      <c r="G37" s="273"/>
      <c r="H37" s="281"/>
      <c r="I37" s="273"/>
      <c r="J37" s="273"/>
      <c r="K37" s="280"/>
      <c r="L37" s="275"/>
      <c r="M37" s="281"/>
      <c r="N37" s="274"/>
      <c r="O37" s="274"/>
      <c r="P37" s="275"/>
      <c r="Q37" s="281"/>
      <c r="R37" s="281"/>
      <c r="S37" s="281"/>
      <c r="T37" s="275"/>
      <c r="U37" s="281"/>
      <c r="V37" s="275"/>
      <c r="W37" s="275"/>
      <c r="X37" s="275"/>
      <c r="Y37" s="275"/>
      <c r="Z37" s="276"/>
      <c r="AA37" s="277"/>
      <c r="AB37" s="277"/>
      <c r="AC37" s="278"/>
      <c r="AD37" s="278"/>
      <c r="AE37" s="278"/>
      <c r="AF37" s="278"/>
      <c r="AG37" s="278"/>
      <c r="AH37" s="279"/>
      <c r="AI37" s="276"/>
      <c r="AJ37" s="274"/>
      <c r="AK37" s="276"/>
      <c r="AL37" s="276"/>
      <c r="AM37" s="276"/>
      <c r="AN37" s="282"/>
      <c r="AO37" s="281"/>
      <c r="AP37" s="280"/>
      <c r="AQ37" s="281"/>
      <c r="AR37" s="282"/>
      <c r="AS37" s="275"/>
      <c r="AT37" s="282"/>
      <c r="AU37" s="282"/>
      <c r="AV37" s="283"/>
      <c r="AW37" s="283"/>
      <c r="AX37" s="275"/>
      <c r="AY37" s="284"/>
    </row>
    <row r="38" spans="1:51" s="75" customFormat="1" ht="20.149999999999999" hidden="1" customHeight="1">
      <c r="A38" s="262" t="s">
        <v>303</v>
      </c>
      <c r="B38" s="262" t="s">
        <v>382</v>
      </c>
      <c r="C38" s="262" t="str">
        <f t="shared" ref="C38:C42" si="85">$D$6</f>
        <v>PMCC-1</v>
      </c>
      <c r="D38" s="290" t="s">
        <v>384</v>
      </c>
      <c r="E38" s="346" t="s">
        <v>318</v>
      </c>
      <c r="F38" s="262" t="s">
        <v>29</v>
      </c>
      <c r="G38" s="262" t="s">
        <v>311</v>
      </c>
      <c r="H38" s="258">
        <v>0.1</v>
      </c>
      <c r="I38" s="262" t="s">
        <v>299</v>
      </c>
      <c r="J38" s="262" t="s">
        <v>300</v>
      </c>
      <c r="K38" s="259">
        <v>400</v>
      </c>
      <c r="L38" s="264">
        <v>0.73</v>
      </c>
      <c r="M38" s="258">
        <v>0.82499999999999996</v>
      </c>
      <c r="N38" s="263">
        <f>IF(I38="kVA",IF(J38="3Ph",(H38*1000/(1.732*M38*K38)),(H38*1000/(M38*K38))),IF(I38="kW",IF(J38="3Ph",(H38*1000/(1.732*M38*K38*L38)),(H38*1000/(M38*K38*L38)))))</f>
        <v>0.23967090308954969</v>
      </c>
      <c r="O38" s="263">
        <f t="shared" si="2"/>
        <v>1.4380254185372983</v>
      </c>
      <c r="P38" s="264">
        <f>IF(G38="MOTOR",0.2,"0.00")</f>
        <v>0.2</v>
      </c>
      <c r="Q38" s="258">
        <v>65</v>
      </c>
      <c r="R38" s="258">
        <v>0</v>
      </c>
      <c r="S38" s="258">
        <f>(Q38*1000*SQRT(R38)/143)</f>
        <v>0</v>
      </c>
      <c r="T38" s="264" t="s">
        <v>131</v>
      </c>
      <c r="U38" s="258" t="s">
        <v>302</v>
      </c>
      <c r="V38" s="264">
        <v>4</v>
      </c>
      <c r="W38" s="264" t="str">
        <f>CONCATENATE(U38," X ",V38)</f>
        <v>3C X 4</v>
      </c>
      <c r="X38" s="264" t="str">
        <f>(IF(J38="1Ph",W38,IF(J38="3Ph",(IF(G38="MOTOR",(CONCATENATE(W38,"+PE")),W38)))))</f>
        <v>3C X 4+PE</v>
      </c>
      <c r="Y38" s="264" t="s">
        <v>314</v>
      </c>
      <c r="Z38" s="265">
        <f>IF(T38="AIR",VLOOKUP(W38,'Catalogue Aluminium'!$B$9:$G$91,2,FALSE),IF(T38="GROUND",VLOOKUP(W38,'Catalogue Aluminium'!$B$9:$G$91,3,FALSE),IF(T38="DUCT",VLOOKUP(W38,'Catalogue Aluminium'!$B$9:$G$91,4,FALSE),IF(T38="TRENCH",VLOOKUP(W38,'Catalogue Aluminium'!$B$9:$G$91,2,FALSE)))))</f>
        <v>38</v>
      </c>
      <c r="AA38" s="266">
        <f>VLOOKUP(W38,'Catalogue Aluminium'!$B$9:$G$91,5,FALSE)</f>
        <v>5.9</v>
      </c>
      <c r="AB38" s="266">
        <f>VLOOKUP(W38,'Catalogue Aluminium'!$B$9:$G$91,6,FALSE)</f>
        <v>9.4700000000000006E-2</v>
      </c>
      <c r="AC38" s="264">
        <f>22+11</f>
        <v>33</v>
      </c>
      <c r="AD38" s="264">
        <f>11+34+48+10</f>
        <v>103</v>
      </c>
      <c r="AE38" s="322">
        <f>11+11</f>
        <v>22</v>
      </c>
      <c r="AF38" s="264">
        <v>8</v>
      </c>
      <c r="AG38" s="264">
        <f t="shared" ref="AG38:AG42" si="86">ROUNDUP((SUM(AC38:AF38)*0.1),0)</f>
        <v>17</v>
      </c>
      <c r="AH38" s="267"/>
      <c r="AI38" s="265">
        <f>IF(T38="AIR",'Catalogue Aluminium'!$K$9,IF(T38="TRENCH",'Catalogue Aluminium'!$K$12,"NA"))</f>
        <v>0.89</v>
      </c>
      <c r="AJ38" s="263">
        <f>IF(T38="Air",(IF(U38="1C",'Catalogue Aluminium'!$L$9,'Catalogue Aluminium'!$M$9)),IF(T38="DUCT",(IF($U38="1C",'Catalogue Aluminium'!$L$10,'Catalogue Aluminium'!$M$10)),IF(T38="GROUND",(IF($U38="1C",'Catalogue Aluminium'!$L$11,'Catalogue Aluminium'!$M$11)),IF(T38="TRENCH",(IF($U38="1C",'Catalogue Aluminium'!$L$12,'Catalogue Aluminium'!$M$12))))))</f>
        <v>0.66</v>
      </c>
      <c r="AK38" s="265" t="str">
        <f>IF(T38="Air",'Catalogue Aluminium'!$N$9,IF(T38="GROUND",'Catalogue Aluminium'!$N$10,IF(T38="DUCT",'Catalogue Aluminium'!$N$11,IF(T38="TRENCH",'Catalogue Aluminium'!$N$12,"NA"))))</f>
        <v>NA</v>
      </c>
      <c r="AL38" s="265" t="str">
        <f>IF(T38="Air",(IF(U38="1C",'Catalogue Aluminium'!$O$9,'Catalogue Aluminium'!$P$9)),IF(T38="DUCT",(IF($U38="1C",'Catalogue Aluminium'!$O$10,'Catalogue Aluminium'!$P$10)),IF(T38="GROUND",(IF($U38="1C",'Catalogue Aluminium'!$O$11,'Catalogue Aluminium'!$P$11)),IF(T38="TRENCH",(IF($U38="1C",'Catalogue Aluminium'!$O$12,'Catalogue Aluminium'!$P$12))))))</f>
        <v>NA</v>
      </c>
      <c r="AM38" s="265" t="str">
        <f>IF(T38="AIR","NA",IF(T38="TRENCH","NA",IF(T38="DUCT",IF(U38="1C",VLOOKUP(V38,'Catalogue Aluminium'!$Q$9:$S$28,2,FALSE),VLOOKUP(V38,'Catalogue Aluminium'!$Q$9:$S$28,3)),IF(T38="GROUND",IF(U38="1C",VLOOKUP(V38,'Catalogue Aluminium'!$Q$9:$S$28,2,FALSE),VLOOKUP(V38,'Catalogue Aluminium'!$Q$9:$S$28,3))))))</f>
        <v>NA</v>
      </c>
      <c r="AN38" s="268">
        <f>IF(T38="AIR",AI38*AJ38,IF(T38="TRENCH",AI38*AJ38,IF(T38="DUCT",AJ38*AK38*AL38*AM38,IF(T38="GROUND",AJ38*AK38*AL38*AM38))))</f>
        <v>0.58740000000000003</v>
      </c>
      <c r="AO38" s="258">
        <f>Z38*AN38</f>
        <v>22.321200000000001</v>
      </c>
      <c r="AP38" s="259">
        <f t="shared" si="10"/>
        <v>1</v>
      </c>
      <c r="AQ38" s="258" t="str">
        <f>IF(AO38*AP38&gt;=N38,"YES","NO")</f>
        <v>YES</v>
      </c>
      <c r="AR38" s="268">
        <f>SQRT(3)*AH38*N38*((AA38*L38)+(AB38*SIN(ACOS(L38))))*100/(AP38*K38*1000)</f>
        <v>0</v>
      </c>
      <c r="AS38" s="349" t="str">
        <f>IF(G38="INCOMER",(IF(AR38&lt;=2,"YES","NO")),IF(G38="POWER",(IF(AR38&lt;=2.5,"YES","NO")),IF(G38="MOTOR",(IF(AR38&lt;=3,"YES","NO")))))</f>
        <v>YES</v>
      </c>
      <c r="AT38" s="350">
        <f>IF(G38="MOTOR",(SQRT(3)*AH38*O38*((AA38*P38)+(AB38*SIN(ACOS(P38))))*100/(AP38*K38*1000)),"NA")</f>
        <v>0</v>
      </c>
      <c r="AU38" s="264" t="str">
        <f>IF(G38="MOTOR",IF(AT38&lt;=15,"YES","NO"),"NA")</f>
        <v>YES</v>
      </c>
      <c r="AV38" s="269" t="str">
        <f>IF(U38="1C",CONCATENATE(AP38,"R x ",Y38,"kV x ",U38," x ",V38," Sqmm/Phase"),CONCATENATE(AP38,"R x ",0.6,"/1kV x ",U38," x ",V38," Sqmm"))</f>
        <v>1R x 0.6/1kV x 3C x 4 Sqmm</v>
      </c>
      <c r="AW38" s="269" t="str">
        <f>IF(U38="1C",CONCATENATE(AP38,"R x ",Y38,"kV x ",U38," x ",V38," Sqmm/Phase"),CONCATENATE(AP38,"R x ",0.6,"/1kV x ",U38," x ",V38,(IF(G38="MOTOR","+PE",""))," Sqmm"))</f>
        <v>1R x 0.6/1kV x 3C x 4+PE Sqmm</v>
      </c>
      <c r="AX38" s="264"/>
      <c r="AY38" s="270"/>
    </row>
    <row r="39" spans="1:51" s="75" customFormat="1" ht="20.149999999999999" hidden="1" customHeight="1">
      <c r="A39" s="262" t="s">
        <v>303</v>
      </c>
      <c r="B39" s="262" t="s">
        <v>382</v>
      </c>
      <c r="C39" s="262" t="str">
        <f t="shared" si="85"/>
        <v>PMCC-1</v>
      </c>
      <c r="D39" s="290" t="s">
        <v>385</v>
      </c>
      <c r="E39" s="346" t="s">
        <v>318</v>
      </c>
      <c r="F39" s="262" t="s">
        <v>28</v>
      </c>
      <c r="G39" s="262" t="s">
        <v>311</v>
      </c>
      <c r="H39" s="258">
        <v>0.1</v>
      </c>
      <c r="I39" s="262" t="s">
        <v>299</v>
      </c>
      <c r="J39" s="262" t="s">
        <v>300</v>
      </c>
      <c r="K39" s="259">
        <v>400</v>
      </c>
      <c r="L39" s="264">
        <v>0.73</v>
      </c>
      <c r="M39" s="258">
        <v>0.82499999999999996</v>
      </c>
      <c r="N39" s="263">
        <f>IF(I39="kVA",IF(J39="3Ph",(H39*1000/(1.732*M39*K39)),(H39*1000/(M39*K39))),IF(I39="kW",IF(J39="3Ph",(H39*1000/(1.732*M39*K39*L39)),(H39*1000/(M39*K39*L39)))))</f>
        <v>0.23967090308954969</v>
      </c>
      <c r="O39" s="263">
        <f t="shared" si="2"/>
        <v>1.4380254185372983</v>
      </c>
      <c r="P39" s="264">
        <f>IF(G39="MOTOR",0.2,"0.00")</f>
        <v>0.2</v>
      </c>
      <c r="Q39" s="258">
        <v>65</v>
      </c>
      <c r="R39" s="258">
        <v>0</v>
      </c>
      <c r="S39" s="258">
        <f>(Q39*1000*SQRT(R39)/143)</f>
        <v>0</v>
      </c>
      <c r="T39" s="264" t="s">
        <v>131</v>
      </c>
      <c r="U39" s="258" t="s">
        <v>302</v>
      </c>
      <c r="V39" s="264">
        <v>4</v>
      </c>
      <c r="W39" s="264" t="str">
        <f>CONCATENATE(U39," X ",V39)</f>
        <v>3C X 4</v>
      </c>
      <c r="X39" s="264" t="str">
        <f>(IF(J39="1Ph",W39,IF(J39="3Ph",(IF(G39="MOTOR",(CONCATENATE(W39,"+PE")),W39)))))</f>
        <v>3C X 4+PE</v>
      </c>
      <c r="Y39" s="264" t="s">
        <v>314</v>
      </c>
      <c r="Z39" s="265">
        <f>IF(T39="AIR",VLOOKUP(W39,'Catalogue Aluminium'!$B$9:$G$91,2,FALSE),IF(T39="GROUND",VLOOKUP(W39,'Catalogue Aluminium'!$B$9:$G$91,3,FALSE),IF(T39="DUCT",VLOOKUP(W39,'Catalogue Aluminium'!$B$9:$G$91,4,FALSE),IF(T39="TRENCH",VLOOKUP(W39,'Catalogue Aluminium'!$B$9:$G$91,2,FALSE)))))</f>
        <v>38</v>
      </c>
      <c r="AA39" s="266">
        <f>VLOOKUP(W39,'Catalogue Aluminium'!$B$9:$G$91,5,FALSE)</f>
        <v>5.9</v>
      </c>
      <c r="AB39" s="266">
        <f>VLOOKUP(W39,'Catalogue Aluminium'!$B$9:$G$91,6,FALSE)</f>
        <v>9.4700000000000006E-2</v>
      </c>
      <c r="AC39" s="264">
        <f>29+11</f>
        <v>40</v>
      </c>
      <c r="AD39" s="264">
        <f>11+34+48+10</f>
        <v>103</v>
      </c>
      <c r="AE39" s="322">
        <f t="shared" ref="AE39:AE42" si="87">11+11</f>
        <v>22</v>
      </c>
      <c r="AF39" s="264">
        <v>8</v>
      </c>
      <c r="AG39" s="264">
        <f t="shared" si="86"/>
        <v>18</v>
      </c>
      <c r="AH39" s="267"/>
      <c r="AI39" s="265">
        <f>IF(T39="AIR",'Catalogue Aluminium'!$K$9,IF(T39="TRENCH",'Catalogue Aluminium'!$K$12,"NA"))</f>
        <v>0.89</v>
      </c>
      <c r="AJ39" s="263">
        <f>IF(T39="Air",(IF(U39="1C",'Catalogue Aluminium'!$L$9,'Catalogue Aluminium'!$M$9)),IF(T39="DUCT",(IF($U39="1C",'Catalogue Aluminium'!$L$10,'Catalogue Aluminium'!$M$10)),IF(T39="GROUND",(IF($U39="1C",'Catalogue Aluminium'!$L$11,'Catalogue Aluminium'!$M$11)),IF(T39="TRENCH",(IF($U39="1C",'Catalogue Aluminium'!$L$12,'Catalogue Aluminium'!$M$12))))))</f>
        <v>0.66</v>
      </c>
      <c r="AK39" s="265" t="str">
        <f>IF(T39="Air",'Catalogue Aluminium'!$N$9,IF(T39="GROUND",'Catalogue Aluminium'!$N$10,IF(T39="DUCT",'Catalogue Aluminium'!$N$11,IF(T39="TRENCH",'Catalogue Aluminium'!$N$12,"NA"))))</f>
        <v>NA</v>
      </c>
      <c r="AL39" s="265" t="str">
        <f>IF(T39="Air",(IF(U39="1C",'Catalogue Aluminium'!$O$9,'Catalogue Aluminium'!$P$9)),IF(T39="DUCT",(IF($U39="1C",'Catalogue Aluminium'!$O$10,'Catalogue Aluminium'!$P$10)),IF(T39="GROUND",(IF($U39="1C",'Catalogue Aluminium'!$O$11,'Catalogue Aluminium'!$P$11)),IF(T39="TRENCH",(IF($U39="1C",'Catalogue Aluminium'!$O$12,'Catalogue Aluminium'!$P$12))))))</f>
        <v>NA</v>
      </c>
      <c r="AM39" s="265" t="str">
        <f>IF(T39="AIR","NA",IF(T39="TRENCH","NA",IF(T39="DUCT",IF(U39="1C",VLOOKUP(V39,'Catalogue Aluminium'!$Q$9:$S$28,2,FALSE),VLOOKUP(V39,'Catalogue Aluminium'!$Q$9:$S$28,3)),IF(T39="GROUND",IF(U39="1C",VLOOKUP(V39,'Catalogue Aluminium'!$Q$9:$S$28,2,FALSE),VLOOKUP(V39,'Catalogue Aluminium'!$Q$9:$S$28,3))))))</f>
        <v>NA</v>
      </c>
      <c r="AN39" s="268">
        <f>IF(T39="AIR",AI39*AJ39,IF(T39="TRENCH",AI39*AJ39,IF(T39="DUCT",AJ39*AK39*AL39*AM39,IF(T39="GROUND",AJ39*AK39*AL39*AM39))))</f>
        <v>0.58740000000000003</v>
      </c>
      <c r="AO39" s="258">
        <f>Z39*AN39</f>
        <v>22.321200000000001</v>
      </c>
      <c r="AP39" s="259">
        <f t="shared" si="10"/>
        <v>1</v>
      </c>
      <c r="AQ39" s="258" t="str">
        <f>IF(AO39*AP39&gt;=N39,"YES","NO")</f>
        <v>YES</v>
      </c>
      <c r="AR39" s="268">
        <f>SQRT(3)*AH39*N39*((AA39*L39)+(AB39*SIN(ACOS(L39))))*100/(AP39*K39*1000)</f>
        <v>0</v>
      </c>
      <c r="AS39" s="349" t="str">
        <f>IF(G39="INCOMER",(IF(AR39&lt;=2,"YES","NO")),IF(G39="POWER",(IF(AR39&lt;=2.5,"YES","NO")),IF(G39="MOTOR",(IF(AR39&lt;=3,"YES","NO")))))</f>
        <v>YES</v>
      </c>
      <c r="AT39" s="350">
        <f>IF(G39="MOTOR",(SQRT(3)*AH39*O39*((AA39*P39)+(AB39*SIN(ACOS(P39))))*100/(AP39*K39*1000)),"NA")</f>
        <v>0</v>
      </c>
      <c r="AU39" s="264" t="str">
        <f>IF(G39="MOTOR",IF(AT39&lt;=15,"YES","NO"),"NA")</f>
        <v>YES</v>
      </c>
      <c r="AV39" s="269" t="str">
        <f>IF(U39="1C",CONCATENATE(AP39,"R x ",Y39,"kV x ",U39," x ",V39," Sqmm/Phase"),CONCATENATE(AP39,"R x ",0.6,"/1kV x ",U39," x ",V39," Sqmm"))</f>
        <v>1R x 0.6/1kV x 3C x 4 Sqmm</v>
      </c>
      <c r="AW39" s="269" t="str">
        <f>IF(U39="1C",CONCATENATE(AP39,"R x ",Y39,"kV x ",U39," x ",V39," Sqmm/Phase"),CONCATENATE(AP39,"R x ",0.6,"/1kV x ",U39," x ",V39,(IF(G39="MOTOR","+PE",""))," Sqmm"))</f>
        <v>1R x 0.6/1kV x 3C x 4+PE Sqmm</v>
      </c>
      <c r="AX39" s="264"/>
      <c r="AY39" s="270"/>
    </row>
    <row r="40" spans="1:51" s="75" customFormat="1" ht="20.149999999999999" hidden="1" customHeight="1">
      <c r="A40" s="262" t="s">
        <v>303</v>
      </c>
      <c r="B40" s="262" t="s">
        <v>382</v>
      </c>
      <c r="C40" s="262" t="str">
        <f t="shared" si="85"/>
        <v>PMCC-1</v>
      </c>
      <c r="D40" s="290" t="s">
        <v>386</v>
      </c>
      <c r="E40" s="346" t="s">
        <v>318</v>
      </c>
      <c r="F40" s="262" t="s">
        <v>29</v>
      </c>
      <c r="G40" s="262" t="s">
        <v>311</v>
      </c>
      <c r="H40" s="258">
        <v>78</v>
      </c>
      <c r="I40" s="262" t="s">
        <v>299</v>
      </c>
      <c r="J40" s="262" t="s">
        <v>300</v>
      </c>
      <c r="K40" s="259">
        <v>400</v>
      </c>
      <c r="L40" s="264">
        <v>0.85</v>
      </c>
      <c r="M40" s="258">
        <v>0.95700000000000007</v>
      </c>
      <c r="N40" s="263">
        <f>IF(I40="kVA",IF(J40="3Ph",(H40*1000/(1.732*M40*K40)),(H40*1000/(M40*K40))),IF(I40="kW",IF(J40="3Ph",(H40*1000/(1.732*M40*K40*L40)),(H40*1000/(M40*K40*L40)))))</f>
        <v>138.40630042514155</v>
      </c>
      <c r="O40" s="263">
        <f t="shared" si="2"/>
        <v>830.43780255084926</v>
      </c>
      <c r="P40" s="264">
        <f>IF(G40="MOTOR",0.2,"0.00")</f>
        <v>0.2</v>
      </c>
      <c r="Q40" s="258">
        <v>65</v>
      </c>
      <c r="R40" s="258">
        <v>0</v>
      </c>
      <c r="S40" s="258">
        <f>(Q40*1000*SQRT(R40)/143)</f>
        <v>0</v>
      </c>
      <c r="T40" s="264" t="s">
        <v>131</v>
      </c>
      <c r="U40" s="258" t="s">
        <v>302</v>
      </c>
      <c r="V40" s="264">
        <v>150</v>
      </c>
      <c r="W40" s="264" t="str">
        <f>CONCATENATE(U40," X ",V40)</f>
        <v>3C X 150</v>
      </c>
      <c r="X40" s="264" t="str">
        <f>(IF(J40="1Ph",W40,IF(J40="3Ph",(IF(G40="MOTOR",(CONCATENATE(W40,"+PE")),W40)))))</f>
        <v>3C X 150+PE</v>
      </c>
      <c r="Y40" s="264" t="s">
        <v>314</v>
      </c>
      <c r="Z40" s="265">
        <f>IF(T40="AIR",VLOOKUP(W40,'Catalogue Aluminium'!$B$9:$G$91,2,FALSE),IF(T40="GROUND",VLOOKUP(W40,'Catalogue Aluminium'!$B$9:$G$91,3,FALSE),IF(T40="DUCT",VLOOKUP(W40,'Catalogue Aluminium'!$B$9:$G$91,4,FALSE),IF(T40="TRENCH",VLOOKUP(W40,'Catalogue Aluminium'!$B$9:$G$91,2,FALSE)))))</f>
        <v>293</v>
      </c>
      <c r="AA40" s="266">
        <f>VLOOKUP(W40,'Catalogue Aluminium'!$B$9:$G$91,5,FALSE)</f>
        <v>0.26400000000000001</v>
      </c>
      <c r="AB40" s="266">
        <f>VLOOKUP(W40,'Catalogue Aluminium'!$B$9:$G$91,6,FALSE)</f>
        <v>7.3200000000000001E-2</v>
      </c>
      <c r="AC40" s="264">
        <f>22+11</f>
        <v>33</v>
      </c>
      <c r="AD40" s="264">
        <f>11+34+48+10+30</f>
        <v>133</v>
      </c>
      <c r="AE40" s="322">
        <f t="shared" si="87"/>
        <v>22</v>
      </c>
      <c r="AF40" s="264">
        <v>8</v>
      </c>
      <c r="AG40" s="264">
        <f t="shared" si="86"/>
        <v>20</v>
      </c>
      <c r="AH40" s="267"/>
      <c r="AI40" s="265">
        <f>IF(T40="AIR",'Catalogue Aluminium'!$K$9,IF(T40="TRENCH",'Catalogue Aluminium'!$K$12,"NA"))</f>
        <v>0.89</v>
      </c>
      <c r="AJ40" s="263">
        <f>IF(T40="Air",(IF(U40="1C",'Catalogue Aluminium'!$L$9,'Catalogue Aluminium'!$M$9)),IF(T40="DUCT",(IF($U40="1C",'Catalogue Aluminium'!$L$10,'Catalogue Aluminium'!$M$10)),IF(T40="GROUND",(IF($U40="1C",'Catalogue Aluminium'!$L$11,'Catalogue Aluminium'!$M$11)),IF(T40="TRENCH",(IF($U40="1C",'Catalogue Aluminium'!$L$12,'Catalogue Aluminium'!$M$12))))))</f>
        <v>0.66</v>
      </c>
      <c r="AK40" s="265" t="str">
        <f>IF(T40="Air",'Catalogue Aluminium'!$N$9,IF(T40="GROUND",'Catalogue Aluminium'!$N$10,IF(T40="DUCT",'Catalogue Aluminium'!$N$11,IF(T40="TRENCH",'Catalogue Aluminium'!$N$12,"NA"))))</f>
        <v>NA</v>
      </c>
      <c r="AL40" s="265" t="str">
        <f>IF(T40="Air",(IF(U40="1C",'Catalogue Aluminium'!$O$9,'Catalogue Aluminium'!$P$9)),IF(T40="DUCT",(IF($U40="1C",'Catalogue Aluminium'!$O$10,'Catalogue Aluminium'!$P$10)),IF(T40="GROUND",(IF($U40="1C",'Catalogue Aluminium'!$O$11,'Catalogue Aluminium'!$P$11)),IF(T40="TRENCH",(IF($U40="1C",'Catalogue Aluminium'!$O$12,'Catalogue Aluminium'!$P$12))))))</f>
        <v>NA</v>
      </c>
      <c r="AM40" s="265" t="str">
        <f>IF(T40="AIR","NA",IF(T40="TRENCH","NA",IF(T40="DUCT",IF(U40="1C",VLOOKUP(V40,'Catalogue Aluminium'!$Q$9:$S$28,2,FALSE),VLOOKUP(V40,'Catalogue Aluminium'!$Q$9:$S$28,3)),IF(T40="GROUND",IF(U40="1C",VLOOKUP(V40,'Catalogue Aluminium'!$Q$9:$S$28,2,FALSE),VLOOKUP(V40,'Catalogue Aluminium'!$Q$9:$S$28,3))))))</f>
        <v>NA</v>
      </c>
      <c r="AN40" s="268">
        <f>IF(T40="AIR",AI40*AJ40,IF(T40="TRENCH",AI40*AJ40,IF(T40="DUCT",AJ40*AK40*AL40*AM40,IF(T40="GROUND",AJ40*AK40*AL40*AM40))))</f>
        <v>0.58740000000000003</v>
      </c>
      <c r="AO40" s="258">
        <f>Z40*AN40</f>
        <v>172.10820000000001</v>
      </c>
      <c r="AP40" s="259">
        <f t="shared" si="10"/>
        <v>1</v>
      </c>
      <c r="AQ40" s="258" t="str">
        <f>IF(AO40*AP40&gt;=N40,"YES","NO")</f>
        <v>YES</v>
      </c>
      <c r="AR40" s="268">
        <f>SQRT(3)*AH40*N40*((AA40*L40)+(AB40*SIN(ACOS(L40))))*100/(AP40*K40*1000)</f>
        <v>0</v>
      </c>
      <c r="AS40" s="349" t="str">
        <f>IF(G40="INCOMER",(IF(AR40&lt;=2,"YES","NO")),IF(G40="POWER",(IF(AR40&lt;=2.5,"YES","NO")),IF(G40="MOTOR",(IF(AR40&lt;=3,"YES","NO")))))</f>
        <v>YES</v>
      </c>
      <c r="AT40" s="350">
        <f>IF(G40="MOTOR",(SQRT(3)*AH40*O40*((AA40*P40)+(AB40*SIN(ACOS(P40))))*100/(AP40*K40*1000)),"NA")</f>
        <v>0</v>
      </c>
      <c r="AU40" s="264" t="str">
        <f>IF(G40="MOTOR",IF(AT40&lt;=15,"YES","NO"),"NA")</f>
        <v>YES</v>
      </c>
      <c r="AV40" s="269" t="str">
        <f>IF(U40="1C",CONCATENATE(AP40,"R x ",Y40,"kV x ",U40," x ",V40," Sqmm/Phase"),CONCATENATE(AP40,"R x ",0.6,"/1kV x ",U40," x ",V40," Sqmm"))</f>
        <v>1R x 0.6/1kV x 3C x 150 Sqmm</v>
      </c>
      <c r="AW40" s="269" t="str">
        <f>IF(U40="1C",CONCATENATE(AP40,"R x ",Y40,"kV x ",U40," x ",V40," Sqmm/Phase"),CONCATENATE(AP40,"R x ",0.6,"/1kV x ",U40," x ",V40,(IF(G40="MOTOR","+PE",""))," Sqmm"))</f>
        <v>1R x 0.6/1kV x 3C x 150+PE Sqmm</v>
      </c>
      <c r="AX40" s="264"/>
      <c r="AY40" s="270"/>
    </row>
    <row r="41" spans="1:51" s="75" customFormat="1" ht="20.149999999999999" hidden="1" customHeight="1">
      <c r="A41" s="262" t="s">
        <v>303</v>
      </c>
      <c r="B41" s="262" t="s">
        <v>382</v>
      </c>
      <c r="C41" s="262" t="str">
        <f t="shared" si="85"/>
        <v>PMCC-1</v>
      </c>
      <c r="D41" s="290" t="s">
        <v>387</v>
      </c>
      <c r="E41" s="346" t="s">
        <v>318</v>
      </c>
      <c r="F41" s="262" t="s">
        <v>29</v>
      </c>
      <c r="G41" s="262" t="s">
        <v>311</v>
      </c>
      <c r="H41" s="258">
        <v>78</v>
      </c>
      <c r="I41" s="262" t="s">
        <v>299</v>
      </c>
      <c r="J41" s="262" t="s">
        <v>300</v>
      </c>
      <c r="K41" s="259">
        <v>400</v>
      </c>
      <c r="L41" s="264">
        <v>0.85</v>
      </c>
      <c r="M41" s="258">
        <v>0.95700000000000007</v>
      </c>
      <c r="N41" s="263">
        <f>IF(I41="kVA",IF(J41="3Ph",(H41*1000/(1.732*M41*K41)),(H41*1000/(M41*K41))),IF(I41="kW",IF(J41="3Ph",(H41*1000/(1.732*M41*K41*L41)),(H41*1000/(M41*K41*L41)))))</f>
        <v>138.40630042514155</v>
      </c>
      <c r="O41" s="263">
        <f t="shared" si="2"/>
        <v>830.43780255084926</v>
      </c>
      <c r="P41" s="264">
        <f>IF(G41="MOTOR",0.2,"0.00")</f>
        <v>0.2</v>
      </c>
      <c r="Q41" s="258">
        <v>65</v>
      </c>
      <c r="R41" s="258">
        <v>0</v>
      </c>
      <c r="S41" s="258">
        <f>(Q41*1000*SQRT(R41)/143)</f>
        <v>0</v>
      </c>
      <c r="T41" s="264" t="s">
        <v>131</v>
      </c>
      <c r="U41" s="258" t="s">
        <v>302</v>
      </c>
      <c r="V41" s="264">
        <v>150</v>
      </c>
      <c r="W41" s="264" t="str">
        <f>CONCATENATE(U41," X ",V41)</f>
        <v>3C X 150</v>
      </c>
      <c r="X41" s="264" t="str">
        <f>(IF(J41="1Ph",W41,IF(J41="3Ph",(IF(G41="MOTOR",(CONCATENATE(W41,"+PE")),W41)))))</f>
        <v>3C X 150+PE</v>
      </c>
      <c r="Y41" s="264" t="s">
        <v>314</v>
      </c>
      <c r="Z41" s="265">
        <f>IF(T41="AIR",VLOOKUP(W41,'Catalogue Aluminium'!$B$9:$G$91,2,FALSE),IF(T41="GROUND",VLOOKUP(W41,'Catalogue Aluminium'!$B$9:$G$91,3,FALSE),IF(T41="DUCT",VLOOKUP(W41,'Catalogue Aluminium'!$B$9:$G$91,4,FALSE),IF(T41="TRENCH",VLOOKUP(W41,'Catalogue Aluminium'!$B$9:$G$91,2,FALSE)))))</f>
        <v>293</v>
      </c>
      <c r="AA41" s="266">
        <f>VLOOKUP(W41,'Catalogue Aluminium'!$B$9:$G$91,5,FALSE)</f>
        <v>0.26400000000000001</v>
      </c>
      <c r="AB41" s="266">
        <f>VLOOKUP(W41,'Catalogue Aluminium'!$B$9:$G$91,6,FALSE)</f>
        <v>7.3200000000000001E-2</v>
      </c>
      <c r="AC41" s="264">
        <f>22+11</f>
        <v>33</v>
      </c>
      <c r="AD41" s="264">
        <f>11+34+48+10+30</f>
        <v>133</v>
      </c>
      <c r="AE41" s="322">
        <f t="shared" si="87"/>
        <v>22</v>
      </c>
      <c r="AF41" s="264">
        <v>8</v>
      </c>
      <c r="AG41" s="264">
        <f t="shared" si="86"/>
        <v>20</v>
      </c>
      <c r="AH41" s="267"/>
      <c r="AI41" s="265">
        <f>IF(T41="AIR",'Catalogue Aluminium'!$K$9,IF(T41="TRENCH",'Catalogue Aluminium'!$K$12,"NA"))</f>
        <v>0.89</v>
      </c>
      <c r="AJ41" s="263">
        <f>IF(T41="Air",(IF(U41="1C",'Catalogue Aluminium'!$L$9,'Catalogue Aluminium'!$M$9)),IF(T41="DUCT",(IF($U41="1C",'Catalogue Aluminium'!$L$10,'Catalogue Aluminium'!$M$10)),IF(T41="GROUND",(IF($U41="1C",'Catalogue Aluminium'!$L$11,'Catalogue Aluminium'!$M$11)),IF(T41="TRENCH",(IF($U41="1C",'Catalogue Aluminium'!$L$12,'Catalogue Aluminium'!$M$12))))))</f>
        <v>0.66</v>
      </c>
      <c r="AK41" s="265" t="str">
        <f>IF(T41="Air",'Catalogue Aluminium'!$N$9,IF(T41="GROUND",'Catalogue Aluminium'!$N$10,IF(T41="DUCT",'Catalogue Aluminium'!$N$11,IF(T41="TRENCH",'Catalogue Aluminium'!$N$12,"NA"))))</f>
        <v>NA</v>
      </c>
      <c r="AL41" s="265" t="str">
        <f>IF(T41="Air",(IF(U41="1C",'Catalogue Aluminium'!$O$9,'Catalogue Aluminium'!$P$9)),IF(T41="DUCT",(IF($U41="1C",'Catalogue Aluminium'!$O$10,'Catalogue Aluminium'!$P$10)),IF(T41="GROUND",(IF($U41="1C",'Catalogue Aluminium'!$O$11,'Catalogue Aluminium'!$P$11)),IF(T41="TRENCH",(IF($U41="1C",'Catalogue Aluminium'!$O$12,'Catalogue Aluminium'!$P$12))))))</f>
        <v>NA</v>
      </c>
      <c r="AM41" s="265" t="str">
        <f>IF(T41="AIR","NA",IF(T41="TRENCH","NA",IF(T41="DUCT",IF(U41="1C",VLOOKUP(V41,'Catalogue Aluminium'!$Q$9:$S$28,2,FALSE),VLOOKUP(V41,'Catalogue Aluminium'!$Q$9:$S$28,3)),IF(T41="GROUND",IF(U41="1C",VLOOKUP(V41,'Catalogue Aluminium'!$Q$9:$S$28,2,FALSE),VLOOKUP(V41,'Catalogue Aluminium'!$Q$9:$S$28,3))))))</f>
        <v>NA</v>
      </c>
      <c r="AN41" s="268">
        <f>IF(T41="AIR",AI41*AJ41,IF(T41="TRENCH",AI41*AJ41,IF(T41="DUCT",AJ41*AK41*AL41*AM41,IF(T41="GROUND",AJ41*AK41*AL41*AM41))))</f>
        <v>0.58740000000000003</v>
      </c>
      <c r="AO41" s="258">
        <f>Z41*AN41</f>
        <v>172.10820000000001</v>
      </c>
      <c r="AP41" s="259">
        <f t="shared" si="10"/>
        <v>1</v>
      </c>
      <c r="AQ41" s="258" t="str">
        <f>IF(AO41*AP41&gt;=N41,"YES","NO")</f>
        <v>YES</v>
      </c>
      <c r="AR41" s="268">
        <f>SQRT(3)*AH41*N41*((AA41*L41)+(AB41*SIN(ACOS(L41))))*100/(AP41*K41*1000)</f>
        <v>0</v>
      </c>
      <c r="AS41" s="349" t="str">
        <f>IF(G41="INCOMER",(IF(AR41&lt;=2,"YES","NO")),IF(G41="POWER",(IF(AR41&lt;=2.5,"YES","NO")),IF(G41="MOTOR",(IF(AR41&lt;=3,"YES","NO")))))</f>
        <v>YES</v>
      </c>
      <c r="AT41" s="350">
        <f>IF(G41="MOTOR",(SQRT(3)*AH41*O41*((AA41*P41)+(AB41*SIN(ACOS(P41))))*100/(AP41*K41*1000)),"NA")</f>
        <v>0</v>
      </c>
      <c r="AU41" s="264" t="str">
        <f>IF(G41="MOTOR",IF(AT41&lt;=15,"YES","NO"),"NA")</f>
        <v>YES</v>
      </c>
      <c r="AV41" s="269" t="str">
        <f>IF(U41="1C",CONCATENATE(AP41,"R x ",Y41,"kV x ",U41," x ",V41," Sqmm/Phase"),CONCATENATE(AP41,"R x ",0.6,"/1kV x ",U41," x ",V41," Sqmm"))</f>
        <v>1R x 0.6/1kV x 3C x 150 Sqmm</v>
      </c>
      <c r="AW41" s="269" t="str">
        <f>IF(U41="1C",CONCATENATE(AP41,"R x ",Y41,"kV x ",U41," x ",V41," Sqmm/Phase"),CONCATENATE(AP41,"R x ",0.6,"/1kV x ",U41," x ",V41,(IF(G41="MOTOR","+PE",""))," Sqmm"))</f>
        <v>1R x 0.6/1kV x 3C x 150+PE Sqmm</v>
      </c>
      <c r="AX41" s="264"/>
      <c r="AY41" s="270"/>
    </row>
    <row r="42" spans="1:51" s="75" customFormat="1" ht="20.149999999999999" hidden="1" customHeight="1">
      <c r="A42" s="262" t="s">
        <v>303</v>
      </c>
      <c r="B42" s="262" t="s">
        <v>382</v>
      </c>
      <c r="C42" s="262" t="str">
        <f t="shared" si="85"/>
        <v>PMCC-1</v>
      </c>
      <c r="D42" s="290" t="s">
        <v>388</v>
      </c>
      <c r="E42" s="346" t="s">
        <v>318</v>
      </c>
      <c r="F42" s="262" t="s">
        <v>29</v>
      </c>
      <c r="G42" s="262" t="s">
        <v>298</v>
      </c>
      <c r="H42" s="258">
        <v>4</v>
      </c>
      <c r="I42" s="262" t="s">
        <v>299</v>
      </c>
      <c r="J42" s="262" t="s">
        <v>300</v>
      </c>
      <c r="K42" s="259">
        <v>400</v>
      </c>
      <c r="L42" s="264">
        <v>0.85</v>
      </c>
      <c r="M42" s="258">
        <v>0.95</v>
      </c>
      <c r="N42" s="263">
        <f>IF(I42="kVA",IF(J42="3Ph",(H42*1000/(1.732*M42*K42)),(H42*1000/(M42*K42))),IF(I42="kW",IF(J42="3Ph",(H42*1000/(1.732*M42*K42*L42)),(H42*1000/(M42*K42*L42)))))</f>
        <v>7.1500582729749258</v>
      </c>
      <c r="O42" s="263">
        <f t="shared" si="2"/>
        <v>0</v>
      </c>
      <c r="P42" s="264" t="str">
        <f>IF(G42="MOTOR",0.2,"0.00")</f>
        <v>0.00</v>
      </c>
      <c r="Q42" s="258">
        <v>65</v>
      </c>
      <c r="R42" s="258">
        <v>0</v>
      </c>
      <c r="S42" s="258">
        <f>(Q42*1000*SQRT(R42)/143)</f>
        <v>0</v>
      </c>
      <c r="T42" s="264" t="s">
        <v>131</v>
      </c>
      <c r="U42" s="258" t="s">
        <v>377</v>
      </c>
      <c r="V42" s="264">
        <v>16</v>
      </c>
      <c r="W42" s="264" t="str">
        <f>CONCATENATE(U42," X ",V42)</f>
        <v>4C X 16</v>
      </c>
      <c r="X42" s="264" t="str">
        <f>(IF(J42="1Ph",W42,IF(J42="3Ph",(IF(G42="MOTOR",(CONCATENATE(W42,"+PE")),W42)))))</f>
        <v>4C X 16</v>
      </c>
      <c r="Y42" s="264" t="s">
        <v>314</v>
      </c>
      <c r="Z42" s="265">
        <f>IF(T42="AIR",VLOOKUP(W42,'Catalogue Aluminium'!$B$9:$G$91,2,FALSE),IF(T42="GROUND",VLOOKUP(W42,'Catalogue Aluminium'!$B$9:$G$91,3,FALSE),IF(T42="DUCT",VLOOKUP(W42,'Catalogue Aluminium'!$B$9:$G$91,4,FALSE),IF(T42="TRENCH",VLOOKUP(W42,'Catalogue Aluminium'!$B$9:$G$91,2,FALSE)))))</f>
        <v>70</v>
      </c>
      <c r="AA42" s="266">
        <f>VLOOKUP(W42,'Catalogue Aluminium'!$B$9:$G$91,5,FALSE)</f>
        <v>2.44</v>
      </c>
      <c r="AB42" s="266">
        <f>VLOOKUP(W42,'Catalogue Aluminium'!$B$9:$G$91,6,FALSE)</f>
        <v>8.1500000000000003E-2</v>
      </c>
      <c r="AC42" s="264">
        <f>22+11</f>
        <v>33</v>
      </c>
      <c r="AD42" s="264">
        <f>11+34+48+10+30+25</f>
        <v>158</v>
      </c>
      <c r="AE42" s="322">
        <f t="shared" si="87"/>
        <v>22</v>
      </c>
      <c r="AF42" s="264">
        <v>8</v>
      </c>
      <c r="AG42" s="264">
        <f t="shared" si="86"/>
        <v>23</v>
      </c>
      <c r="AH42" s="267"/>
      <c r="AI42" s="265">
        <f>IF(T42="AIR",'Catalogue Aluminium'!$K$9,IF(T42="TRENCH",'Catalogue Aluminium'!$K$12,"NA"))</f>
        <v>0.89</v>
      </c>
      <c r="AJ42" s="263">
        <f>IF(T42="Air",(IF(U42="1C",'Catalogue Aluminium'!$L$9,'Catalogue Aluminium'!$M$9)),IF(T42="DUCT",(IF($U42="1C",'Catalogue Aluminium'!$L$10,'Catalogue Aluminium'!$M$10)),IF(T42="GROUND",(IF($U42="1C",'Catalogue Aluminium'!$L$11,'Catalogue Aluminium'!$M$11)),IF(T42="TRENCH",(IF($U42="1C",'Catalogue Aluminium'!$L$12,'Catalogue Aluminium'!$M$12))))))</f>
        <v>0.66</v>
      </c>
      <c r="AK42" s="265" t="str">
        <f>IF(T42="Air",'Catalogue Aluminium'!$N$9,IF(T42="GROUND",'Catalogue Aluminium'!$N$10,IF(T42="DUCT",'Catalogue Aluminium'!$N$11,IF(T42="TRENCH",'Catalogue Aluminium'!$N$12,"NA"))))</f>
        <v>NA</v>
      </c>
      <c r="AL42" s="265" t="str">
        <f>IF(T42="Air",(IF(U42="1C",'Catalogue Aluminium'!$O$9,'Catalogue Aluminium'!$P$9)),IF(T42="DUCT",(IF($U42="1C",'Catalogue Aluminium'!$O$10,'Catalogue Aluminium'!$P$10)),IF(T42="GROUND",(IF($U42="1C",'Catalogue Aluminium'!$O$11,'Catalogue Aluminium'!$P$11)),IF(T42="TRENCH",(IF($U42="1C",'Catalogue Aluminium'!$O$12,'Catalogue Aluminium'!$P$12))))))</f>
        <v>NA</v>
      </c>
      <c r="AM42" s="265" t="str">
        <f>IF(T42="AIR","NA",IF(T42="TRENCH","NA",IF(T42="DUCT",IF(U42="1C",VLOOKUP(V42,'Catalogue Aluminium'!$Q$9:$S$28,2,FALSE),VLOOKUP(V42,'Catalogue Aluminium'!$Q$9:$S$28,3)),IF(T42="GROUND",IF(U42="1C",VLOOKUP(V42,'Catalogue Aluminium'!$Q$9:$S$28,2,FALSE),VLOOKUP(V42,'Catalogue Aluminium'!$Q$9:$S$28,3))))))</f>
        <v>NA</v>
      </c>
      <c r="AN42" s="268">
        <f>IF(T42="AIR",AI42*AJ42,IF(T42="TRENCH",AI42*AJ42,IF(T42="DUCT",AJ42*AK42*AL42*AM42,IF(T42="GROUND",AJ42*AK42*AL42*AM42))))</f>
        <v>0.58740000000000003</v>
      </c>
      <c r="AO42" s="258">
        <f>Z42*AN42</f>
        <v>41.118000000000002</v>
      </c>
      <c r="AP42" s="259">
        <f t="shared" si="10"/>
        <v>1</v>
      </c>
      <c r="AQ42" s="258" t="str">
        <f>IF(AO42*AP42&gt;=N42,"YES","NO")</f>
        <v>YES</v>
      </c>
      <c r="AR42" s="268">
        <f>SQRT(3)*AH42*N42*((AA42*L42)+(AB42*SIN(ACOS(L42))))*100/(AP42*K42*1000)</f>
        <v>0</v>
      </c>
      <c r="AS42" s="349" t="str">
        <f>IF(G42="INCOMER",(IF(AR42&lt;=2,"YES","NO")),IF(G42="POWER",(IF(AR42&lt;=2.5,"YES","NO")),IF(G42="MOTOR",(IF(AR42&lt;=3,"YES","NO")))))</f>
        <v>YES</v>
      </c>
      <c r="AT42" s="268" t="str">
        <f>IF(G42="MOTOR",(SQRT(3)*AH42*O42*((AA42*L42)+(AB42*SIN(ACOS(L42))))*100/(AP42*K42*1000)),"NA")</f>
        <v>NA</v>
      </c>
      <c r="AU42" s="264" t="str">
        <f>IF(G42="MOTOR",IF(AT42&lt;=15,"YES","NO"),"NA")</f>
        <v>NA</v>
      </c>
      <c r="AV42" s="269" t="str">
        <f>IF(U42="1C",CONCATENATE(AP42,"R x ",Y42,"kV x ",U42," x ",V42," Sqmm/Phase"),CONCATENATE(AP42,"R x ",0.6,"/1kV x ",U42," x ",V42," Sqmm"))</f>
        <v>1R x 0.6/1kV x 4C x 16 Sqmm</v>
      </c>
      <c r="AW42" s="269" t="str">
        <f>IF(U42="1C",CONCATENATE(AP42,"R x ",Y42,"kV x ",U42," x ",V42," Sqmm/Phase"),CONCATENATE(AP42,"R x ",0.6,"/1kV x ",U42," x ",V42,(IF(G42="MOTOR","+PE",""))," Sqmm"))</f>
        <v>1R x 0.6/1kV x 4C x 16 Sqmm</v>
      </c>
      <c r="AX42" s="264"/>
      <c r="AY42" s="270"/>
    </row>
    <row r="43" spans="1:51" s="70" customFormat="1" ht="20.149999999999999" customHeight="1">
      <c r="A43" s="273"/>
      <c r="B43" s="273"/>
      <c r="C43" s="273"/>
      <c r="D43" s="357" t="s">
        <v>315</v>
      </c>
      <c r="E43" s="358"/>
      <c r="F43" s="359"/>
      <c r="G43" s="273"/>
      <c r="H43" s="281"/>
      <c r="I43" s="273"/>
      <c r="J43" s="273"/>
      <c r="K43" s="280"/>
      <c r="L43" s="275"/>
      <c r="M43" s="281"/>
      <c r="N43" s="274"/>
      <c r="O43" s="274"/>
      <c r="P43" s="275"/>
      <c r="Q43" s="281"/>
      <c r="R43" s="281"/>
      <c r="S43" s="281"/>
      <c r="T43" s="275"/>
      <c r="U43" s="281"/>
      <c r="V43" s="275"/>
      <c r="W43" s="275"/>
      <c r="X43" s="275"/>
      <c r="Y43" s="275"/>
      <c r="Z43" s="276"/>
      <c r="AA43" s="277"/>
      <c r="AB43" s="277"/>
      <c r="AC43" s="277"/>
      <c r="AD43" s="277"/>
      <c r="AE43" s="277"/>
      <c r="AF43" s="277"/>
      <c r="AG43" s="277"/>
      <c r="AH43" s="277"/>
      <c r="AI43" s="276"/>
      <c r="AJ43" s="274"/>
      <c r="AK43" s="276"/>
      <c r="AL43" s="276"/>
      <c r="AM43" s="276"/>
      <c r="AN43" s="282"/>
      <c r="AO43" s="281"/>
      <c r="AP43" s="280"/>
      <c r="AQ43" s="281"/>
      <c r="AR43" s="282"/>
      <c r="AS43" s="275"/>
      <c r="AT43" s="282"/>
      <c r="AU43" s="282"/>
      <c r="AV43" s="283"/>
      <c r="AW43" s="283"/>
      <c r="AX43" s="275"/>
      <c r="AY43" s="284"/>
    </row>
    <row r="44" spans="1:51" ht="20.149999999999999" customHeight="1">
      <c r="A44" s="243">
        <f>1+A35</f>
        <v>26</v>
      </c>
      <c r="B44" s="243" t="s">
        <v>382</v>
      </c>
      <c r="C44" s="243" t="str">
        <f>$D$6</f>
        <v>PMCC-1</v>
      </c>
      <c r="D44" s="362" t="s">
        <v>389</v>
      </c>
      <c r="E44" s="351" t="s">
        <v>310</v>
      </c>
      <c r="F44" s="243" t="s">
        <v>29</v>
      </c>
      <c r="G44" s="243" t="s">
        <v>298</v>
      </c>
      <c r="H44" s="256">
        <v>86.54</v>
      </c>
      <c r="I44" s="243" t="s">
        <v>299</v>
      </c>
      <c r="J44" s="243" t="s">
        <v>300</v>
      </c>
      <c r="K44" s="255">
        <v>400</v>
      </c>
      <c r="L44" s="249">
        <v>0.85</v>
      </c>
      <c r="M44" s="256">
        <v>0.95</v>
      </c>
      <c r="N44" s="248">
        <f t="shared" ref="N44:N55" si="88">IF(I44="kVA",IF(J44="3Ph",(H44*1000/(1.732*M44*K44)),(H44*1000/(M44*K44))),IF(I44="kW",IF(J44="3Ph",(H44*1000/(1.732*M44*K44*L44)),(H44*1000/(M44*K44*L44)))))</f>
        <v>154.69151073581253</v>
      </c>
      <c r="O44" s="248">
        <f t="shared" si="2"/>
        <v>0</v>
      </c>
      <c r="P44" s="249" t="str">
        <f t="shared" ref="P44:P55" si="89">IF(G44="MOTOR",0.2,"0.00")</f>
        <v>0.00</v>
      </c>
      <c r="Q44" s="256">
        <v>65</v>
      </c>
      <c r="R44" s="256">
        <v>0</v>
      </c>
      <c r="S44" s="256">
        <f t="shared" ref="S44:S55" si="90">(Q44*1000*SQRT(R44)/143)</f>
        <v>0</v>
      </c>
      <c r="T44" s="249" t="s">
        <v>131</v>
      </c>
      <c r="U44" s="256" t="s">
        <v>390</v>
      </c>
      <c r="V44" s="249">
        <v>300</v>
      </c>
      <c r="W44" s="249" t="str">
        <f t="shared" ref="W44:W55" si="91">CONCATENATE(U44," X ",V44)</f>
        <v>3.5C X 300</v>
      </c>
      <c r="X44" s="249" t="str">
        <f t="shared" ref="X44:X55" si="92">(IF(J44="1Ph",W44,IF(J44="3Ph",(IF(G44="MOTOR",(CONCATENATE(W44,"+PE")),W44)))))</f>
        <v>3.5C X 300</v>
      </c>
      <c r="Y44" s="249" t="s">
        <v>314</v>
      </c>
      <c r="Z44" s="250">
        <f>IF(T44="AIR",VLOOKUP(W44,'Catalogue Aluminium'!$B$9:$G$91,2,FALSE),IF(T44="GROUND",VLOOKUP(W44,'Catalogue Aluminium'!$B$9:$G$91,3,FALSE),IF(T44="DUCT",VLOOKUP(W44,'Catalogue Aluminium'!$B$9:$G$91,4,FALSE),IF(T44="TRENCH",VLOOKUP(W44,'Catalogue Aluminium'!$B$9:$G$91,2,FALSE)))))</f>
        <v>459</v>
      </c>
      <c r="AA44" s="251">
        <f>VLOOKUP(W44,'Catalogue Aluminium'!$B$9:$G$91,5,FALSE)</f>
        <v>0.128</v>
      </c>
      <c r="AB44" s="251">
        <f>VLOOKUP(W44,'Catalogue Aluminium'!$B$9:$G$91,6,FALSE)</f>
        <v>7.1099999999999997E-2</v>
      </c>
      <c r="AC44" s="294">
        <f t="shared" ref="AC44" si="93">17+3</f>
        <v>20</v>
      </c>
      <c r="AD44" s="294">
        <f>40+50+38+50+17+(27+42+30+21+20)</f>
        <v>335</v>
      </c>
      <c r="AE44" s="294">
        <f t="shared" ref="AE44:AE57" si="94">11+8+8+11</f>
        <v>38</v>
      </c>
      <c r="AF44" s="294">
        <v>8</v>
      </c>
      <c r="AG44" s="294">
        <f t="shared" ref="AG44:AG55" si="95">ROUNDUP((SUM(AC44:AF44)*0.1),0)</f>
        <v>41</v>
      </c>
      <c r="AH44" s="253">
        <f t="shared" ref="AH44:AH55" si="96">SUM(AC44:AG44)</f>
        <v>442</v>
      </c>
      <c r="AI44" s="250">
        <f>IF(T44="AIR",'Catalogue Aluminium'!$K$9,IF(T44="TRENCH",'Catalogue Aluminium'!$K$12,"NA"))</f>
        <v>0.89</v>
      </c>
      <c r="AJ44" s="248">
        <f>IF(T44="Air",(IF(U44="1C",'Catalogue Aluminium'!$L$9,'Catalogue Aluminium'!$M$9)),IF(T44="DUCT",(IF($U44="1C",'Catalogue Aluminium'!$L$10,'Catalogue Aluminium'!$M$10)),IF(T44="GROUND",(IF($U44="1C",'Catalogue Aluminium'!$L$11,'Catalogue Aluminium'!$M$11)),IF(T44="TRENCH",(IF($U44="1C",'Catalogue Aluminium'!$L$12,'Catalogue Aluminium'!$M$12))))))</f>
        <v>0.66</v>
      </c>
      <c r="AK44" s="250" t="str">
        <f>IF(T44="Air",'Catalogue Aluminium'!$N$9,IF(T44="GROUND",'Catalogue Aluminium'!$N$10,IF(T44="DUCT",'Catalogue Aluminium'!$N$11,IF(T44="TRENCH",'Catalogue Aluminium'!$N$12,"NA"))))</f>
        <v>NA</v>
      </c>
      <c r="AL44" s="250" t="str">
        <f>IF(T44="Air",(IF(U44="1C",'Catalogue Aluminium'!$O$9,'Catalogue Aluminium'!$P$9)),IF(T44="DUCT",(IF($U44="1C",'Catalogue Aluminium'!$O$10,'Catalogue Aluminium'!$P$10)),IF(T44="GROUND",(IF($U44="1C",'Catalogue Aluminium'!$O$11,'Catalogue Aluminium'!$P$11)),IF(T44="TRENCH",(IF($U44="1C",'Catalogue Aluminium'!$O$12,'Catalogue Aluminium'!$P$12))))))</f>
        <v>NA</v>
      </c>
      <c r="AM44" s="250" t="str">
        <f>IF(T44="AIR","NA",IF(T44="TRENCH","NA",IF(T44="DUCT",IF(U44="1C",VLOOKUP(V44,'Catalogue Aluminium'!$Q$9:$S$28,2,FALSE),VLOOKUP(V44,'Catalogue Aluminium'!$Q$9:$S$28,3)),IF(T44="GROUND",IF(U44="1C",VLOOKUP(V44,'Catalogue Aluminium'!$Q$9:$S$28,2,FALSE),VLOOKUP(V44,'Catalogue Aluminium'!$Q$9:$S$28,3))))))</f>
        <v>NA</v>
      </c>
      <c r="AN44" s="257">
        <f t="shared" ref="AN44:AN55" si="97">IF(T44="AIR",AI44*AJ44,IF(T44="TRENCH",AI44*AJ44,IF(T44="DUCT",AJ44*AK44*AL44*AM44,IF(T44="GROUND",AJ44*AK44*AL44*AM44))))</f>
        <v>0.58740000000000003</v>
      </c>
      <c r="AO44" s="256">
        <f t="shared" ref="AO44:AO55" si="98">Z44*AN44</f>
        <v>269.61660000000001</v>
      </c>
      <c r="AP44" s="255">
        <v>2</v>
      </c>
      <c r="AQ44" s="256" t="str">
        <f t="shared" ref="AQ44:AQ52" si="99">IF(AO44*AP44&gt;=N44,"YES","NO")</f>
        <v>YES</v>
      </c>
      <c r="AR44" s="257">
        <f t="shared" ref="AR44:AR52" si="100">SQRT(3)*AH44*N44*((AA44*L44)+(AB44*SIN(ACOS(L44))))*100/(AP44*K44*1000)</f>
        <v>2.1650497631736201</v>
      </c>
      <c r="AS44" s="249" t="str">
        <f t="shared" ref="AS44:AS52" si="101">IF(G44="INCOMER",(IF(AR44&lt;=2,"YES","NO")),IF(G44="POWER",(IF(AR44&lt;=2.5,"YES","NO")),IF(G44="MOTOR",(IF(AR44&lt;=3,"YES","NO")))))</f>
        <v>YES</v>
      </c>
      <c r="AT44" s="257" t="str">
        <f t="shared" ref="AT44:AT55" si="102">IF(G44="MOTOR",(SQRT(3)*AH44*O44*((AA44*P44)+(AB44*SIN(ACOS(P44))))*100/(AP44*K44*1000)),"NA")</f>
        <v>NA</v>
      </c>
      <c r="AU44" s="249" t="str">
        <f t="shared" ref="AU44:AU55" si="103">IF(G44="MOTOR",IF(AT44&lt;=15,"YES","NO"),"NA")</f>
        <v>NA</v>
      </c>
      <c r="AV44" s="260" t="str">
        <f t="shared" ref="AV44:AV55" si="104">IF(U44="1C",CONCATENATE(AP44,"R x ",Y44,"kV x ",U44," x ",V44," Sqmm/Phase"),CONCATENATE(AP44,"R x ",0.6,"/1kV x ",U44," x ",V44," Sqmm"))</f>
        <v>2R x 0.6/1kV x 3.5C x 300 Sqmm</v>
      </c>
      <c r="AW44" s="260" t="str">
        <f t="shared" ref="AW44:AW55" si="105">IF(U44="1C",CONCATENATE(AP44,"R x ",Y44,"kV x ",U44," x ",V44," Sqmm/Phase"),CONCATENATE(AP44,"R x ",0.6,"/1kV x ",U44," x ",V44,(IF(G44="MOTOR","+PE",""))," Sqmm"))</f>
        <v>2R x 0.6/1kV x 3.5C x 300 Sqmm</v>
      </c>
      <c r="AX44" s="249">
        <f t="shared" ref="AX44:AX55" si="106">(IF(K44=400,(IF(U44="1C",(4*AH44*AP44),(AH44*AP44))),IF(K44=230,(AH44*AP44))))</f>
        <v>884</v>
      </c>
      <c r="AY44" s="261"/>
    </row>
    <row r="45" spans="1:51" ht="20.149999999999999" customHeight="1">
      <c r="A45" s="243">
        <f t="shared" ref="A45:A57" si="107">1+A44</f>
        <v>27</v>
      </c>
      <c r="B45" s="243" t="s">
        <v>382</v>
      </c>
      <c r="C45" s="243" t="str">
        <f>$D$6</f>
        <v>PMCC-1</v>
      </c>
      <c r="D45" s="362" t="s">
        <v>389</v>
      </c>
      <c r="E45" s="351" t="s">
        <v>310</v>
      </c>
      <c r="F45" s="243" t="s">
        <v>28</v>
      </c>
      <c r="G45" s="243" t="s">
        <v>298</v>
      </c>
      <c r="H45" s="256">
        <v>86.54</v>
      </c>
      <c r="I45" s="243" t="s">
        <v>299</v>
      </c>
      <c r="J45" s="243" t="s">
        <v>300</v>
      </c>
      <c r="K45" s="255">
        <v>400</v>
      </c>
      <c r="L45" s="249">
        <v>0.85</v>
      </c>
      <c r="M45" s="256">
        <v>0.95</v>
      </c>
      <c r="N45" s="248">
        <f t="shared" si="88"/>
        <v>154.69151073581253</v>
      </c>
      <c r="O45" s="248">
        <f t="shared" si="2"/>
        <v>0</v>
      </c>
      <c r="P45" s="249" t="str">
        <f t="shared" si="89"/>
        <v>0.00</v>
      </c>
      <c r="Q45" s="256">
        <v>65</v>
      </c>
      <c r="R45" s="256">
        <v>0</v>
      </c>
      <c r="S45" s="256">
        <f t="shared" si="90"/>
        <v>0</v>
      </c>
      <c r="T45" s="249" t="s">
        <v>131</v>
      </c>
      <c r="U45" s="256" t="s">
        <v>390</v>
      </c>
      <c r="V45" s="249">
        <v>300</v>
      </c>
      <c r="W45" s="249" t="str">
        <f t="shared" si="91"/>
        <v>3.5C X 300</v>
      </c>
      <c r="X45" s="249" t="str">
        <f t="shared" si="92"/>
        <v>3.5C X 300</v>
      </c>
      <c r="Y45" s="249" t="s">
        <v>314</v>
      </c>
      <c r="Z45" s="250">
        <f>IF(T45="AIR",VLOOKUP(W45,'Catalogue Aluminium'!$B$9:$G$91,2,FALSE),IF(T45="GROUND",VLOOKUP(W45,'Catalogue Aluminium'!$B$9:$G$91,3,FALSE),IF(T45="DUCT",VLOOKUP(W45,'Catalogue Aluminium'!$B$9:$G$91,4,FALSE),IF(T45="TRENCH",VLOOKUP(W45,'Catalogue Aluminium'!$B$9:$G$91,2,FALSE)))))</f>
        <v>459</v>
      </c>
      <c r="AA45" s="251">
        <f>VLOOKUP(W45,'Catalogue Aluminium'!$B$9:$G$91,5,FALSE)</f>
        <v>0.128</v>
      </c>
      <c r="AB45" s="251">
        <f>VLOOKUP(W45,'Catalogue Aluminium'!$B$9:$G$91,6,FALSE)</f>
        <v>7.1099999999999997E-2</v>
      </c>
      <c r="AC45" s="294">
        <f>26+3</f>
        <v>29</v>
      </c>
      <c r="AD45" s="294">
        <f>40+50+38+50+17+(27+42+30+21+20)</f>
        <v>335</v>
      </c>
      <c r="AE45" s="294">
        <f t="shared" si="94"/>
        <v>38</v>
      </c>
      <c r="AF45" s="294">
        <v>8</v>
      </c>
      <c r="AG45" s="294">
        <f t="shared" si="95"/>
        <v>41</v>
      </c>
      <c r="AH45" s="253">
        <f t="shared" si="96"/>
        <v>451</v>
      </c>
      <c r="AI45" s="250">
        <f>IF(T45="AIR",'Catalogue Aluminium'!$K$9,IF(T45="TRENCH",'Catalogue Aluminium'!$K$12,"NA"))</f>
        <v>0.89</v>
      </c>
      <c r="AJ45" s="248">
        <f>IF(T45="Air",(IF(U45="1C",'Catalogue Aluminium'!$L$9,'Catalogue Aluminium'!$M$9)),IF(T45="DUCT",(IF($U45="1C",'Catalogue Aluminium'!$L$10,'Catalogue Aluminium'!$M$10)),IF(T45="GROUND",(IF($U45="1C",'Catalogue Aluminium'!$L$11,'Catalogue Aluminium'!$M$11)),IF(T45="TRENCH",(IF($U45="1C",'Catalogue Aluminium'!$L$12,'Catalogue Aluminium'!$M$12))))))</f>
        <v>0.66</v>
      </c>
      <c r="AK45" s="250" t="str">
        <f>IF(T45="Air",'Catalogue Aluminium'!$N$9,IF(T45="GROUND",'Catalogue Aluminium'!$N$10,IF(T45="DUCT",'Catalogue Aluminium'!$N$11,IF(T45="TRENCH",'Catalogue Aluminium'!$N$12,"NA"))))</f>
        <v>NA</v>
      </c>
      <c r="AL45" s="250" t="str">
        <f>IF(T45="Air",(IF(U45="1C",'Catalogue Aluminium'!$O$9,'Catalogue Aluminium'!$P$9)),IF(T45="DUCT",(IF($U45="1C",'Catalogue Aluminium'!$O$10,'Catalogue Aluminium'!$P$10)),IF(T45="GROUND",(IF($U45="1C",'Catalogue Aluminium'!$O$11,'Catalogue Aluminium'!$P$11)),IF(T45="TRENCH",(IF($U45="1C",'Catalogue Aluminium'!$O$12,'Catalogue Aluminium'!$P$12))))))</f>
        <v>NA</v>
      </c>
      <c r="AM45" s="250" t="str">
        <f>IF(T45="AIR","NA",IF(T45="TRENCH","NA",IF(T45="DUCT",IF(U45="1C",VLOOKUP(V45,'Catalogue Aluminium'!$Q$9:$S$28,2,FALSE),VLOOKUP(V45,'Catalogue Aluminium'!$Q$9:$S$28,3)),IF(T45="GROUND",IF(U45="1C",VLOOKUP(V45,'Catalogue Aluminium'!$Q$9:$S$28,2,FALSE),VLOOKUP(V45,'Catalogue Aluminium'!$Q$9:$S$28,3))))))</f>
        <v>NA</v>
      </c>
      <c r="AN45" s="257">
        <f t="shared" si="97"/>
        <v>0.58740000000000003</v>
      </c>
      <c r="AO45" s="256">
        <f t="shared" si="98"/>
        <v>269.61660000000001</v>
      </c>
      <c r="AP45" s="255">
        <v>2</v>
      </c>
      <c r="AQ45" s="256" t="str">
        <f t="shared" si="99"/>
        <v>YES</v>
      </c>
      <c r="AR45" s="257">
        <f t="shared" si="100"/>
        <v>2.2091344868581504</v>
      </c>
      <c r="AS45" s="249" t="str">
        <f t="shared" si="101"/>
        <v>YES</v>
      </c>
      <c r="AT45" s="257" t="str">
        <f t="shared" si="102"/>
        <v>NA</v>
      </c>
      <c r="AU45" s="249" t="str">
        <f t="shared" si="103"/>
        <v>NA</v>
      </c>
      <c r="AV45" s="260" t="str">
        <f t="shared" si="104"/>
        <v>2R x 0.6/1kV x 3.5C x 300 Sqmm</v>
      </c>
      <c r="AW45" s="260" t="str">
        <f t="shared" si="105"/>
        <v>2R x 0.6/1kV x 3.5C x 300 Sqmm</v>
      </c>
      <c r="AX45" s="249">
        <f t="shared" si="106"/>
        <v>902</v>
      </c>
      <c r="AY45" s="261"/>
    </row>
    <row r="46" spans="1:51" ht="20.149999999999999" customHeight="1">
      <c r="A46" s="285">
        <f t="shared" si="107"/>
        <v>28</v>
      </c>
      <c r="B46" s="298" t="s">
        <v>982</v>
      </c>
      <c r="C46" s="285" t="s">
        <v>344</v>
      </c>
      <c r="D46" s="363" t="s">
        <v>391</v>
      </c>
      <c r="E46" s="352" t="s">
        <v>310</v>
      </c>
      <c r="F46" s="285" t="s">
        <v>28</v>
      </c>
      <c r="G46" s="285" t="s">
        <v>311</v>
      </c>
      <c r="H46" s="421">
        <v>22</v>
      </c>
      <c r="I46" s="285" t="s">
        <v>299</v>
      </c>
      <c r="J46" s="285" t="s">
        <v>300</v>
      </c>
      <c r="K46" s="309">
        <v>400</v>
      </c>
      <c r="L46" s="294">
        <v>0.85</v>
      </c>
      <c r="M46" s="304">
        <v>0.95</v>
      </c>
      <c r="N46" s="287">
        <f t="shared" si="88"/>
        <v>39.325320501362093</v>
      </c>
      <c r="O46" s="287">
        <f t="shared" ref="O46:O81" si="108">IF(G46="MOTOR",(6*N46),IF(G46="VFD",(1*N46),0))</f>
        <v>235.95192300817257</v>
      </c>
      <c r="P46" s="294">
        <f t="shared" si="89"/>
        <v>0.2</v>
      </c>
      <c r="Q46" s="304">
        <v>65</v>
      </c>
      <c r="R46" s="304">
        <v>0</v>
      </c>
      <c r="S46" s="304">
        <f t="shared" si="90"/>
        <v>0</v>
      </c>
      <c r="T46" s="294" t="s">
        <v>131</v>
      </c>
      <c r="U46" s="304" t="s">
        <v>302</v>
      </c>
      <c r="V46" s="294">
        <v>95</v>
      </c>
      <c r="W46" s="294" t="str">
        <f t="shared" si="91"/>
        <v>3C X 95</v>
      </c>
      <c r="X46" s="294" t="str">
        <f t="shared" si="92"/>
        <v>3C X 95+PE</v>
      </c>
      <c r="Y46" s="294" t="s">
        <v>314</v>
      </c>
      <c r="Z46" s="288">
        <f>IF(T46="AIR",VLOOKUP(W46,'Catalogue Aluminium'!$B$9:$G$91,2,FALSE),IF(T46="GROUND",VLOOKUP(W46,'Catalogue Aluminium'!$B$9:$G$91,3,FALSE),IF(T46="DUCT",VLOOKUP(W46,'Catalogue Aluminium'!$B$9:$G$91,4,FALSE),IF(T46="TRENCH",VLOOKUP(W46,'Catalogue Aluminium'!$B$9:$G$91,2,FALSE)))))</f>
        <v>221</v>
      </c>
      <c r="AA46" s="295">
        <f>VLOOKUP(W46,'Catalogue Aluminium'!$B$9:$G$91,5,FALSE)</f>
        <v>0.41</v>
      </c>
      <c r="AB46" s="295">
        <f>VLOOKUP(W46,'Catalogue Aluminium'!$B$9:$G$91,6,FALSE)</f>
        <v>7.3400000000000007E-2</v>
      </c>
      <c r="AC46" s="294">
        <f>25+3</f>
        <v>28</v>
      </c>
      <c r="AD46" s="294">
        <f t="shared" ref="AD46:AD57" si="109">40+50+38+50+17+(27+42+30+21+20)</f>
        <v>335</v>
      </c>
      <c r="AE46" s="294">
        <f t="shared" si="94"/>
        <v>38</v>
      </c>
      <c r="AF46" s="294">
        <v>8</v>
      </c>
      <c r="AG46" s="294">
        <f t="shared" si="95"/>
        <v>41</v>
      </c>
      <c r="AH46" s="311">
        <f t="shared" si="96"/>
        <v>450</v>
      </c>
      <c r="AI46" s="288">
        <f>IF(T46="AIR",'Catalogue Aluminium'!$K$9,IF(T46="TRENCH",'Catalogue Aluminium'!$K$12,"NA"))</f>
        <v>0.89</v>
      </c>
      <c r="AJ46" s="287">
        <f>IF(T46="Air",(IF(U46="1C",'Catalogue Aluminium'!$L$9,'Catalogue Aluminium'!$M$9)),IF(T46="DUCT",(IF($U46="1C",'Catalogue Aluminium'!$L$10,'Catalogue Aluminium'!$M$10)),IF(T46="GROUND",(IF($U46="1C",'Catalogue Aluminium'!$L$11,'Catalogue Aluminium'!$M$11)),IF(T46="TRENCH",(IF($U46="1C",'Catalogue Aluminium'!$L$12,'Catalogue Aluminium'!$M$12))))))</f>
        <v>0.66</v>
      </c>
      <c r="AK46" s="288" t="str">
        <f>IF(T46="Air",'Catalogue Aluminium'!$N$9,IF(T46="GROUND",'Catalogue Aluminium'!$N$10,IF(T46="DUCT",'Catalogue Aluminium'!$N$11,IF(T46="TRENCH",'Catalogue Aluminium'!$N$12,"NA"))))</f>
        <v>NA</v>
      </c>
      <c r="AL46" s="288" t="str">
        <f>IF(T46="Air",(IF(U46="1C",'Catalogue Aluminium'!$O$9,'Catalogue Aluminium'!$P$9)),IF(T46="DUCT",(IF($U46="1C",'Catalogue Aluminium'!$O$10,'Catalogue Aluminium'!$P$10)),IF(T46="GROUND",(IF($U46="1C",'Catalogue Aluminium'!$O$11,'Catalogue Aluminium'!$P$11)),IF(T46="TRENCH",(IF($U46="1C",'Catalogue Aluminium'!$O$12,'Catalogue Aluminium'!$P$12))))))</f>
        <v>NA</v>
      </c>
      <c r="AM46" s="288" t="str">
        <f>IF(T46="AIR","NA",IF(T46="TRENCH","NA",IF(T46="DUCT",IF(U46="1C",VLOOKUP(V46,'Catalogue Aluminium'!$Q$9:$S$28,2,FALSE),VLOOKUP(V46,'Catalogue Aluminium'!$Q$9:$S$28,3)),IF(T46="GROUND",IF(U46="1C",VLOOKUP(V46,'Catalogue Aluminium'!$Q$9:$S$28,2,FALSE),VLOOKUP(V46,'Catalogue Aluminium'!$Q$9:$S$28,3))))))</f>
        <v>NA</v>
      </c>
      <c r="AN46" s="312">
        <f t="shared" si="97"/>
        <v>0.58740000000000003</v>
      </c>
      <c r="AO46" s="304">
        <f t="shared" si="98"/>
        <v>129.81540000000001</v>
      </c>
      <c r="AP46" s="309">
        <v>2</v>
      </c>
      <c r="AQ46" s="304" t="str">
        <f t="shared" si="99"/>
        <v>YES</v>
      </c>
      <c r="AR46" s="312">
        <f t="shared" si="100"/>
        <v>1.4833801647493499</v>
      </c>
      <c r="AS46" s="294" t="str">
        <f t="shared" si="101"/>
        <v>YES</v>
      </c>
      <c r="AT46" s="312">
        <f t="shared" si="102"/>
        <v>3.5382891317307803</v>
      </c>
      <c r="AU46" s="294" t="str">
        <f t="shared" si="103"/>
        <v>YES</v>
      </c>
      <c r="AV46" s="353" t="str">
        <f t="shared" si="104"/>
        <v>2R x 0.6/1kV x 3C x 95 Sqmm</v>
      </c>
      <c r="AW46" s="353" t="str">
        <f t="shared" si="105"/>
        <v>2R x 0.6/1kV x 3C x 95+PE Sqmm</v>
      </c>
      <c r="AX46" s="294">
        <f t="shared" si="106"/>
        <v>900</v>
      </c>
      <c r="AY46" s="354"/>
    </row>
    <row r="47" spans="1:51" s="576" customFormat="1" ht="19.5" customHeight="1">
      <c r="A47" s="298">
        <f t="shared" si="107"/>
        <v>29</v>
      </c>
      <c r="B47" s="298" t="s">
        <v>382</v>
      </c>
      <c r="C47" s="298" t="s">
        <v>344</v>
      </c>
      <c r="D47" s="593" t="s">
        <v>392</v>
      </c>
      <c r="E47" s="418" t="s">
        <v>310</v>
      </c>
      <c r="F47" s="298" t="s">
        <v>28</v>
      </c>
      <c r="G47" s="298" t="s">
        <v>298</v>
      </c>
      <c r="H47" s="573">
        <v>0.06</v>
      </c>
      <c r="I47" s="298" t="s">
        <v>299</v>
      </c>
      <c r="J47" s="298" t="s">
        <v>313</v>
      </c>
      <c r="K47" s="423">
        <v>230</v>
      </c>
      <c r="L47" s="301">
        <v>0.85</v>
      </c>
      <c r="M47" s="421">
        <v>0.95</v>
      </c>
      <c r="N47" s="299">
        <f t="shared" si="88"/>
        <v>0.32305828509893664</v>
      </c>
      <c r="O47" s="299">
        <f t="shared" si="108"/>
        <v>0</v>
      </c>
      <c r="P47" s="301" t="str">
        <f t="shared" si="89"/>
        <v>0.00</v>
      </c>
      <c r="Q47" s="421">
        <v>65</v>
      </c>
      <c r="R47" s="421">
        <v>0</v>
      </c>
      <c r="S47" s="421">
        <f t="shared" si="90"/>
        <v>0</v>
      </c>
      <c r="T47" s="301" t="s">
        <v>131</v>
      </c>
      <c r="U47" s="421" t="s">
        <v>302</v>
      </c>
      <c r="V47" s="301">
        <v>2.5</v>
      </c>
      <c r="W47" s="301" t="str">
        <f t="shared" si="91"/>
        <v>3C X 2.5</v>
      </c>
      <c r="X47" s="301" t="str">
        <f t="shared" ref="X47" si="110">(IF(J47="1Ph",W47,IF(J47="3Ph",(IF(G47="MOTOR",(CONCATENATE(W47,"+PE")),W47)))))</f>
        <v>3C X 2.5</v>
      </c>
      <c r="Y47" s="301" t="s">
        <v>314</v>
      </c>
      <c r="Z47" s="300">
        <f>IF(T47="AIR",VLOOKUP(W47,'Catalogue Aluminium'!$B$9:$G$91,2,FALSE),IF(T47="GROUND",VLOOKUP(W47,'Catalogue Aluminium'!$B$9:$G$91,3,FALSE),IF(T47="DUCT",VLOOKUP(W47,'Catalogue Aluminium'!$B$9:$G$91,4,FALSE),IF(T47="TRENCH",VLOOKUP(W47,'Catalogue Aluminium'!$B$9:$G$91,2,FALSE)))))</f>
        <v>28</v>
      </c>
      <c r="AA47" s="302">
        <f>VLOOKUP(W47,'Catalogue Aluminium'!$B$9:$G$91,5,FALSE)</f>
        <v>9.48</v>
      </c>
      <c r="AB47" s="302">
        <f>VLOOKUP(W47,'Catalogue Aluminium'!$B$9:$G$91,6,FALSE)</f>
        <v>0.1007</v>
      </c>
      <c r="AC47" s="301">
        <f>25+3</f>
        <v>28</v>
      </c>
      <c r="AD47" s="301">
        <f t="shared" si="109"/>
        <v>335</v>
      </c>
      <c r="AE47" s="301">
        <f t="shared" si="94"/>
        <v>38</v>
      </c>
      <c r="AF47" s="301">
        <v>8</v>
      </c>
      <c r="AG47" s="301">
        <f t="shared" ref="AG47" si="111">ROUNDUP((SUM(AC47:AF47)*0.1),0)</f>
        <v>41</v>
      </c>
      <c r="AH47" s="574">
        <f t="shared" ref="AH47" si="112">SUM(AC47:AG47)</f>
        <v>450</v>
      </c>
      <c r="AI47" s="300">
        <f>IF(T47="AIR",'Catalogue Aluminium'!$K$9,IF(T47="TRENCH",'Catalogue Aluminium'!$K$12,"NA"))</f>
        <v>0.89</v>
      </c>
      <c r="AJ47" s="299">
        <f>IF(T47="Air",(IF(U47="1C",'Catalogue Aluminium'!$L$9,'Catalogue Aluminium'!$M$9)),IF(T47="DUCT",(IF($U47="1C",'Catalogue Aluminium'!$L$10,'Catalogue Aluminium'!$M$10)),IF(T47="GROUND",(IF($U47="1C",'Catalogue Aluminium'!$L$11,'Catalogue Aluminium'!$M$11)),IF(T47="TRENCH",(IF($U47="1C",'Catalogue Aluminium'!$L$12,'Catalogue Aluminium'!$M$12))))))</f>
        <v>0.66</v>
      </c>
      <c r="AK47" s="300" t="str">
        <f>IF(T47="Air",'Catalogue Aluminium'!$N$9,IF(T47="GROUND",'Catalogue Aluminium'!$N$10,IF(T47="DUCT",'Catalogue Aluminium'!$N$11,IF(T47="TRENCH",'Catalogue Aluminium'!$N$12,"NA"))))</f>
        <v>NA</v>
      </c>
      <c r="AL47" s="300" t="str">
        <f>IF(T47="Air",(IF(U47="1C",'Catalogue Aluminium'!$O$9,'Catalogue Aluminium'!$P$9)),IF(T47="DUCT",(IF($U47="1C",'Catalogue Aluminium'!$O$10,'Catalogue Aluminium'!$P$10)),IF(T47="GROUND",(IF($U47="1C",'Catalogue Aluminium'!$O$11,'Catalogue Aluminium'!$P$11)),IF(T47="TRENCH",(IF($U47="1C",'Catalogue Aluminium'!$O$12,'Catalogue Aluminium'!$P$12))))))</f>
        <v>NA</v>
      </c>
      <c r="AM47" s="300" t="str">
        <f>IF(T47="AIR","NA",IF(T47="TRENCH","NA",IF(T47="DUCT",IF(U47="1C",VLOOKUP(V47,'Catalogue Aluminium'!$Q$9:$S$28,2,FALSE),VLOOKUP(V47,'Catalogue Aluminium'!$Q$9:$S$28,3)),IF(T47="GROUND",IF(U47="1C",VLOOKUP(V47,'Catalogue Aluminium'!$Q$9:$S$28,2,FALSE),VLOOKUP(V47,'Catalogue Aluminium'!$Q$9:$S$28,3))))))</f>
        <v>NA</v>
      </c>
      <c r="AN47" s="422">
        <f t="shared" ref="AN47" si="113">IF(T47="AIR",AI47*AJ47,IF(T47="TRENCH",AI47*AJ47,IF(T47="DUCT",AJ47*AK47*AL47*AM47,IF(T47="GROUND",AJ47*AK47*AL47*AM47))))</f>
        <v>0.58740000000000003</v>
      </c>
      <c r="AO47" s="421">
        <f t="shared" ref="AO47" si="114">Z47*AN47</f>
        <v>16.447200000000002</v>
      </c>
      <c r="AP47" s="423">
        <v>1</v>
      </c>
      <c r="AQ47" s="421" t="str">
        <f t="shared" ref="AQ47" si="115">IF(AO47*AP47&gt;=N47,"YES","NO")</f>
        <v>YES</v>
      </c>
      <c r="AR47" s="422">
        <f t="shared" ref="AR47" si="116">SQRT(3)*AH47*N47*((AA47*L47)+(AB47*SIN(ACOS(L47))))*100/(AP47*K47*1000)</f>
        <v>0.88797984269888186</v>
      </c>
      <c r="AS47" s="301" t="str">
        <f t="shared" ref="AS47" si="117">IF(G47="INCOMER",(IF(AR47&lt;=2,"YES","NO")),IF(G47="POWER",(IF(AR47&lt;=2.5,"YES","NO")),IF(G47="MOTOR",(IF(AR47&lt;=3,"YES","NO")))))</f>
        <v>YES</v>
      </c>
      <c r="AT47" s="422" t="str">
        <f t="shared" si="102"/>
        <v>NA</v>
      </c>
      <c r="AU47" s="301" t="str">
        <f t="shared" si="103"/>
        <v>NA</v>
      </c>
      <c r="AV47" s="424" t="str">
        <f t="shared" si="104"/>
        <v>1R x 0.6/1kV x 3C x 2.5 Sqmm</v>
      </c>
      <c r="AW47" s="424" t="str">
        <f t="shared" si="105"/>
        <v>1R x 0.6/1kV x 3C x 2.5 Sqmm</v>
      </c>
      <c r="AX47" s="301">
        <f t="shared" si="106"/>
        <v>450</v>
      </c>
      <c r="AY47" s="575"/>
    </row>
    <row r="48" spans="1:51" ht="20.149999999999999" customHeight="1">
      <c r="A48" s="285">
        <f>1+A46</f>
        <v>29</v>
      </c>
      <c r="B48" s="298" t="s">
        <v>983</v>
      </c>
      <c r="C48" s="285" t="s">
        <v>344</v>
      </c>
      <c r="D48" s="363" t="s">
        <v>393</v>
      </c>
      <c r="E48" s="352" t="s">
        <v>310</v>
      </c>
      <c r="F48" s="285" t="s">
        <v>29</v>
      </c>
      <c r="G48" s="285" t="s">
        <v>311</v>
      </c>
      <c r="H48" s="421">
        <v>22</v>
      </c>
      <c r="I48" s="285" t="s">
        <v>299</v>
      </c>
      <c r="J48" s="285" t="s">
        <v>300</v>
      </c>
      <c r="K48" s="309">
        <v>400</v>
      </c>
      <c r="L48" s="294">
        <v>0.85</v>
      </c>
      <c r="M48" s="304">
        <v>0.95</v>
      </c>
      <c r="N48" s="287">
        <f t="shared" si="88"/>
        <v>39.325320501362093</v>
      </c>
      <c r="O48" s="287">
        <f t="shared" si="108"/>
        <v>235.95192300817257</v>
      </c>
      <c r="P48" s="294">
        <f t="shared" si="89"/>
        <v>0.2</v>
      </c>
      <c r="Q48" s="304">
        <v>65</v>
      </c>
      <c r="R48" s="304">
        <v>0</v>
      </c>
      <c r="S48" s="304">
        <f t="shared" si="90"/>
        <v>0</v>
      </c>
      <c r="T48" s="294" t="s">
        <v>131</v>
      </c>
      <c r="U48" s="304" t="s">
        <v>302</v>
      </c>
      <c r="V48" s="294">
        <v>95</v>
      </c>
      <c r="W48" s="294" t="str">
        <f t="shared" si="91"/>
        <v>3C X 95</v>
      </c>
      <c r="X48" s="294" t="str">
        <f t="shared" si="92"/>
        <v>3C X 95+PE</v>
      </c>
      <c r="Y48" s="294" t="s">
        <v>314</v>
      </c>
      <c r="Z48" s="288">
        <f>IF(T48="AIR",VLOOKUP(W48,'Catalogue Aluminium'!$B$9:$G$91,2,FALSE),IF(T48="GROUND",VLOOKUP(W48,'Catalogue Aluminium'!$B$9:$G$91,3,FALSE),IF(T48="DUCT",VLOOKUP(W48,'Catalogue Aluminium'!$B$9:$G$91,4,FALSE),IF(T48="TRENCH",VLOOKUP(W48,'Catalogue Aluminium'!$B$9:$G$91,2,FALSE)))))</f>
        <v>221</v>
      </c>
      <c r="AA48" s="295">
        <f>VLOOKUP(W48,'Catalogue Aluminium'!$B$9:$G$91,5,FALSE)</f>
        <v>0.41</v>
      </c>
      <c r="AB48" s="295">
        <f>VLOOKUP(W48,'Catalogue Aluminium'!$B$9:$G$91,6,FALSE)</f>
        <v>7.3400000000000007E-2</v>
      </c>
      <c r="AC48" s="294">
        <f t="shared" ref="AC48:AC49" si="118">17+3</f>
        <v>20</v>
      </c>
      <c r="AD48" s="294">
        <f t="shared" si="109"/>
        <v>335</v>
      </c>
      <c r="AE48" s="294">
        <f t="shared" si="94"/>
        <v>38</v>
      </c>
      <c r="AF48" s="294">
        <v>8</v>
      </c>
      <c r="AG48" s="294">
        <f t="shared" si="95"/>
        <v>41</v>
      </c>
      <c r="AH48" s="311">
        <f t="shared" si="96"/>
        <v>442</v>
      </c>
      <c r="AI48" s="288">
        <f>IF(T48="AIR",'Catalogue Aluminium'!$K$9,IF(T48="TRENCH",'Catalogue Aluminium'!$K$12,"NA"))</f>
        <v>0.89</v>
      </c>
      <c r="AJ48" s="287">
        <f>IF(T48="Air",(IF(U48="1C",'Catalogue Aluminium'!$L$9,'Catalogue Aluminium'!$M$9)),IF(T48="DUCT",(IF($U48="1C",'Catalogue Aluminium'!$L$10,'Catalogue Aluminium'!$M$10)),IF(T48="GROUND",(IF($U48="1C",'Catalogue Aluminium'!$L$11,'Catalogue Aluminium'!$M$11)),IF(T48="TRENCH",(IF($U48="1C",'Catalogue Aluminium'!$L$12,'Catalogue Aluminium'!$M$12))))))</f>
        <v>0.66</v>
      </c>
      <c r="AK48" s="288" t="str">
        <f>IF(T48="Air",'Catalogue Aluminium'!$N$9,IF(T48="GROUND",'Catalogue Aluminium'!$N$10,IF(T48="DUCT",'Catalogue Aluminium'!$N$11,IF(T48="TRENCH",'Catalogue Aluminium'!$N$12,"NA"))))</f>
        <v>NA</v>
      </c>
      <c r="AL48" s="288" t="str">
        <f>IF(T48="Air",(IF(U48="1C",'Catalogue Aluminium'!$O$9,'Catalogue Aluminium'!$P$9)),IF(T48="DUCT",(IF($U48="1C",'Catalogue Aluminium'!$O$10,'Catalogue Aluminium'!$P$10)),IF(T48="GROUND",(IF($U48="1C",'Catalogue Aluminium'!$O$11,'Catalogue Aluminium'!$P$11)),IF(T48="TRENCH",(IF($U48="1C",'Catalogue Aluminium'!$O$12,'Catalogue Aluminium'!$P$12))))))</f>
        <v>NA</v>
      </c>
      <c r="AM48" s="288" t="str">
        <f>IF(T48="AIR","NA",IF(T48="TRENCH","NA",IF(T48="DUCT",IF(U48="1C",VLOOKUP(V48,'Catalogue Aluminium'!$Q$9:$S$28,2,FALSE),VLOOKUP(V48,'Catalogue Aluminium'!$Q$9:$S$28,3)),IF(T48="GROUND",IF(U48="1C",VLOOKUP(V48,'Catalogue Aluminium'!$Q$9:$S$28,2,FALSE),VLOOKUP(V48,'Catalogue Aluminium'!$Q$9:$S$28,3))))))</f>
        <v>NA</v>
      </c>
      <c r="AN48" s="312">
        <f t="shared" si="97"/>
        <v>0.58740000000000003</v>
      </c>
      <c r="AO48" s="304">
        <f t="shared" si="98"/>
        <v>129.81540000000001</v>
      </c>
      <c r="AP48" s="309">
        <v>2</v>
      </c>
      <c r="AQ48" s="304" t="str">
        <f t="shared" si="99"/>
        <v>YES</v>
      </c>
      <c r="AR48" s="312">
        <f t="shared" si="100"/>
        <v>1.4570089618204722</v>
      </c>
      <c r="AS48" s="294" t="str">
        <f t="shared" si="101"/>
        <v>YES</v>
      </c>
      <c r="AT48" s="312">
        <f t="shared" si="102"/>
        <v>3.4753862138333447</v>
      </c>
      <c r="AU48" s="294" t="str">
        <f t="shared" si="103"/>
        <v>YES</v>
      </c>
      <c r="AV48" s="353" t="str">
        <f t="shared" si="104"/>
        <v>2R x 0.6/1kV x 3C x 95 Sqmm</v>
      </c>
      <c r="AW48" s="353" t="str">
        <f t="shared" si="105"/>
        <v>2R x 0.6/1kV x 3C x 95+PE Sqmm</v>
      </c>
      <c r="AX48" s="294">
        <f t="shared" si="106"/>
        <v>884</v>
      </c>
      <c r="AY48" s="354"/>
    </row>
    <row r="49" spans="1:51" s="576" customFormat="1" ht="20.149999999999999" customHeight="1">
      <c r="A49" s="298">
        <f>1+A47</f>
        <v>30</v>
      </c>
      <c r="B49" s="298" t="s">
        <v>382</v>
      </c>
      <c r="C49" s="298" t="s">
        <v>344</v>
      </c>
      <c r="D49" s="593" t="s">
        <v>394</v>
      </c>
      <c r="E49" s="418" t="s">
        <v>310</v>
      </c>
      <c r="F49" s="298" t="s">
        <v>29</v>
      </c>
      <c r="G49" s="298" t="s">
        <v>298</v>
      </c>
      <c r="H49" s="573">
        <v>0.06</v>
      </c>
      <c r="I49" s="298" t="s">
        <v>299</v>
      </c>
      <c r="J49" s="298" t="s">
        <v>313</v>
      </c>
      <c r="K49" s="423">
        <v>230</v>
      </c>
      <c r="L49" s="301">
        <v>0.85</v>
      </c>
      <c r="M49" s="421">
        <v>0.95</v>
      </c>
      <c r="N49" s="299">
        <f t="shared" ref="N49" si="119">IF(I49="kVA",IF(J49="3Ph",(H49*1000/(1.732*M49*K49)),(H49*1000/(M49*K49))),IF(I49="kW",IF(J49="3Ph",(H49*1000/(1.732*M49*K49*L49)),(H49*1000/(M49*K49*L49)))))</f>
        <v>0.32305828509893664</v>
      </c>
      <c r="O49" s="299">
        <f t="shared" ref="O49" si="120">IF(G49="MOTOR",(6*N49),IF(G49="VFD",(1*N49),0))</f>
        <v>0</v>
      </c>
      <c r="P49" s="301" t="str">
        <f t="shared" ref="P49" si="121">IF(G49="MOTOR",0.2,"0.00")</f>
        <v>0.00</v>
      </c>
      <c r="Q49" s="421">
        <v>65</v>
      </c>
      <c r="R49" s="421">
        <v>0</v>
      </c>
      <c r="S49" s="421">
        <f t="shared" ref="S49" si="122">(Q49*1000*SQRT(R49)/143)</f>
        <v>0</v>
      </c>
      <c r="T49" s="301" t="s">
        <v>131</v>
      </c>
      <c r="U49" s="421" t="s">
        <v>302</v>
      </c>
      <c r="V49" s="301">
        <v>2.5</v>
      </c>
      <c r="W49" s="301" t="str">
        <f t="shared" ref="W49" si="123">CONCATENATE(U49," X ",V49)</f>
        <v>3C X 2.5</v>
      </c>
      <c r="X49" s="301" t="str">
        <f t="shared" ref="X49" si="124">(IF(J49="1Ph",W49,IF(J49="3Ph",(IF(G49="MOTOR",(CONCATENATE(W49,"+PE")),W49)))))</f>
        <v>3C X 2.5</v>
      </c>
      <c r="Y49" s="301" t="s">
        <v>314</v>
      </c>
      <c r="Z49" s="300">
        <f>IF(T49="AIR",VLOOKUP(W49,'Catalogue Aluminium'!$B$9:$G$91,2,FALSE),IF(T49="GROUND",VLOOKUP(W49,'Catalogue Aluminium'!$B$9:$G$91,3,FALSE),IF(T49="DUCT",VLOOKUP(W49,'Catalogue Aluminium'!$B$9:$G$91,4,FALSE),IF(T49="TRENCH",VLOOKUP(W49,'Catalogue Aluminium'!$B$9:$G$91,2,FALSE)))))</f>
        <v>28</v>
      </c>
      <c r="AA49" s="302">
        <f>VLOOKUP(W49,'Catalogue Aluminium'!$B$9:$G$91,5,FALSE)</f>
        <v>9.48</v>
      </c>
      <c r="AB49" s="302">
        <f>VLOOKUP(W49,'Catalogue Aluminium'!$B$9:$G$91,6,FALSE)</f>
        <v>0.1007</v>
      </c>
      <c r="AC49" s="301">
        <f t="shared" si="118"/>
        <v>20</v>
      </c>
      <c r="AD49" s="301">
        <f t="shared" si="109"/>
        <v>335</v>
      </c>
      <c r="AE49" s="301">
        <f t="shared" si="94"/>
        <v>38</v>
      </c>
      <c r="AF49" s="301">
        <v>8</v>
      </c>
      <c r="AG49" s="301">
        <f t="shared" ref="AG49" si="125">ROUNDUP((SUM(AC49:AF49)*0.1),0)</f>
        <v>41</v>
      </c>
      <c r="AH49" s="574">
        <f t="shared" ref="AH49" si="126">SUM(AC49:AG49)</f>
        <v>442</v>
      </c>
      <c r="AI49" s="300">
        <f>IF(T49="AIR",'Catalogue Aluminium'!$K$9,IF(T49="TRENCH",'Catalogue Aluminium'!$K$12,"NA"))</f>
        <v>0.89</v>
      </c>
      <c r="AJ49" s="299">
        <f>IF(T49="Air",(IF(U49="1C",'Catalogue Aluminium'!$L$9,'Catalogue Aluminium'!$M$9)),IF(T49="DUCT",(IF($U49="1C",'Catalogue Aluminium'!$L$10,'Catalogue Aluminium'!$M$10)),IF(T49="GROUND",(IF($U49="1C",'Catalogue Aluminium'!$L$11,'Catalogue Aluminium'!$M$11)),IF(T49="TRENCH",(IF($U49="1C",'Catalogue Aluminium'!$L$12,'Catalogue Aluminium'!$M$12))))))</f>
        <v>0.66</v>
      </c>
      <c r="AK49" s="300" t="str">
        <f>IF(T49="Air",'Catalogue Aluminium'!$N$9,IF(T49="GROUND",'Catalogue Aluminium'!$N$10,IF(T49="DUCT",'Catalogue Aluminium'!$N$11,IF(T49="TRENCH",'Catalogue Aluminium'!$N$12,"NA"))))</f>
        <v>NA</v>
      </c>
      <c r="AL49" s="300" t="str">
        <f>IF(T49="Air",(IF(U49="1C",'Catalogue Aluminium'!$O$9,'Catalogue Aluminium'!$P$9)),IF(T49="DUCT",(IF($U49="1C",'Catalogue Aluminium'!$O$10,'Catalogue Aluminium'!$P$10)),IF(T49="GROUND",(IF($U49="1C",'Catalogue Aluminium'!$O$11,'Catalogue Aluminium'!$P$11)),IF(T49="TRENCH",(IF($U49="1C",'Catalogue Aluminium'!$O$12,'Catalogue Aluminium'!$P$12))))))</f>
        <v>NA</v>
      </c>
      <c r="AM49" s="300" t="str">
        <f>IF(T49="AIR","NA",IF(T49="TRENCH","NA",IF(T49="DUCT",IF(U49="1C",VLOOKUP(V49,'Catalogue Aluminium'!$Q$9:$S$28,2,FALSE),VLOOKUP(V49,'Catalogue Aluminium'!$Q$9:$S$28,3)),IF(T49="GROUND",IF(U49="1C",VLOOKUP(V49,'Catalogue Aluminium'!$Q$9:$S$28,2,FALSE),VLOOKUP(V49,'Catalogue Aluminium'!$Q$9:$S$28,3))))))</f>
        <v>NA</v>
      </c>
      <c r="AN49" s="422">
        <f t="shared" ref="AN49" si="127">IF(T49="AIR",AI49*AJ49,IF(T49="TRENCH",AI49*AJ49,IF(T49="DUCT",AJ49*AK49*AL49*AM49,IF(T49="GROUND",AJ49*AK49*AL49*AM49))))</f>
        <v>0.58740000000000003</v>
      </c>
      <c r="AO49" s="421">
        <f t="shared" ref="AO49" si="128">Z49*AN49</f>
        <v>16.447200000000002</v>
      </c>
      <c r="AP49" s="423">
        <v>1</v>
      </c>
      <c r="AQ49" s="421" t="str">
        <f t="shared" ref="AQ49" si="129">IF(AO49*AP49&gt;=N49,"YES","NO")</f>
        <v>YES</v>
      </c>
      <c r="AR49" s="422">
        <f t="shared" ref="AR49" si="130">SQRT(3)*AH49*N49*((AA49*L49)+(AB49*SIN(ACOS(L49))))*100/(AP49*K49*1000)</f>
        <v>0.87219353438423497</v>
      </c>
      <c r="AS49" s="301" t="str">
        <f t="shared" ref="AS49" si="131">IF(G49="INCOMER",(IF(AR49&lt;=2,"YES","NO")),IF(G49="POWER",(IF(AR49&lt;=2.5,"YES","NO")),IF(G49="MOTOR",(IF(AR49&lt;=3,"YES","NO")))))</f>
        <v>YES</v>
      </c>
      <c r="AT49" s="422" t="str">
        <f t="shared" si="102"/>
        <v>NA</v>
      </c>
      <c r="AU49" s="301" t="str">
        <f t="shared" si="103"/>
        <v>NA</v>
      </c>
      <c r="AV49" s="424" t="str">
        <f t="shared" si="104"/>
        <v>1R x 0.6/1kV x 3C x 2.5 Sqmm</v>
      </c>
      <c r="AW49" s="424" t="str">
        <f t="shared" si="105"/>
        <v>1R x 0.6/1kV x 3C x 2.5 Sqmm</v>
      </c>
      <c r="AX49" s="301">
        <f t="shared" si="106"/>
        <v>442</v>
      </c>
      <c r="AY49" s="575"/>
    </row>
    <row r="50" spans="1:51" ht="20.149999999999999" customHeight="1">
      <c r="A50" s="285">
        <f>1+A48</f>
        <v>30</v>
      </c>
      <c r="B50" s="285" t="s">
        <v>382</v>
      </c>
      <c r="C50" s="285" t="s">
        <v>344</v>
      </c>
      <c r="D50" s="363" t="s">
        <v>395</v>
      </c>
      <c r="E50" s="352" t="s">
        <v>310</v>
      </c>
      <c r="F50" s="285" t="s">
        <v>28</v>
      </c>
      <c r="G50" s="285" t="s">
        <v>298</v>
      </c>
      <c r="H50" s="421">
        <v>0.4</v>
      </c>
      <c r="I50" s="285" t="s">
        <v>299</v>
      </c>
      <c r="J50" s="298" t="s">
        <v>313</v>
      </c>
      <c r="K50" s="423">
        <v>230</v>
      </c>
      <c r="L50" s="294">
        <v>0.85</v>
      </c>
      <c r="M50" s="304">
        <v>0.95</v>
      </c>
      <c r="N50" s="287">
        <f t="shared" si="88"/>
        <v>2.1537219006595776</v>
      </c>
      <c r="O50" s="287">
        <f t="shared" si="108"/>
        <v>0</v>
      </c>
      <c r="P50" s="294" t="str">
        <f t="shared" si="89"/>
        <v>0.00</v>
      </c>
      <c r="Q50" s="304">
        <v>65</v>
      </c>
      <c r="R50" s="304">
        <v>0</v>
      </c>
      <c r="S50" s="304">
        <f t="shared" si="90"/>
        <v>0</v>
      </c>
      <c r="T50" s="294" t="s">
        <v>131</v>
      </c>
      <c r="U50" s="304" t="s">
        <v>302</v>
      </c>
      <c r="V50" s="294">
        <v>6</v>
      </c>
      <c r="W50" s="294" t="str">
        <f t="shared" si="91"/>
        <v>3C X 6</v>
      </c>
      <c r="X50" s="294" t="str">
        <f t="shared" si="92"/>
        <v>3C X 6</v>
      </c>
      <c r="Y50" s="294" t="s">
        <v>314</v>
      </c>
      <c r="Z50" s="288">
        <f>IF(T50="AIR",VLOOKUP(W50,'Catalogue Aluminium'!$B$9:$G$91,2,FALSE),IF(T50="GROUND",VLOOKUP(W50,'Catalogue Aluminium'!$B$9:$G$91,3,FALSE),IF(T50="DUCT",VLOOKUP(W50,'Catalogue Aluminium'!$B$9:$G$91,4,FALSE),IF(T50="TRENCH",VLOOKUP(W50,'Catalogue Aluminium'!$B$9:$G$91,2,FALSE)))))</f>
        <v>51</v>
      </c>
      <c r="AA50" s="295">
        <f>VLOOKUP(W50,'Catalogue Aluminium'!$B$9:$G$91,5,FALSE)</f>
        <v>3.94</v>
      </c>
      <c r="AB50" s="295">
        <f>VLOOKUP(W50,'Catalogue Aluminium'!$B$9:$G$91,6,FALSE)</f>
        <v>9.0200000000000002E-2</v>
      </c>
      <c r="AC50" s="294">
        <f t="shared" ref="AC50:AC54" si="132">26+3</f>
        <v>29</v>
      </c>
      <c r="AD50" s="294">
        <f t="shared" si="109"/>
        <v>335</v>
      </c>
      <c r="AE50" s="294">
        <f t="shared" si="94"/>
        <v>38</v>
      </c>
      <c r="AF50" s="294">
        <v>8</v>
      </c>
      <c r="AG50" s="294">
        <f t="shared" si="95"/>
        <v>41</v>
      </c>
      <c r="AH50" s="311">
        <f t="shared" si="96"/>
        <v>451</v>
      </c>
      <c r="AI50" s="288">
        <f>IF(T50="AIR",'Catalogue Aluminium'!$K$9,IF(T50="TRENCH",'Catalogue Aluminium'!$K$12,"NA"))</f>
        <v>0.89</v>
      </c>
      <c r="AJ50" s="287">
        <f>IF(T50="Air",(IF(U50="1C",'Catalogue Aluminium'!$L$9,'Catalogue Aluminium'!$M$9)),IF(T50="DUCT",(IF($U50="1C",'Catalogue Aluminium'!$L$10,'Catalogue Aluminium'!$M$10)),IF(T50="GROUND",(IF($U50="1C",'Catalogue Aluminium'!$L$11,'Catalogue Aluminium'!$M$11)),IF(T50="TRENCH",(IF($U50="1C",'Catalogue Aluminium'!$L$12,'Catalogue Aluminium'!$M$12))))))</f>
        <v>0.66</v>
      </c>
      <c r="AK50" s="288" t="str">
        <f>IF(T50="Air",'Catalogue Aluminium'!$N$9,IF(T50="GROUND",'Catalogue Aluminium'!$N$10,IF(T50="DUCT",'Catalogue Aluminium'!$N$11,IF(T50="TRENCH",'Catalogue Aluminium'!$N$12,"NA"))))</f>
        <v>NA</v>
      </c>
      <c r="AL50" s="288" t="str">
        <f>IF(T50="Air",(IF(U50="1C",'Catalogue Aluminium'!$O$9,'Catalogue Aluminium'!$P$9)),IF(T50="DUCT",(IF($U50="1C",'Catalogue Aluminium'!$O$10,'Catalogue Aluminium'!$P$10)),IF(T50="GROUND",(IF($U50="1C",'Catalogue Aluminium'!$O$11,'Catalogue Aluminium'!$P$11)),IF(T50="TRENCH",(IF($U50="1C",'Catalogue Aluminium'!$O$12,'Catalogue Aluminium'!$P$12))))))</f>
        <v>NA</v>
      </c>
      <c r="AM50" s="288" t="str">
        <f>IF(T50="AIR","NA",IF(T50="TRENCH","NA",IF(T50="DUCT",IF(U50="1C",VLOOKUP(V50,'Catalogue Aluminium'!$Q$9:$S$28,2,FALSE),VLOOKUP(V50,'Catalogue Aluminium'!$Q$9:$S$28,3)),IF(T50="GROUND",IF(U50="1C",VLOOKUP(V50,'Catalogue Aluminium'!$Q$9:$S$28,2,FALSE),VLOOKUP(V50,'Catalogue Aluminium'!$Q$9:$S$28,3))))))</f>
        <v>NA</v>
      </c>
      <c r="AN50" s="312">
        <f t="shared" si="97"/>
        <v>0.58740000000000003</v>
      </c>
      <c r="AO50" s="304">
        <f t="shared" si="98"/>
        <v>29.957400000000003</v>
      </c>
      <c r="AP50" s="309">
        <f t="shared" si="10"/>
        <v>1</v>
      </c>
      <c r="AQ50" s="304" t="str">
        <f t="shared" si="99"/>
        <v>YES</v>
      </c>
      <c r="AR50" s="312">
        <f t="shared" si="100"/>
        <v>2.4844633612285398</v>
      </c>
      <c r="AS50" s="294" t="str">
        <f t="shared" si="101"/>
        <v>YES</v>
      </c>
      <c r="AT50" s="312" t="str">
        <f t="shared" si="102"/>
        <v>NA</v>
      </c>
      <c r="AU50" s="294" t="str">
        <f t="shared" si="103"/>
        <v>NA</v>
      </c>
      <c r="AV50" s="353" t="str">
        <f t="shared" si="104"/>
        <v>1R x 0.6/1kV x 3C x 6 Sqmm</v>
      </c>
      <c r="AW50" s="353" t="str">
        <f t="shared" si="105"/>
        <v>1R x 0.6/1kV x 3C x 6 Sqmm</v>
      </c>
      <c r="AX50" s="294">
        <f t="shared" si="106"/>
        <v>451</v>
      </c>
      <c r="AY50" s="354"/>
    </row>
    <row r="51" spans="1:51" ht="20.149999999999999" customHeight="1">
      <c r="A51" s="285">
        <f t="shared" si="107"/>
        <v>31</v>
      </c>
      <c r="B51" s="298" t="s">
        <v>986</v>
      </c>
      <c r="C51" s="285" t="s">
        <v>344</v>
      </c>
      <c r="D51" s="363" t="s">
        <v>396</v>
      </c>
      <c r="E51" s="352" t="s">
        <v>310</v>
      </c>
      <c r="F51" s="285" t="s">
        <v>29</v>
      </c>
      <c r="G51" s="285" t="s">
        <v>311</v>
      </c>
      <c r="H51" s="421">
        <v>3.7</v>
      </c>
      <c r="I51" s="285" t="s">
        <v>299</v>
      </c>
      <c r="J51" s="285" t="s">
        <v>300</v>
      </c>
      <c r="K51" s="309">
        <v>400</v>
      </c>
      <c r="L51" s="294">
        <v>0.85</v>
      </c>
      <c r="M51" s="304">
        <v>0.95</v>
      </c>
      <c r="N51" s="287">
        <f t="shared" si="88"/>
        <v>6.6138039025018065</v>
      </c>
      <c r="O51" s="287">
        <f t="shared" si="108"/>
        <v>39.682823415010837</v>
      </c>
      <c r="P51" s="294">
        <f t="shared" si="89"/>
        <v>0.2</v>
      </c>
      <c r="Q51" s="304">
        <v>65</v>
      </c>
      <c r="R51" s="304">
        <v>0</v>
      </c>
      <c r="S51" s="304">
        <f t="shared" si="90"/>
        <v>0</v>
      </c>
      <c r="T51" s="294" t="s">
        <v>131</v>
      </c>
      <c r="U51" s="304" t="s">
        <v>302</v>
      </c>
      <c r="V51" s="294">
        <v>16</v>
      </c>
      <c r="W51" s="294" t="str">
        <f t="shared" si="91"/>
        <v>3C X 16</v>
      </c>
      <c r="X51" s="294" t="str">
        <f t="shared" si="92"/>
        <v>3C X 16+PE</v>
      </c>
      <c r="Y51" s="294" t="s">
        <v>314</v>
      </c>
      <c r="Z51" s="288">
        <f>IF(T51="AIR",VLOOKUP(W51,'Catalogue Aluminium'!$B$9:$G$91,2,FALSE),IF(T51="GROUND",VLOOKUP(W51,'Catalogue Aluminium'!$B$9:$G$91,3,FALSE),IF(T51="DUCT",VLOOKUP(W51,'Catalogue Aluminium'!$B$9:$G$91,4,FALSE),IF(T51="TRENCH",VLOOKUP(W51,'Catalogue Aluminium'!$B$9:$G$91,2,FALSE)))))</f>
        <v>70</v>
      </c>
      <c r="AA51" s="295">
        <f>VLOOKUP(W51,'Catalogue Aluminium'!$B$9:$G$91,5,FALSE)</f>
        <v>2.44</v>
      </c>
      <c r="AB51" s="295">
        <f>VLOOKUP(W51,'Catalogue Aluminium'!$B$9:$G$91,6,FALSE)</f>
        <v>8.1500000000000003E-2</v>
      </c>
      <c r="AC51" s="294">
        <f t="shared" ref="AC51" si="133">17+3</f>
        <v>20</v>
      </c>
      <c r="AD51" s="294">
        <f t="shared" si="109"/>
        <v>335</v>
      </c>
      <c r="AE51" s="294">
        <f t="shared" si="94"/>
        <v>38</v>
      </c>
      <c r="AF51" s="294">
        <v>8</v>
      </c>
      <c r="AG51" s="294">
        <f t="shared" si="95"/>
        <v>41</v>
      </c>
      <c r="AH51" s="311">
        <f t="shared" si="96"/>
        <v>442</v>
      </c>
      <c r="AI51" s="288">
        <f>IF(T51="AIR",'Catalogue Aluminium'!$K$9,IF(T51="TRENCH",'Catalogue Aluminium'!$K$12,"NA"))</f>
        <v>0.89</v>
      </c>
      <c r="AJ51" s="287">
        <f>IF(T51="Air",(IF(U51="1C",'Catalogue Aluminium'!$L$9,'Catalogue Aluminium'!$M$9)),IF(T51="DUCT",(IF($U51="1C",'Catalogue Aluminium'!$L$10,'Catalogue Aluminium'!$M$10)),IF(T51="GROUND",(IF($U51="1C",'Catalogue Aluminium'!$L$11,'Catalogue Aluminium'!$M$11)),IF(T51="TRENCH",(IF($U51="1C",'Catalogue Aluminium'!$L$12,'Catalogue Aluminium'!$M$12))))))</f>
        <v>0.66</v>
      </c>
      <c r="AK51" s="288" t="str">
        <f>IF(T51="Air",'Catalogue Aluminium'!$N$9,IF(T51="GROUND",'Catalogue Aluminium'!$N$10,IF(T51="DUCT",'Catalogue Aluminium'!$N$11,IF(T51="TRENCH",'Catalogue Aluminium'!$N$12,"NA"))))</f>
        <v>NA</v>
      </c>
      <c r="AL51" s="288" t="str">
        <f>IF(T51="Air",(IF(U51="1C",'Catalogue Aluminium'!$O$9,'Catalogue Aluminium'!$P$9)),IF(T51="DUCT",(IF($U51="1C",'Catalogue Aluminium'!$O$10,'Catalogue Aluminium'!$P$10)),IF(T51="GROUND",(IF($U51="1C",'Catalogue Aluminium'!$O$11,'Catalogue Aluminium'!$P$11)),IF(T51="TRENCH",(IF($U51="1C",'Catalogue Aluminium'!$O$12,'Catalogue Aluminium'!$P$12))))))</f>
        <v>NA</v>
      </c>
      <c r="AM51" s="288" t="str">
        <f>IF(T51="AIR","NA",IF(T51="TRENCH","NA",IF(T51="DUCT",IF(U51="1C",VLOOKUP(V51,'Catalogue Aluminium'!$Q$9:$S$28,2,FALSE),VLOOKUP(V51,'Catalogue Aluminium'!$Q$9:$S$28,3)),IF(T51="GROUND",IF(U51="1C",VLOOKUP(V51,'Catalogue Aluminium'!$Q$9:$S$28,2,FALSE),VLOOKUP(V51,'Catalogue Aluminium'!$Q$9:$S$28,3))))))</f>
        <v>NA</v>
      </c>
      <c r="AN51" s="312">
        <f t="shared" si="97"/>
        <v>0.58740000000000003</v>
      </c>
      <c r="AO51" s="304">
        <f t="shared" si="98"/>
        <v>41.118000000000002</v>
      </c>
      <c r="AP51" s="309">
        <f t="shared" si="10"/>
        <v>1</v>
      </c>
      <c r="AQ51" s="304" t="str">
        <f t="shared" si="99"/>
        <v>YES</v>
      </c>
      <c r="AR51" s="312">
        <f t="shared" si="100"/>
        <v>2.6796698456691224</v>
      </c>
      <c r="AS51" s="294" t="str">
        <f t="shared" si="101"/>
        <v>YES</v>
      </c>
      <c r="AT51" s="312">
        <f t="shared" si="102"/>
        <v>4.3128233880892495</v>
      </c>
      <c r="AU51" s="294" t="str">
        <f t="shared" si="103"/>
        <v>YES</v>
      </c>
      <c r="AV51" s="353" t="str">
        <f t="shared" si="104"/>
        <v>1R x 0.6/1kV x 3C x 16 Sqmm</v>
      </c>
      <c r="AW51" s="353" t="str">
        <f t="shared" si="105"/>
        <v>1R x 0.6/1kV x 3C x 16+PE Sqmm</v>
      </c>
      <c r="AX51" s="294">
        <f t="shared" si="106"/>
        <v>442</v>
      </c>
      <c r="AY51" s="354"/>
    </row>
    <row r="52" spans="1:51" ht="20.149999999999999" customHeight="1">
      <c r="A52" s="285">
        <f t="shared" si="107"/>
        <v>32</v>
      </c>
      <c r="B52" s="298" t="s">
        <v>987</v>
      </c>
      <c r="C52" s="285" t="s">
        <v>344</v>
      </c>
      <c r="D52" s="593" t="s">
        <v>984</v>
      </c>
      <c r="E52" s="352" t="s">
        <v>310</v>
      </c>
      <c r="F52" s="285" t="s">
        <v>28</v>
      </c>
      <c r="G52" s="285" t="s">
        <v>311</v>
      </c>
      <c r="H52" s="421">
        <v>1.5</v>
      </c>
      <c r="I52" s="285" t="s">
        <v>299</v>
      </c>
      <c r="J52" s="285" t="s">
        <v>300</v>
      </c>
      <c r="K52" s="309">
        <v>400</v>
      </c>
      <c r="L52" s="294">
        <v>0.85</v>
      </c>
      <c r="M52" s="304">
        <v>0.95</v>
      </c>
      <c r="N52" s="287">
        <f t="shared" si="88"/>
        <v>2.681271852365597</v>
      </c>
      <c r="O52" s="287">
        <f t="shared" si="108"/>
        <v>16.087631114193581</v>
      </c>
      <c r="P52" s="294">
        <f t="shared" si="89"/>
        <v>0.2</v>
      </c>
      <c r="Q52" s="304">
        <v>65</v>
      </c>
      <c r="R52" s="304">
        <v>0</v>
      </c>
      <c r="S52" s="304">
        <f t="shared" si="90"/>
        <v>0</v>
      </c>
      <c r="T52" s="294" t="s">
        <v>131</v>
      </c>
      <c r="U52" s="304" t="s">
        <v>302</v>
      </c>
      <c r="V52" s="294">
        <v>4</v>
      </c>
      <c r="W52" s="294" t="str">
        <f t="shared" si="91"/>
        <v>3C X 4</v>
      </c>
      <c r="X52" s="294" t="str">
        <f t="shared" si="92"/>
        <v>3C X 4+PE</v>
      </c>
      <c r="Y52" s="294" t="s">
        <v>314</v>
      </c>
      <c r="Z52" s="288">
        <f>IF(T52="AIR",VLOOKUP(W52,'Catalogue Aluminium'!$B$9:$G$91,2,FALSE),IF(T52="GROUND",VLOOKUP(W52,'Catalogue Aluminium'!$B$9:$G$91,3,FALSE),IF(T52="DUCT",VLOOKUP(W52,'Catalogue Aluminium'!$B$9:$G$91,4,FALSE),IF(T52="TRENCH",VLOOKUP(W52,'Catalogue Aluminium'!$B$9:$G$91,2,FALSE)))))</f>
        <v>38</v>
      </c>
      <c r="AA52" s="295">
        <f>VLOOKUP(W52,'Catalogue Aluminium'!$B$9:$G$91,5,FALSE)</f>
        <v>5.9</v>
      </c>
      <c r="AB52" s="295">
        <f>VLOOKUP(W52,'Catalogue Aluminium'!$B$9:$G$91,6,FALSE)</f>
        <v>9.4700000000000006E-2</v>
      </c>
      <c r="AC52" s="294">
        <f t="shared" si="132"/>
        <v>29</v>
      </c>
      <c r="AD52" s="294">
        <f t="shared" si="109"/>
        <v>335</v>
      </c>
      <c r="AE52" s="294">
        <f t="shared" si="94"/>
        <v>38</v>
      </c>
      <c r="AF52" s="294">
        <v>8</v>
      </c>
      <c r="AG52" s="294">
        <f t="shared" si="95"/>
        <v>41</v>
      </c>
      <c r="AH52" s="311">
        <f t="shared" si="96"/>
        <v>451</v>
      </c>
      <c r="AI52" s="288">
        <f>IF(T52="AIR",'Catalogue Aluminium'!$K$9,IF(T52="TRENCH",'Catalogue Aluminium'!$K$12,"NA"))</f>
        <v>0.89</v>
      </c>
      <c r="AJ52" s="287">
        <f>IF(T52="Air",(IF(U52="1C",'Catalogue Aluminium'!$L$9,'Catalogue Aluminium'!$M$9)),IF(T52="DUCT",(IF($U52="1C",'Catalogue Aluminium'!$L$10,'Catalogue Aluminium'!$M$10)),IF(T52="GROUND",(IF($U52="1C",'Catalogue Aluminium'!$L$11,'Catalogue Aluminium'!$M$11)),IF(T52="TRENCH",(IF($U52="1C",'Catalogue Aluminium'!$L$12,'Catalogue Aluminium'!$M$12))))))</f>
        <v>0.66</v>
      </c>
      <c r="AK52" s="288" t="str">
        <f>IF(T52="Air",'Catalogue Aluminium'!$N$9,IF(T52="GROUND",'Catalogue Aluminium'!$N$10,IF(T52="DUCT",'Catalogue Aluminium'!$N$11,IF(T52="TRENCH",'Catalogue Aluminium'!$N$12,"NA"))))</f>
        <v>NA</v>
      </c>
      <c r="AL52" s="288" t="str">
        <f>IF(T52="Air",(IF(U52="1C",'Catalogue Aluminium'!$O$9,'Catalogue Aluminium'!$P$9)),IF(T52="DUCT",(IF($U52="1C",'Catalogue Aluminium'!$O$10,'Catalogue Aluminium'!$P$10)),IF(T52="GROUND",(IF($U52="1C",'Catalogue Aluminium'!$O$11,'Catalogue Aluminium'!$P$11)),IF(T52="TRENCH",(IF($U52="1C",'Catalogue Aluminium'!$O$12,'Catalogue Aluminium'!$P$12))))))</f>
        <v>NA</v>
      </c>
      <c r="AM52" s="288" t="str">
        <f>IF(T52="AIR","NA",IF(T52="TRENCH","NA",IF(T52="DUCT",IF(U52="1C",VLOOKUP(V52,'Catalogue Aluminium'!$Q$9:$S$28,2,FALSE),VLOOKUP(V52,'Catalogue Aluminium'!$Q$9:$S$28,3)),IF(T52="GROUND",IF(U52="1C",VLOOKUP(V52,'Catalogue Aluminium'!$Q$9:$S$28,2,FALSE),VLOOKUP(V52,'Catalogue Aluminium'!$Q$9:$S$28,3))))))</f>
        <v>NA</v>
      </c>
      <c r="AN52" s="312">
        <f t="shared" si="97"/>
        <v>0.58740000000000003</v>
      </c>
      <c r="AO52" s="304">
        <f t="shared" si="98"/>
        <v>22.321200000000001</v>
      </c>
      <c r="AP52" s="309">
        <f t="shared" si="10"/>
        <v>1</v>
      </c>
      <c r="AQ52" s="304" t="str">
        <f t="shared" si="99"/>
        <v>YES</v>
      </c>
      <c r="AR52" s="312">
        <f t="shared" si="100"/>
        <v>2.6520867707881668</v>
      </c>
      <c r="AS52" s="294" t="str">
        <f t="shared" si="101"/>
        <v>YES</v>
      </c>
      <c r="AT52" s="312">
        <f t="shared" si="102"/>
        <v>3.998755920420217</v>
      </c>
      <c r="AU52" s="294" t="str">
        <f t="shared" si="103"/>
        <v>YES</v>
      </c>
      <c r="AV52" s="353" t="str">
        <f t="shared" si="104"/>
        <v>1R x 0.6/1kV x 3C x 4 Sqmm</v>
      </c>
      <c r="AW52" s="353" t="str">
        <f t="shared" si="105"/>
        <v>1R x 0.6/1kV x 3C x 4+PE Sqmm</v>
      </c>
      <c r="AX52" s="294">
        <f t="shared" si="106"/>
        <v>451</v>
      </c>
      <c r="AY52" s="354"/>
    </row>
    <row r="53" spans="1:51" ht="19.5" customHeight="1">
      <c r="A53" s="285">
        <f t="shared" si="107"/>
        <v>33</v>
      </c>
      <c r="B53" s="298" t="s">
        <v>988</v>
      </c>
      <c r="C53" s="285" t="s">
        <v>344</v>
      </c>
      <c r="D53" s="593" t="s">
        <v>985</v>
      </c>
      <c r="E53" s="352" t="s">
        <v>310</v>
      </c>
      <c r="F53" s="285" t="s">
        <v>29</v>
      </c>
      <c r="G53" s="285" t="s">
        <v>298</v>
      </c>
      <c r="H53" s="421">
        <v>7.5</v>
      </c>
      <c r="I53" s="285" t="s">
        <v>299</v>
      </c>
      <c r="J53" s="285" t="s">
        <v>300</v>
      </c>
      <c r="K53" s="309">
        <v>400</v>
      </c>
      <c r="L53" s="294">
        <v>0.85</v>
      </c>
      <c r="M53" s="304">
        <v>0.95</v>
      </c>
      <c r="N53" s="287">
        <f t="shared" si="88"/>
        <v>13.406359261827985</v>
      </c>
      <c r="O53" s="287">
        <f t="shared" si="108"/>
        <v>0</v>
      </c>
      <c r="P53" s="294" t="str">
        <f t="shared" si="89"/>
        <v>0.00</v>
      </c>
      <c r="Q53" s="304">
        <v>65</v>
      </c>
      <c r="R53" s="304">
        <v>0</v>
      </c>
      <c r="S53" s="304">
        <f t="shared" si="90"/>
        <v>0</v>
      </c>
      <c r="T53" s="294" t="s">
        <v>131</v>
      </c>
      <c r="U53" s="304" t="s">
        <v>390</v>
      </c>
      <c r="V53" s="294">
        <v>35</v>
      </c>
      <c r="W53" s="294" t="str">
        <f t="shared" ref="W53" si="134">CONCATENATE(U53," X ",V53)</f>
        <v>3.5C X 35</v>
      </c>
      <c r="X53" s="294" t="str">
        <f t="shared" ref="X53" si="135">(IF(J53="1Ph",W53,IF(J53="3Ph",(IF(G53="MOTOR",(CONCATENATE(W53,"+PE")),W53)))))</f>
        <v>3.5C X 35</v>
      </c>
      <c r="Y53" s="294" t="s">
        <v>314</v>
      </c>
      <c r="Z53" s="288">
        <f>IF(T53="AIR",VLOOKUP(W53,'Catalogue Aluminium'!$B$9:$G$91,2,FALSE),IF(T53="GROUND",VLOOKUP(W53,'Catalogue Aluminium'!$B$9:$G$91,3,FALSE),IF(T53="DUCT",VLOOKUP(W53,'Catalogue Aluminium'!$B$9:$G$91,4,FALSE),IF(T53="TRENCH",VLOOKUP(W53,'Catalogue Aluminium'!$B$9:$G$91,2,FALSE)))))</f>
        <v>117</v>
      </c>
      <c r="AA53" s="295">
        <f>VLOOKUP(W53,'Catalogue Aluminium'!$B$9:$G$91,5,FALSE)</f>
        <v>1.1100000000000001</v>
      </c>
      <c r="AB53" s="295">
        <f>VLOOKUP(W53,'Catalogue Aluminium'!$B$9:$G$91,6,FALSE)</f>
        <v>7.9399999999999998E-2</v>
      </c>
      <c r="AC53" s="294">
        <f t="shared" ref="AC53" si="136">17+3</f>
        <v>20</v>
      </c>
      <c r="AD53" s="294">
        <f t="shared" si="109"/>
        <v>335</v>
      </c>
      <c r="AE53" s="294">
        <f t="shared" si="94"/>
        <v>38</v>
      </c>
      <c r="AF53" s="294">
        <v>8</v>
      </c>
      <c r="AG53" s="294">
        <f t="shared" si="95"/>
        <v>41</v>
      </c>
      <c r="AH53" s="311">
        <v>437</v>
      </c>
      <c r="AI53" s="288">
        <f>IF(T53="AIR",'Catalogue Aluminium'!$K$9,IF(T53="TRENCH",'Catalogue Aluminium'!$K$12,"NA"))</f>
        <v>0.89</v>
      </c>
      <c r="AJ53" s="287">
        <f>IF(T53="Air",(IF(U53="1C",'Catalogue Aluminium'!$L$9,'Catalogue Aluminium'!$M$9)),IF(T53="DUCT",(IF($U53="1C",'Catalogue Aluminium'!$L$10,'Catalogue Aluminium'!$M$10)),IF(T53="GROUND",(IF($U53="1C",'Catalogue Aluminium'!$L$11,'Catalogue Aluminium'!$M$11)),IF(T53="TRENCH",(IF($U53="1C",'Catalogue Aluminium'!$L$12,'Catalogue Aluminium'!$M$12))))))</f>
        <v>0.66</v>
      </c>
      <c r="AK53" s="288" t="str">
        <f>IF(T53="Air",'Catalogue Aluminium'!$N$9,IF(T53="GROUND",'Catalogue Aluminium'!$N$10,IF(T53="DUCT",'Catalogue Aluminium'!$N$11,IF(T53="TRENCH",'Catalogue Aluminium'!$N$12,"NA"))))</f>
        <v>NA</v>
      </c>
      <c r="AL53" s="288" t="str">
        <f>IF(T53="Air",(IF(U53="1C",'Catalogue Aluminium'!$O$9,'Catalogue Aluminium'!$P$9)),IF(T53="DUCT",(IF($U53="1C",'Catalogue Aluminium'!$O$10,'Catalogue Aluminium'!$P$10)),IF(T53="GROUND",(IF($U53="1C",'Catalogue Aluminium'!$O$11,'Catalogue Aluminium'!$P$11)),IF(T53="TRENCH",(IF($U53="1C",'Catalogue Aluminium'!$O$12,'Catalogue Aluminium'!$P$12))))))</f>
        <v>NA</v>
      </c>
      <c r="AM53" s="288" t="str">
        <f>IF(T53="AIR","NA",IF(T53="TRENCH","NA",IF(T53="DUCT",IF(U53="1C",VLOOKUP(V53,'Catalogue Aluminium'!$Q$9:$S$28,2,FALSE),VLOOKUP(V53,'Catalogue Aluminium'!$Q$9:$S$28,3)),IF(T53="GROUND",IF(U53="1C",VLOOKUP(V53,'Catalogue Aluminium'!$Q$9:$S$28,2,FALSE),VLOOKUP(V53,'Catalogue Aluminium'!$Q$9:$S$28,3))))))</f>
        <v>NA</v>
      </c>
      <c r="AN53" s="312">
        <f t="shared" si="97"/>
        <v>0.58740000000000003</v>
      </c>
      <c r="AO53" s="304">
        <f t="shared" si="98"/>
        <v>68.725800000000007</v>
      </c>
      <c r="AP53" s="309">
        <f t="shared" ref="AP53:AP56" si="137">CEILING(((N53)/AO53),1)</f>
        <v>1</v>
      </c>
      <c r="AQ53" s="304" t="str">
        <f t="shared" ref="AQ53:AQ56" si="138">IF(AO53*AP53&gt;=N53,"YES","NO")</f>
        <v>YES</v>
      </c>
      <c r="AR53" s="312">
        <f t="shared" ref="AR53:AR56" si="139">SQRT(3)*AH53*N53*((AA53*L53)+(AB53*SIN(ACOS(L53))))*100/(AP53*K53*1000)</f>
        <v>2.4996149272500134</v>
      </c>
      <c r="AS53" s="294" t="str">
        <f t="shared" ref="AS53:AS56" si="140">IF(G53="INCOMER",(IF(AR53&lt;=2,"YES","NO")),IF(G53="POWER",(IF(AR53&lt;=2.5,"YES","NO")),IF(G53="MOTOR",(IF(AR53&lt;=3,"YES","NO")))))</f>
        <v>YES</v>
      </c>
      <c r="AT53" s="312" t="str">
        <f t="shared" si="102"/>
        <v>NA</v>
      </c>
      <c r="AU53" s="294" t="str">
        <f t="shared" si="103"/>
        <v>NA</v>
      </c>
      <c r="AV53" s="353" t="str">
        <f t="shared" si="104"/>
        <v>1R x 0.6/1kV x 3.5C x 35 Sqmm</v>
      </c>
      <c r="AW53" s="353" t="str">
        <f t="shared" si="105"/>
        <v>1R x 0.6/1kV x 3.5C x 35 Sqmm</v>
      </c>
      <c r="AX53" s="294">
        <f t="shared" si="106"/>
        <v>437</v>
      </c>
      <c r="AY53" s="354"/>
    </row>
    <row r="54" spans="1:51" ht="20.149999999999999" customHeight="1">
      <c r="A54" s="285">
        <f t="shared" si="107"/>
        <v>34</v>
      </c>
      <c r="B54" s="285" t="s">
        <v>349</v>
      </c>
      <c r="C54" s="285" t="s">
        <v>344</v>
      </c>
      <c r="D54" s="363" t="s">
        <v>397</v>
      </c>
      <c r="E54" s="352" t="s">
        <v>310</v>
      </c>
      <c r="F54" s="285" t="s">
        <v>28</v>
      </c>
      <c r="G54" s="285" t="s">
        <v>311</v>
      </c>
      <c r="H54" s="304">
        <v>7.5</v>
      </c>
      <c r="I54" s="285" t="s">
        <v>299</v>
      </c>
      <c r="J54" s="285" t="s">
        <v>300</v>
      </c>
      <c r="K54" s="309">
        <v>400</v>
      </c>
      <c r="L54" s="294">
        <v>0.85</v>
      </c>
      <c r="M54" s="304">
        <v>0.95</v>
      </c>
      <c r="N54" s="287">
        <f t="shared" si="88"/>
        <v>13.406359261827985</v>
      </c>
      <c r="O54" s="287">
        <f t="shared" si="108"/>
        <v>80.438155570967908</v>
      </c>
      <c r="P54" s="294">
        <f t="shared" si="89"/>
        <v>0.2</v>
      </c>
      <c r="Q54" s="304">
        <v>65</v>
      </c>
      <c r="R54" s="304">
        <v>0</v>
      </c>
      <c r="S54" s="304">
        <f t="shared" si="90"/>
        <v>0</v>
      </c>
      <c r="T54" s="294" t="s">
        <v>131</v>
      </c>
      <c r="U54" s="304" t="s">
        <v>302</v>
      </c>
      <c r="V54" s="294">
        <v>35</v>
      </c>
      <c r="W54" s="294" t="str">
        <f t="shared" si="91"/>
        <v>3C X 35</v>
      </c>
      <c r="X54" s="294" t="str">
        <f t="shared" si="92"/>
        <v>3C X 35+PE</v>
      </c>
      <c r="Y54" s="294" t="s">
        <v>314</v>
      </c>
      <c r="Z54" s="288">
        <f>IF(T54="AIR",VLOOKUP(W54,'Catalogue Aluminium'!$B$9:$G$91,2,FALSE),IF(T54="GROUND",VLOOKUP(W54,'Catalogue Aluminium'!$B$9:$G$91,3,FALSE),IF(T54="DUCT",VLOOKUP(W54,'Catalogue Aluminium'!$B$9:$G$91,4,FALSE),IF(T54="TRENCH",VLOOKUP(W54,'Catalogue Aluminium'!$B$9:$G$91,2,FALSE)))))</f>
        <v>117</v>
      </c>
      <c r="AA54" s="295">
        <f>VLOOKUP(W54,'Catalogue Aluminium'!$B$9:$G$91,5,FALSE)</f>
        <v>1.1100000000000001</v>
      </c>
      <c r="AB54" s="295">
        <f>VLOOKUP(W54,'Catalogue Aluminium'!$B$9:$G$91,6,FALSE)</f>
        <v>7.9399999999999998E-2</v>
      </c>
      <c r="AC54" s="294">
        <f t="shared" si="132"/>
        <v>29</v>
      </c>
      <c r="AD54" s="294">
        <f t="shared" si="109"/>
        <v>335</v>
      </c>
      <c r="AE54" s="294">
        <f t="shared" si="94"/>
        <v>38</v>
      </c>
      <c r="AF54" s="294">
        <v>8</v>
      </c>
      <c r="AG54" s="294">
        <f t="shared" si="95"/>
        <v>41</v>
      </c>
      <c r="AH54" s="311">
        <f t="shared" si="96"/>
        <v>451</v>
      </c>
      <c r="AI54" s="288">
        <f>IF(T54="AIR",'Catalogue Aluminium'!$K$9,IF(T54="TRENCH",'Catalogue Aluminium'!$K$12,"NA"))</f>
        <v>0.89</v>
      </c>
      <c r="AJ54" s="287">
        <f>IF(T54="Air",(IF(U54="1C",'Catalogue Aluminium'!$L$9,'Catalogue Aluminium'!$M$9)),IF(T54="DUCT",(IF($U54="1C",'Catalogue Aluminium'!$L$10,'Catalogue Aluminium'!$M$10)),IF(T54="GROUND",(IF($U54="1C",'Catalogue Aluminium'!$L$11,'Catalogue Aluminium'!$M$11)),IF(T54="TRENCH",(IF($U54="1C",'Catalogue Aluminium'!$L$12,'Catalogue Aluminium'!$M$12))))))</f>
        <v>0.66</v>
      </c>
      <c r="AK54" s="288" t="str">
        <f>IF(T54="Air",'Catalogue Aluminium'!$N$9,IF(T54="GROUND",'Catalogue Aluminium'!$N$10,IF(T54="DUCT",'Catalogue Aluminium'!$N$11,IF(T54="TRENCH",'Catalogue Aluminium'!$N$12,"NA"))))</f>
        <v>NA</v>
      </c>
      <c r="AL54" s="288" t="str">
        <f>IF(T54="Air",(IF(U54="1C",'Catalogue Aluminium'!$O$9,'Catalogue Aluminium'!$P$9)),IF(T54="DUCT",(IF($U54="1C",'Catalogue Aluminium'!$O$10,'Catalogue Aluminium'!$P$10)),IF(T54="GROUND",(IF($U54="1C",'Catalogue Aluminium'!$O$11,'Catalogue Aluminium'!$P$11)),IF(T54="TRENCH",(IF($U54="1C",'Catalogue Aluminium'!$O$12,'Catalogue Aluminium'!$P$12))))))</f>
        <v>NA</v>
      </c>
      <c r="AM54" s="288" t="str">
        <f>IF(T54="AIR","NA",IF(T54="TRENCH","NA",IF(T54="DUCT",IF(U54="1C",VLOOKUP(V54,'Catalogue Aluminium'!$Q$9:$S$28,2,FALSE),VLOOKUP(V54,'Catalogue Aluminium'!$Q$9:$S$28,3)),IF(T54="GROUND",IF(U54="1C",VLOOKUP(V54,'Catalogue Aluminium'!$Q$9:$S$28,2,FALSE),VLOOKUP(V54,'Catalogue Aluminium'!$Q$9:$S$28,3))))))</f>
        <v>NA</v>
      </c>
      <c r="AN54" s="312">
        <f t="shared" si="97"/>
        <v>0.58740000000000003</v>
      </c>
      <c r="AO54" s="304">
        <f t="shared" si="98"/>
        <v>68.725800000000007</v>
      </c>
      <c r="AP54" s="309">
        <f t="shared" si="137"/>
        <v>1</v>
      </c>
      <c r="AQ54" s="304" t="str">
        <f t="shared" si="138"/>
        <v>YES</v>
      </c>
      <c r="AR54" s="312">
        <f t="shared" si="139"/>
        <v>2.5796941240040185</v>
      </c>
      <c r="AS54" s="294" t="str">
        <f t="shared" si="140"/>
        <v>YES</v>
      </c>
      <c r="AT54" s="312">
        <f t="shared" si="102"/>
        <v>4.7093917385444577</v>
      </c>
      <c r="AU54" s="294" t="str">
        <f t="shared" si="103"/>
        <v>YES</v>
      </c>
      <c r="AV54" s="353" t="str">
        <f t="shared" si="104"/>
        <v>1R x 0.6/1kV x 3C x 35 Sqmm</v>
      </c>
      <c r="AW54" s="353" t="str">
        <f t="shared" si="105"/>
        <v>1R x 0.6/1kV x 3C x 35+PE Sqmm</v>
      </c>
      <c r="AX54" s="294">
        <f t="shared" si="106"/>
        <v>451</v>
      </c>
      <c r="AY54" s="354"/>
    </row>
    <row r="55" spans="1:51" ht="20.149999999999999" customHeight="1">
      <c r="A55" s="285">
        <f t="shared" si="107"/>
        <v>35</v>
      </c>
      <c r="B55" s="285" t="s">
        <v>351</v>
      </c>
      <c r="C55" s="285" t="s">
        <v>344</v>
      </c>
      <c r="D55" s="363" t="s">
        <v>398</v>
      </c>
      <c r="E55" s="352" t="s">
        <v>310</v>
      </c>
      <c r="F55" s="285" t="s">
        <v>29</v>
      </c>
      <c r="G55" s="285" t="s">
        <v>311</v>
      </c>
      <c r="H55" s="304">
        <v>7.5</v>
      </c>
      <c r="I55" s="285" t="s">
        <v>299</v>
      </c>
      <c r="J55" s="285" t="s">
        <v>300</v>
      </c>
      <c r="K55" s="309">
        <v>400</v>
      </c>
      <c r="L55" s="294">
        <v>0.85</v>
      </c>
      <c r="M55" s="304">
        <v>0.95</v>
      </c>
      <c r="N55" s="287">
        <f t="shared" si="88"/>
        <v>13.406359261827985</v>
      </c>
      <c r="O55" s="287">
        <f t="shared" si="108"/>
        <v>80.438155570967908</v>
      </c>
      <c r="P55" s="294">
        <f t="shared" si="89"/>
        <v>0.2</v>
      </c>
      <c r="Q55" s="304">
        <v>65</v>
      </c>
      <c r="R55" s="304">
        <v>0</v>
      </c>
      <c r="S55" s="304">
        <f t="shared" si="90"/>
        <v>0</v>
      </c>
      <c r="T55" s="294" t="s">
        <v>131</v>
      </c>
      <c r="U55" s="304" t="s">
        <v>302</v>
      </c>
      <c r="V55" s="294">
        <v>35</v>
      </c>
      <c r="W55" s="294" t="str">
        <f t="shared" si="91"/>
        <v>3C X 35</v>
      </c>
      <c r="X55" s="294" t="str">
        <f t="shared" si="92"/>
        <v>3C X 35+PE</v>
      </c>
      <c r="Y55" s="294" t="s">
        <v>314</v>
      </c>
      <c r="Z55" s="288">
        <f>IF(T55="AIR",VLOOKUP(W55,'Catalogue Aluminium'!$B$9:$G$91,2,FALSE),IF(T55="GROUND",VLOOKUP(W55,'Catalogue Aluminium'!$B$9:$G$91,3,FALSE),IF(T55="DUCT",VLOOKUP(W55,'Catalogue Aluminium'!$B$9:$G$91,4,FALSE),IF(T55="TRENCH",VLOOKUP(W55,'Catalogue Aluminium'!$B$9:$G$91,2,FALSE)))))</f>
        <v>117</v>
      </c>
      <c r="AA55" s="295">
        <f>VLOOKUP(W55,'Catalogue Aluminium'!$B$9:$G$91,5,FALSE)</f>
        <v>1.1100000000000001</v>
      </c>
      <c r="AB55" s="295">
        <f>VLOOKUP(W55,'Catalogue Aluminium'!$B$9:$G$91,6,FALSE)</f>
        <v>7.9399999999999998E-2</v>
      </c>
      <c r="AC55" s="294">
        <f t="shared" ref="AC55:AC57" si="141">17+3</f>
        <v>20</v>
      </c>
      <c r="AD55" s="294">
        <f t="shared" si="109"/>
        <v>335</v>
      </c>
      <c r="AE55" s="294">
        <f t="shared" si="94"/>
        <v>38</v>
      </c>
      <c r="AF55" s="294">
        <v>8</v>
      </c>
      <c r="AG55" s="294">
        <f t="shared" si="95"/>
        <v>41</v>
      </c>
      <c r="AH55" s="311">
        <f t="shared" si="96"/>
        <v>442</v>
      </c>
      <c r="AI55" s="288">
        <f>IF(T55="AIR",'Catalogue Aluminium'!$K$9,IF(T55="TRENCH",'Catalogue Aluminium'!$K$12,"NA"))</f>
        <v>0.89</v>
      </c>
      <c r="AJ55" s="287">
        <f>IF(T55="Air",(IF(U55="1C",'Catalogue Aluminium'!$L$9,'Catalogue Aluminium'!$M$9)),IF(T55="DUCT",(IF($U55="1C",'Catalogue Aluminium'!$L$10,'Catalogue Aluminium'!$M$10)),IF(T55="GROUND",(IF($U55="1C",'Catalogue Aluminium'!$L$11,'Catalogue Aluminium'!$M$11)),IF(T55="TRENCH",(IF($U55="1C",'Catalogue Aluminium'!$L$12,'Catalogue Aluminium'!$M$12))))))</f>
        <v>0.66</v>
      </c>
      <c r="AK55" s="288" t="str">
        <f>IF(T55="Air",'Catalogue Aluminium'!$N$9,IF(T55="GROUND",'Catalogue Aluminium'!$N$10,IF(T55="DUCT",'Catalogue Aluminium'!$N$11,IF(T55="TRENCH",'Catalogue Aluminium'!$N$12,"NA"))))</f>
        <v>NA</v>
      </c>
      <c r="AL55" s="288" t="str">
        <f>IF(T55="Air",(IF(U55="1C",'Catalogue Aluminium'!$O$9,'Catalogue Aluminium'!$P$9)),IF(T55="DUCT",(IF($U55="1C",'Catalogue Aluminium'!$O$10,'Catalogue Aluminium'!$P$10)),IF(T55="GROUND",(IF($U55="1C",'Catalogue Aluminium'!$O$11,'Catalogue Aluminium'!$P$11)),IF(T55="TRENCH",(IF($U55="1C",'Catalogue Aluminium'!$O$12,'Catalogue Aluminium'!$P$12))))))</f>
        <v>NA</v>
      </c>
      <c r="AM55" s="288" t="str">
        <f>IF(T55="AIR","NA",IF(T55="TRENCH","NA",IF(T55="DUCT",IF(U55="1C",VLOOKUP(V55,'Catalogue Aluminium'!$Q$9:$S$28,2,FALSE),VLOOKUP(V55,'Catalogue Aluminium'!$Q$9:$S$28,3)),IF(T55="GROUND",IF(U55="1C",VLOOKUP(V55,'Catalogue Aluminium'!$Q$9:$S$28,2,FALSE),VLOOKUP(V55,'Catalogue Aluminium'!$Q$9:$S$28,3))))))</f>
        <v>NA</v>
      </c>
      <c r="AN55" s="312">
        <f t="shared" si="97"/>
        <v>0.58740000000000003</v>
      </c>
      <c r="AO55" s="304">
        <f t="shared" si="98"/>
        <v>68.725800000000007</v>
      </c>
      <c r="AP55" s="309">
        <f t="shared" si="137"/>
        <v>1</v>
      </c>
      <c r="AQ55" s="304" t="str">
        <f t="shared" si="138"/>
        <v>YES</v>
      </c>
      <c r="AR55" s="312">
        <f t="shared" si="139"/>
        <v>2.5282146403764441</v>
      </c>
      <c r="AS55" s="294" t="str">
        <f t="shared" si="140"/>
        <v>YES</v>
      </c>
      <c r="AT55" s="312">
        <f t="shared" si="102"/>
        <v>4.6154127459792695</v>
      </c>
      <c r="AU55" s="294" t="str">
        <f t="shared" si="103"/>
        <v>YES</v>
      </c>
      <c r="AV55" s="353" t="str">
        <f t="shared" si="104"/>
        <v>1R x 0.6/1kV x 3C x 35 Sqmm</v>
      </c>
      <c r="AW55" s="353" t="str">
        <f t="shared" si="105"/>
        <v>1R x 0.6/1kV x 3C x 35+PE Sqmm</v>
      </c>
      <c r="AX55" s="294">
        <f t="shared" si="106"/>
        <v>442</v>
      </c>
      <c r="AY55" s="354"/>
    </row>
    <row r="56" spans="1:51" s="576" customFormat="1" ht="20.149999999999999" customHeight="1">
      <c r="A56" s="298">
        <f t="shared" si="107"/>
        <v>36</v>
      </c>
      <c r="B56" s="298" t="s">
        <v>382</v>
      </c>
      <c r="C56" s="298" t="s">
        <v>344</v>
      </c>
      <c r="D56" s="593" t="s">
        <v>989</v>
      </c>
      <c r="E56" s="418" t="s">
        <v>310</v>
      </c>
      <c r="F56" s="298" t="s">
        <v>29</v>
      </c>
      <c r="G56" s="298" t="s">
        <v>311</v>
      </c>
      <c r="H56" s="421">
        <v>7.5</v>
      </c>
      <c r="I56" s="298" t="s">
        <v>299</v>
      </c>
      <c r="J56" s="298" t="s">
        <v>300</v>
      </c>
      <c r="K56" s="423">
        <v>400</v>
      </c>
      <c r="L56" s="301">
        <v>0.85</v>
      </c>
      <c r="M56" s="421">
        <v>0.95</v>
      </c>
      <c r="N56" s="299">
        <f t="shared" ref="N56:N57" si="142">IF(I56="kVA",IF(J56="3Ph",(H56*1000/(1.732*M56*K56)),(H56*1000/(M56*K56))),IF(I56="kW",IF(J56="3Ph",(H56*1000/(1.732*M56*K56*L56)),(H56*1000/(M56*K56*L56)))))</f>
        <v>13.406359261827985</v>
      </c>
      <c r="O56" s="299">
        <f t="shared" ref="O56:O57" si="143">IF(G56="MOTOR",(6*N56),IF(G56="VFD",(1*N56),0))</f>
        <v>80.438155570967908</v>
      </c>
      <c r="P56" s="301">
        <f t="shared" ref="P56:P57" si="144">IF(G56="MOTOR",0.2,"0.00")</f>
        <v>0.2</v>
      </c>
      <c r="Q56" s="421">
        <v>65</v>
      </c>
      <c r="R56" s="421">
        <v>0</v>
      </c>
      <c r="S56" s="421">
        <f t="shared" ref="S56:S57" si="145">(Q56*1000*SQRT(R56)/143)</f>
        <v>0</v>
      </c>
      <c r="T56" s="301" t="s">
        <v>131</v>
      </c>
      <c r="U56" s="421" t="s">
        <v>302</v>
      </c>
      <c r="V56" s="301">
        <v>35</v>
      </c>
      <c r="W56" s="301" t="str">
        <f t="shared" ref="W56:W57" si="146">CONCATENATE(U56," X ",V56)</f>
        <v>3C X 35</v>
      </c>
      <c r="X56" s="301" t="str">
        <f t="shared" ref="X56:X57" si="147">(IF(J56="1Ph",W56,IF(J56="3Ph",(IF(G56="MOTOR",(CONCATENATE(W56,"+PE")),W56)))))</f>
        <v>3C X 35+PE</v>
      </c>
      <c r="Y56" s="301" t="s">
        <v>314</v>
      </c>
      <c r="Z56" s="300">
        <f>IF(T56="AIR",VLOOKUP(W56,'Catalogue Aluminium'!$B$9:$G$91,2,FALSE),IF(T56="GROUND",VLOOKUP(W56,'Catalogue Aluminium'!$B$9:$G$91,3,FALSE),IF(T56="DUCT",VLOOKUP(W56,'Catalogue Aluminium'!$B$9:$G$91,4,FALSE),IF(T56="TRENCH",VLOOKUP(W56,'Catalogue Aluminium'!$B$9:$G$91,2,FALSE)))))</f>
        <v>117</v>
      </c>
      <c r="AA56" s="302">
        <f>VLOOKUP(W56,'Catalogue Aluminium'!$B$9:$G$91,5,FALSE)</f>
        <v>1.1100000000000001</v>
      </c>
      <c r="AB56" s="302">
        <f>VLOOKUP(W56,'Catalogue Aluminium'!$B$9:$G$91,6,FALSE)</f>
        <v>7.9399999999999998E-2</v>
      </c>
      <c r="AC56" s="301">
        <f t="shared" si="141"/>
        <v>20</v>
      </c>
      <c r="AD56" s="301">
        <f t="shared" si="109"/>
        <v>335</v>
      </c>
      <c r="AE56" s="301">
        <f t="shared" si="94"/>
        <v>38</v>
      </c>
      <c r="AF56" s="301">
        <v>8</v>
      </c>
      <c r="AG56" s="301">
        <f t="shared" ref="AG56:AG57" si="148">ROUNDUP((SUM(AC56:AF56)*0.1),0)</f>
        <v>41</v>
      </c>
      <c r="AH56" s="574">
        <f t="shared" ref="AH56:AH57" si="149">SUM(AC56:AG56)</f>
        <v>442</v>
      </c>
      <c r="AI56" s="300">
        <f>IF(T56="AIR",'Catalogue Aluminium'!$K$9,IF(T56="TRENCH",'Catalogue Aluminium'!$K$12,"NA"))</f>
        <v>0.89</v>
      </c>
      <c r="AJ56" s="299">
        <f>IF(T56="Air",(IF(U56="1C",'Catalogue Aluminium'!$L$9,'Catalogue Aluminium'!$M$9)),IF(T56="DUCT",(IF($U56="1C",'Catalogue Aluminium'!$L$10,'Catalogue Aluminium'!$M$10)),IF(T56="GROUND",(IF($U56="1C",'Catalogue Aluminium'!$L$11,'Catalogue Aluminium'!$M$11)),IF(T56="TRENCH",(IF($U56="1C",'Catalogue Aluminium'!$L$12,'Catalogue Aluminium'!$M$12))))))</f>
        <v>0.66</v>
      </c>
      <c r="AK56" s="300" t="str">
        <f>IF(T56="Air",'Catalogue Aluminium'!$N$9,IF(T56="GROUND",'Catalogue Aluminium'!$N$10,IF(T56="DUCT",'Catalogue Aluminium'!$N$11,IF(T56="TRENCH",'Catalogue Aluminium'!$N$12,"NA"))))</f>
        <v>NA</v>
      </c>
      <c r="AL56" s="300" t="str">
        <f>IF(T56="Air",(IF(U56="1C",'Catalogue Aluminium'!$O$9,'Catalogue Aluminium'!$P$9)),IF(T56="DUCT",(IF($U56="1C",'Catalogue Aluminium'!$O$10,'Catalogue Aluminium'!$P$10)),IF(T56="GROUND",(IF($U56="1C",'Catalogue Aluminium'!$O$11,'Catalogue Aluminium'!$P$11)),IF(T56="TRENCH",(IF($U56="1C",'Catalogue Aluminium'!$O$12,'Catalogue Aluminium'!$P$12))))))</f>
        <v>NA</v>
      </c>
      <c r="AM56" s="300" t="str">
        <f>IF(T56="AIR","NA",IF(T56="TRENCH","NA",IF(T56="DUCT",IF(U56="1C",VLOOKUP(V56,'Catalogue Aluminium'!$Q$9:$S$28,2,FALSE),VLOOKUP(V56,'Catalogue Aluminium'!$Q$9:$S$28,3)),IF(T56="GROUND",IF(U56="1C",VLOOKUP(V56,'Catalogue Aluminium'!$Q$9:$S$28,2,FALSE),VLOOKUP(V56,'Catalogue Aluminium'!$Q$9:$S$28,3))))))</f>
        <v>NA</v>
      </c>
      <c r="AN56" s="422">
        <f t="shared" ref="AN56:AN57" si="150">IF(T56="AIR",AI56*AJ56,IF(T56="TRENCH",AI56*AJ56,IF(T56="DUCT",AJ56*AK56*AL56*AM56,IF(T56="GROUND",AJ56*AK56*AL56*AM56))))</f>
        <v>0.58740000000000003</v>
      </c>
      <c r="AO56" s="421">
        <f t="shared" ref="AO56:AO57" si="151">Z56*AN56</f>
        <v>68.725800000000007</v>
      </c>
      <c r="AP56" s="423">
        <f t="shared" si="137"/>
        <v>1</v>
      </c>
      <c r="AQ56" s="421" t="str">
        <f t="shared" si="138"/>
        <v>YES</v>
      </c>
      <c r="AR56" s="422">
        <f t="shared" si="139"/>
        <v>2.5282146403764441</v>
      </c>
      <c r="AS56" s="301" t="str">
        <f t="shared" si="140"/>
        <v>YES</v>
      </c>
      <c r="AT56" s="422">
        <f t="shared" ref="AT56:AT57" si="152">IF(G56="MOTOR",(SQRT(3)*AH56*O56*((AA56*P56)+(AB56*SIN(ACOS(P56))))*100/(AP56*K56*1000)),"NA")</f>
        <v>4.6154127459792695</v>
      </c>
      <c r="AU56" s="301" t="str">
        <f t="shared" ref="AU56:AU57" si="153">IF(G56="MOTOR",IF(AT56&lt;=15,"YES","NO"),"NA")</f>
        <v>YES</v>
      </c>
      <c r="AV56" s="424" t="str">
        <f t="shared" ref="AV56:AV57" si="154">IF(U56="1C",CONCATENATE(AP56,"R x ",Y56,"kV x ",U56," x ",V56," Sqmm/Phase"),CONCATENATE(AP56,"R x ",0.6,"/1kV x ",U56," x ",V56," Sqmm"))</f>
        <v>1R x 0.6/1kV x 3C x 35 Sqmm</v>
      </c>
      <c r="AW56" s="424" t="str">
        <f t="shared" ref="AW56:AW57" si="155">IF(U56="1C",CONCATENATE(AP56,"R x ",Y56,"kV x ",U56," x ",V56," Sqmm/Phase"),CONCATENATE(AP56,"R x ",0.6,"/1kV x ",U56," x ",V56,(IF(G56="MOTOR","+PE",""))," Sqmm"))</f>
        <v>1R x 0.6/1kV x 3C x 35+PE Sqmm</v>
      </c>
      <c r="AX56" s="301">
        <f t="shared" ref="AX56:AX57" si="156">(IF(K56=400,(IF(U56="1C",(4*AH56*AP56),(AH56*AP56))),IF(K56=230,(AH56*AP56))))</f>
        <v>442</v>
      </c>
      <c r="AY56" s="575"/>
    </row>
    <row r="57" spans="1:51" s="576" customFormat="1" ht="20.149999999999999" customHeight="1">
      <c r="A57" s="298">
        <f t="shared" si="107"/>
        <v>37</v>
      </c>
      <c r="B57" s="298" t="s">
        <v>382</v>
      </c>
      <c r="C57" s="298" t="s">
        <v>344</v>
      </c>
      <c r="D57" s="593" t="s">
        <v>990</v>
      </c>
      <c r="E57" s="418" t="s">
        <v>310</v>
      </c>
      <c r="F57" s="298" t="s">
        <v>29</v>
      </c>
      <c r="G57" s="298" t="s">
        <v>311</v>
      </c>
      <c r="H57" s="421">
        <v>5.5</v>
      </c>
      <c r="I57" s="298" t="s">
        <v>299</v>
      </c>
      <c r="J57" s="298" t="s">
        <v>300</v>
      </c>
      <c r="K57" s="423">
        <v>400</v>
      </c>
      <c r="L57" s="301">
        <v>0.85</v>
      </c>
      <c r="M57" s="421">
        <v>0.95</v>
      </c>
      <c r="N57" s="299">
        <f t="shared" si="142"/>
        <v>9.8313301253405232</v>
      </c>
      <c r="O57" s="299">
        <f t="shared" si="143"/>
        <v>58.987980752043143</v>
      </c>
      <c r="P57" s="301">
        <f t="shared" si="144"/>
        <v>0.2</v>
      </c>
      <c r="Q57" s="421">
        <v>65</v>
      </c>
      <c r="R57" s="421">
        <v>0</v>
      </c>
      <c r="S57" s="421">
        <f t="shared" si="145"/>
        <v>0</v>
      </c>
      <c r="T57" s="301" t="s">
        <v>131</v>
      </c>
      <c r="U57" s="421" t="s">
        <v>302</v>
      </c>
      <c r="V57" s="301">
        <v>25</v>
      </c>
      <c r="W57" s="301" t="str">
        <f t="shared" si="146"/>
        <v>3C X 25</v>
      </c>
      <c r="X57" s="301" t="str">
        <f t="shared" si="147"/>
        <v>3C X 25+PE</v>
      </c>
      <c r="Y57" s="301" t="s">
        <v>314</v>
      </c>
      <c r="Z57" s="300">
        <f>IF(T57="AIR",VLOOKUP(W57,'Catalogue Aluminium'!$B$9:$G$91,2,FALSE),IF(T57="GROUND",VLOOKUP(W57,'Catalogue Aluminium'!$B$9:$G$91,3,FALSE),IF(T57="DUCT",VLOOKUP(W57,'Catalogue Aluminium'!$B$9:$G$91,4,FALSE),IF(T57="TRENCH",VLOOKUP(W57,'Catalogue Aluminium'!$B$9:$G$91,2,FALSE)))))</f>
        <v>95</v>
      </c>
      <c r="AA57" s="302">
        <f>VLOOKUP(W57,'Catalogue Aluminium'!$B$9:$G$91,5,FALSE)</f>
        <v>1.54</v>
      </c>
      <c r="AB57" s="302">
        <f>VLOOKUP(W57,'Catalogue Aluminium'!$B$9:$G$91,6,FALSE)</f>
        <v>8.1600000000000006E-2</v>
      </c>
      <c r="AC57" s="301">
        <f t="shared" si="141"/>
        <v>20</v>
      </c>
      <c r="AD57" s="301">
        <f t="shared" si="109"/>
        <v>335</v>
      </c>
      <c r="AE57" s="301">
        <f t="shared" si="94"/>
        <v>38</v>
      </c>
      <c r="AF57" s="301">
        <v>8</v>
      </c>
      <c r="AG57" s="301">
        <f t="shared" si="148"/>
        <v>41</v>
      </c>
      <c r="AH57" s="574">
        <f t="shared" si="149"/>
        <v>442</v>
      </c>
      <c r="AI57" s="300">
        <f>IF(T57="AIR",'Catalogue Aluminium'!$K$9,IF(T57="TRENCH",'Catalogue Aluminium'!$K$12,"NA"))</f>
        <v>0.89</v>
      </c>
      <c r="AJ57" s="299">
        <f>IF(T57="Air",(IF(U57="1C",'Catalogue Aluminium'!$L$9,'Catalogue Aluminium'!$M$9)),IF(T57="DUCT",(IF($U57="1C",'Catalogue Aluminium'!$L$10,'Catalogue Aluminium'!$M$10)),IF(T57="GROUND",(IF($U57="1C",'Catalogue Aluminium'!$L$11,'Catalogue Aluminium'!$M$11)),IF(T57="TRENCH",(IF($U57="1C",'Catalogue Aluminium'!$L$12,'Catalogue Aluminium'!$M$12))))))</f>
        <v>0.66</v>
      </c>
      <c r="AK57" s="300" t="str">
        <f>IF(T57="Air",'Catalogue Aluminium'!$N$9,IF(T57="GROUND",'Catalogue Aluminium'!$N$10,IF(T57="DUCT",'Catalogue Aluminium'!$N$11,IF(T57="TRENCH",'Catalogue Aluminium'!$N$12,"NA"))))</f>
        <v>NA</v>
      </c>
      <c r="AL57" s="300" t="str">
        <f>IF(T57="Air",(IF(U57="1C",'Catalogue Aluminium'!$O$9,'Catalogue Aluminium'!$P$9)),IF(T57="DUCT",(IF($U57="1C",'Catalogue Aluminium'!$O$10,'Catalogue Aluminium'!$P$10)),IF(T57="GROUND",(IF($U57="1C",'Catalogue Aluminium'!$O$11,'Catalogue Aluminium'!$P$11)),IF(T57="TRENCH",(IF($U57="1C",'Catalogue Aluminium'!$O$12,'Catalogue Aluminium'!$P$12))))))</f>
        <v>NA</v>
      </c>
      <c r="AM57" s="300" t="str">
        <f>IF(T57="AIR","NA",IF(T57="TRENCH","NA",IF(T57="DUCT",IF(U57="1C",VLOOKUP(V57,'Catalogue Aluminium'!$Q$9:$S$28,2,FALSE),VLOOKUP(V57,'Catalogue Aluminium'!$Q$9:$S$28,3)),IF(T57="GROUND",IF(U57="1C",VLOOKUP(V57,'Catalogue Aluminium'!$Q$9:$S$28,2,FALSE),VLOOKUP(V57,'Catalogue Aluminium'!$Q$9:$S$28,3))))))</f>
        <v>NA</v>
      </c>
      <c r="AN57" s="422">
        <f t="shared" si="150"/>
        <v>0.58740000000000003</v>
      </c>
      <c r="AO57" s="421">
        <f t="shared" si="151"/>
        <v>55.803000000000004</v>
      </c>
      <c r="AP57" s="423">
        <f t="shared" ref="AP57" si="157">CEILING(((N57)/AO57),1)</f>
        <v>1</v>
      </c>
      <c r="AQ57" s="421" t="str">
        <f t="shared" ref="AQ57" si="158">IF(AO57*AP57&gt;=N57,"YES","NO")</f>
        <v>YES</v>
      </c>
      <c r="AR57" s="422">
        <f t="shared" ref="AR57" si="159">SQRT(3)*AH57*N57*((AA57*L57)+(AB57*SIN(ACOS(L57))))*100/(AP57*K57*1000)</f>
        <v>2.543942015835261</v>
      </c>
      <c r="AS57" s="301" t="str">
        <f t="shared" ref="AS57" si="160">IF(G57="INCOMER",(IF(AR57&lt;=2,"YES","NO")),IF(G57="POWER",(IF(AR57&lt;=2.5,"YES","NO")),IF(G57="MOTOR",(IF(AR57&lt;=3,"YES","NO")))))</f>
        <v>YES</v>
      </c>
      <c r="AT57" s="422">
        <f t="shared" si="152"/>
        <v>4.3798949812434662</v>
      </c>
      <c r="AU57" s="301" t="str">
        <f t="shared" si="153"/>
        <v>YES</v>
      </c>
      <c r="AV57" s="424" t="str">
        <f t="shared" si="154"/>
        <v>1R x 0.6/1kV x 3C x 25 Sqmm</v>
      </c>
      <c r="AW57" s="424" t="str">
        <f t="shared" si="155"/>
        <v>1R x 0.6/1kV x 3C x 25+PE Sqmm</v>
      </c>
      <c r="AX57" s="301">
        <f t="shared" si="156"/>
        <v>442</v>
      </c>
      <c r="AY57" s="575"/>
    </row>
    <row r="58" spans="1:51" s="70" customFormat="1" ht="45.75" customHeight="1">
      <c r="A58" s="273"/>
      <c r="B58" s="273"/>
      <c r="C58" s="273"/>
      <c r="D58" s="357" t="s">
        <v>399</v>
      </c>
      <c r="E58" s="365"/>
      <c r="F58" s="359"/>
      <c r="G58" s="273"/>
      <c r="H58" s="281"/>
      <c r="I58" s="273"/>
      <c r="J58" s="273"/>
      <c r="K58" s="280"/>
      <c r="L58" s="275"/>
      <c r="M58" s="281"/>
      <c r="N58" s="274"/>
      <c r="O58" s="274"/>
      <c r="P58" s="275"/>
      <c r="Q58" s="281"/>
      <c r="R58" s="281"/>
      <c r="S58" s="281"/>
      <c r="T58" s="275"/>
      <c r="U58" s="281"/>
      <c r="V58" s="275"/>
      <c r="W58" s="275"/>
      <c r="X58" s="275"/>
      <c r="Y58" s="275"/>
      <c r="Z58" s="276"/>
      <c r="AA58" s="277"/>
      <c r="AB58" s="277"/>
      <c r="AC58" s="277"/>
      <c r="AD58" s="277"/>
      <c r="AE58" s="277"/>
      <c r="AF58" s="277"/>
      <c r="AG58" s="277"/>
      <c r="AH58" s="277"/>
      <c r="AI58" s="276"/>
      <c r="AJ58" s="274"/>
      <c r="AK58" s="276"/>
      <c r="AL58" s="276"/>
      <c r="AM58" s="276"/>
      <c r="AN58" s="282"/>
      <c r="AO58" s="281"/>
      <c r="AP58" s="280"/>
      <c r="AQ58" s="281"/>
      <c r="AR58" s="282"/>
      <c r="AS58" s="275"/>
      <c r="AT58" s="282"/>
      <c r="AU58" s="282"/>
      <c r="AV58" s="283"/>
      <c r="AW58" s="283"/>
      <c r="AX58" s="275"/>
      <c r="AY58" s="284"/>
    </row>
    <row r="59" spans="1:51" ht="30.75" customHeight="1">
      <c r="A59" s="243">
        <f>1+A57</f>
        <v>38</v>
      </c>
      <c r="B59" s="298" t="s">
        <v>991</v>
      </c>
      <c r="C59" s="243" t="str">
        <f t="shared" ref="C59:C66" si="161">$D$6</f>
        <v>PMCC-1</v>
      </c>
      <c r="D59" s="272" t="s">
        <v>400</v>
      </c>
      <c r="E59" s="351" t="s">
        <v>310</v>
      </c>
      <c r="F59" s="243" t="s">
        <v>28</v>
      </c>
      <c r="G59" s="243" t="s">
        <v>298</v>
      </c>
      <c r="H59" s="304">
        <v>17.5</v>
      </c>
      <c r="I59" s="243" t="s">
        <v>299</v>
      </c>
      <c r="J59" s="243" t="s">
        <v>300</v>
      </c>
      <c r="K59" s="255">
        <v>400</v>
      </c>
      <c r="L59" s="249">
        <v>0.85</v>
      </c>
      <c r="M59" s="256">
        <v>0.95</v>
      </c>
      <c r="N59" s="248">
        <f t="shared" ref="N59:N81" si="162">IF(I59="kVA",IF(J59="3Ph",(H59*1000/(1.732*M59*K59)),(H59*1000/(M59*K59))),IF(I59="kW",IF(J59="3Ph",(H59*1000/(1.732*M59*K59*L59)),(H59*1000/(M59*K59*L59)))))</f>
        <v>31.281504944265301</v>
      </c>
      <c r="O59" s="248">
        <f t="shared" si="108"/>
        <v>0</v>
      </c>
      <c r="P59" s="249" t="str">
        <f t="shared" ref="P59:P81" si="163">IF(G59="MOTOR",0.2,"0.00")</f>
        <v>0.00</v>
      </c>
      <c r="Q59" s="256">
        <v>65</v>
      </c>
      <c r="R59" s="256">
        <v>0</v>
      </c>
      <c r="S59" s="256">
        <f t="shared" ref="S59:S81" si="164">(Q59*1000*SQRT(R59)/143)</f>
        <v>0</v>
      </c>
      <c r="T59" s="249" t="s">
        <v>131</v>
      </c>
      <c r="U59" s="256" t="s">
        <v>390</v>
      </c>
      <c r="V59" s="249">
        <v>95</v>
      </c>
      <c r="W59" s="249" t="str">
        <f t="shared" ref="W59:W81" si="165">CONCATENATE(U59," X ",V59)</f>
        <v>3.5C X 95</v>
      </c>
      <c r="X59" s="249" t="str">
        <f t="shared" ref="X59:X81" si="166">(IF(J59="1Ph",W59,IF(J59="3Ph",(IF(G59="MOTOR",(CONCATENATE(W59,"+PE")),W59)))))</f>
        <v>3.5C X 95</v>
      </c>
      <c r="Y59" s="249" t="s">
        <v>314</v>
      </c>
      <c r="Z59" s="250">
        <f>IF(T59="AIR",VLOOKUP(W59,'Catalogue Aluminium'!$B$9:$G$91,2,FALSE),IF(T59="GROUND",VLOOKUP(W59,'Catalogue Aluminium'!$B$9:$G$91,3,FALSE),IF(T59="DUCT",VLOOKUP(W59,'Catalogue Aluminium'!$B$9:$G$91,4,FALSE),IF(T59="TRENCH",VLOOKUP(W59,'Catalogue Aluminium'!$B$9:$G$91,2,FALSE)))))</f>
        <v>221</v>
      </c>
      <c r="AA59" s="251">
        <f>VLOOKUP(W59,'Catalogue Aluminium'!$B$9:$G$91,5,FALSE)</f>
        <v>0.41</v>
      </c>
      <c r="AB59" s="251">
        <f>VLOOKUP(W59,'Catalogue Aluminium'!$B$9:$G$91,6,FALSE)</f>
        <v>7.3400000000000007E-2</v>
      </c>
      <c r="AC59" s="294">
        <f t="shared" ref="AC59" si="167">26+3</f>
        <v>29</v>
      </c>
      <c r="AD59" s="294">
        <f>40+50+38+50+17+(27+42+22)</f>
        <v>286</v>
      </c>
      <c r="AE59" s="294">
        <f t="shared" ref="AE59:AE79" si="168">11+8+8+11</f>
        <v>38</v>
      </c>
      <c r="AF59" s="294">
        <v>8</v>
      </c>
      <c r="AG59" s="294">
        <f t="shared" ref="AG59:AG81" si="169">ROUNDUP((SUM(AC59:AF59)*0.1),0)</f>
        <v>37</v>
      </c>
      <c r="AH59" s="253">
        <f t="shared" ref="AH59:AH75" si="170">SUM(AC59:AG59)</f>
        <v>398</v>
      </c>
      <c r="AI59" s="250">
        <f>IF(T59="AIR",'Catalogue Aluminium'!$K$9,IF(T59="TRENCH",'Catalogue Aluminium'!$K$12,"NA"))</f>
        <v>0.89</v>
      </c>
      <c r="AJ59" s="248">
        <f>IF(T59="Air",(IF(U59="1C",'Catalogue Aluminium'!$L$9,'Catalogue Aluminium'!$M$9)),IF(T59="DUCT",(IF($U59="1C",'Catalogue Aluminium'!$L$10,'Catalogue Aluminium'!$M$10)),IF(T59="GROUND",(IF($U59="1C",'Catalogue Aluminium'!$L$11,'Catalogue Aluminium'!$M$11)),IF(T59="TRENCH",(IF($U59="1C",'Catalogue Aluminium'!$L$12,'Catalogue Aluminium'!$M$12))))))</f>
        <v>0.66</v>
      </c>
      <c r="AK59" s="250" t="str">
        <f>IF(T59="Air",'Catalogue Aluminium'!$N$9,IF(T59="GROUND",'Catalogue Aluminium'!$N$10,IF(T59="DUCT",'Catalogue Aluminium'!$N$11,IF(T59="TRENCH",'Catalogue Aluminium'!$N$12,"NA"))))</f>
        <v>NA</v>
      </c>
      <c r="AL59" s="250" t="str">
        <f>IF(T59="Air",(IF(U59="1C",'Catalogue Aluminium'!$O$9,'Catalogue Aluminium'!$P$9)),IF(T59="DUCT",(IF($U59="1C",'Catalogue Aluminium'!$O$10,'Catalogue Aluminium'!$P$10)),IF(T59="GROUND",(IF($U59="1C",'Catalogue Aluminium'!$O$11,'Catalogue Aluminium'!$P$11)),IF(T59="TRENCH",(IF($U59="1C",'Catalogue Aluminium'!$O$12,'Catalogue Aluminium'!$P$12))))))</f>
        <v>NA</v>
      </c>
      <c r="AM59" s="250" t="str">
        <f>IF(T59="AIR","NA",IF(T59="TRENCH","NA",IF(T59="DUCT",IF(U59="1C",VLOOKUP(V59,'Catalogue Aluminium'!$Q$9:$S$28,2,FALSE),VLOOKUP(V59,'Catalogue Aluminium'!$Q$9:$S$28,3)),IF(T59="GROUND",IF(U59="1C",VLOOKUP(V59,'Catalogue Aluminium'!$Q$9:$S$28,2,FALSE),VLOOKUP(V59,'Catalogue Aluminium'!$Q$9:$S$28,3))))))</f>
        <v>NA</v>
      </c>
      <c r="AN59" s="257">
        <f t="shared" ref="AN59:AN81" si="171">IF(T59="AIR",AI59*AJ59,IF(T59="TRENCH",AI59*AJ59,IF(T59="DUCT",AJ59*AK59*AL59*AM59,IF(T59="GROUND",AJ59*AK59*AL59*AM59))))</f>
        <v>0.58740000000000003</v>
      </c>
      <c r="AO59" s="256">
        <f t="shared" ref="AO59:AO81" si="172">Z59*AN59</f>
        <v>129.81540000000001</v>
      </c>
      <c r="AP59" s="255">
        <f t="shared" si="10"/>
        <v>1</v>
      </c>
      <c r="AQ59" s="256" t="str">
        <f t="shared" ref="AQ59:AQ81" si="173">IF(AO59*AP59&gt;=N59,"YES","NO")</f>
        <v>YES</v>
      </c>
      <c r="AR59" s="257">
        <f t="shared" ref="AR59:AR81" si="174">SQRT(3)*AH59*N59*((AA59*L59)+(AB59*SIN(ACOS(L59))))*100/(AP59*K59*1000)</f>
        <v>2.0872207772685298</v>
      </c>
      <c r="AS59" s="249" t="str">
        <f t="shared" ref="AS59:AS81" si="175">IF(G59="INCOMER",(IF(AR59&lt;=2,"YES","NO")),IF(G59="POWER",(IF(AR59&lt;=2.5,"YES","NO")),IF(G59="MOTOR",(IF(AR59&lt;=3,"YES","NO")))))</f>
        <v>YES</v>
      </c>
      <c r="AT59" s="257" t="str">
        <f t="shared" ref="AT59:AT64" si="176">IF(G59="MOTOR",(SQRT(3)*AH59*O59*((AA59*P59)+(AB59*SIN(ACOS(P59))))*100/(AP59*K59*1000)),"NA")</f>
        <v>NA</v>
      </c>
      <c r="AU59" s="249" t="str">
        <f t="shared" ref="AU59:AU81" si="177">IF(G59="MOTOR",IF(AT59&lt;=15,"YES","NO"),"NA")</f>
        <v>NA</v>
      </c>
      <c r="AV59" s="260" t="str">
        <f t="shared" ref="AV59:AV81" si="178">IF(U59="1C",CONCATENATE(AP59,"R x ",Y59,"kV x ",U59," x ",V59," Sqmm/Phase"),CONCATENATE(AP59,"R x ",0.6,"/1kV x ",U59," x ",V59," Sqmm"))</f>
        <v>1R x 0.6/1kV x 3.5C x 95 Sqmm</v>
      </c>
      <c r="AW59" s="260" t="str">
        <f t="shared" ref="AW59:AW81" si="179">IF(U59="1C",CONCATENATE(AP59,"R x ",Y59,"kV x ",U59," x ",V59," Sqmm/Phase"),CONCATENATE(AP59,"R x ",0.6,"/1kV x ",U59," x ",V59,(IF(G59="MOTOR","+PE",""))," Sqmm"))</f>
        <v>1R x 0.6/1kV x 3.5C x 95 Sqmm</v>
      </c>
      <c r="AX59" s="249">
        <f t="shared" ref="AX59:AX64" si="180">(IF(K59=400,(IF(U59="1C",(4*AH59*AP59),(AH59*AP59))),IF(K59=230,(AH59*AP59))))</f>
        <v>398</v>
      </c>
      <c r="AY59" s="261"/>
    </row>
    <row r="60" spans="1:51" ht="28.5" customHeight="1">
      <c r="A60" s="243">
        <f t="shared" ref="A60:A75" si="181">1+A59</f>
        <v>39</v>
      </c>
      <c r="B60" s="243" t="s">
        <v>382</v>
      </c>
      <c r="C60" s="243" t="str">
        <f t="shared" si="161"/>
        <v>PMCC-1</v>
      </c>
      <c r="D60" s="546" t="s">
        <v>992</v>
      </c>
      <c r="E60" s="351" t="s">
        <v>410</v>
      </c>
      <c r="F60" s="243" t="s">
        <v>29</v>
      </c>
      <c r="G60" s="243" t="s">
        <v>298</v>
      </c>
      <c r="H60" s="421">
        <v>5</v>
      </c>
      <c r="I60" s="243" t="s">
        <v>299</v>
      </c>
      <c r="J60" s="243" t="s">
        <v>313</v>
      </c>
      <c r="K60" s="255">
        <v>230</v>
      </c>
      <c r="L60" s="249">
        <v>0.85</v>
      </c>
      <c r="M60" s="256">
        <v>0.95</v>
      </c>
      <c r="N60" s="248">
        <f t="shared" si="162"/>
        <v>26.921523758244717</v>
      </c>
      <c r="O60" s="248">
        <f t="shared" si="108"/>
        <v>0</v>
      </c>
      <c r="P60" s="249" t="str">
        <f t="shared" si="163"/>
        <v>0.00</v>
      </c>
      <c r="Q60" s="256">
        <v>65</v>
      </c>
      <c r="R60" s="256">
        <v>0</v>
      </c>
      <c r="S60" s="256">
        <f t="shared" si="164"/>
        <v>0</v>
      </c>
      <c r="T60" s="249" t="s">
        <v>131</v>
      </c>
      <c r="U60" s="256" t="s">
        <v>302</v>
      </c>
      <c r="V60" s="249">
        <v>25</v>
      </c>
      <c r="W60" s="249" t="str">
        <f t="shared" si="165"/>
        <v>3C X 25</v>
      </c>
      <c r="X60" s="249" t="str">
        <f t="shared" si="166"/>
        <v>3C X 25</v>
      </c>
      <c r="Y60" s="249" t="s">
        <v>314</v>
      </c>
      <c r="Z60" s="250">
        <f>IF(T60="AIR",VLOOKUP(W60,'Catalogue Aluminium'!$B$9:$G$91,2,FALSE),IF(T60="GROUND",VLOOKUP(W60,'Catalogue Aluminium'!$B$9:$G$91,3,FALSE),IF(T60="DUCT",VLOOKUP(W60,'Catalogue Aluminium'!$B$9:$G$91,4,FALSE),IF(T60="TRENCH",VLOOKUP(W60,'Catalogue Aluminium'!$B$9:$G$91,2,FALSE)))))</f>
        <v>95</v>
      </c>
      <c r="AA60" s="251">
        <f>VLOOKUP(W60,'Catalogue Aluminium'!$B$9:$G$91,5,FALSE)</f>
        <v>1.54</v>
      </c>
      <c r="AB60" s="251">
        <f>VLOOKUP(W60,'Catalogue Aluminium'!$B$9:$G$91,6,FALSE)</f>
        <v>8.1600000000000006E-2</v>
      </c>
      <c r="AC60" s="294">
        <f t="shared" ref="AC60:AC61" si="182">17+3</f>
        <v>20</v>
      </c>
      <c r="AD60" s="294">
        <v>80</v>
      </c>
      <c r="AE60" s="294">
        <v>5</v>
      </c>
      <c r="AF60" s="294">
        <v>8</v>
      </c>
      <c r="AG60" s="294">
        <f t="shared" si="169"/>
        <v>12</v>
      </c>
      <c r="AH60" s="253">
        <v>90</v>
      </c>
      <c r="AI60" s="250">
        <f>IF(T60="AIR",'Catalogue Aluminium'!$K$9,IF(T60="TRENCH",'Catalogue Aluminium'!$K$12,"NA"))</f>
        <v>0.89</v>
      </c>
      <c r="AJ60" s="248">
        <f>IF(T60="Air",(IF(U60="1C",'Catalogue Aluminium'!$L$9,'Catalogue Aluminium'!$M$9)),IF(T60="DUCT",(IF($U60="1C",'Catalogue Aluminium'!$L$10,'Catalogue Aluminium'!$M$10)),IF(T60="GROUND",(IF($U60="1C",'Catalogue Aluminium'!$L$11,'Catalogue Aluminium'!$M$11)),IF(T60="TRENCH",(IF($U60="1C",'Catalogue Aluminium'!$L$12,'Catalogue Aluminium'!$M$12))))))</f>
        <v>0.66</v>
      </c>
      <c r="AK60" s="250" t="str">
        <f>IF(T60="Air",'Catalogue Aluminium'!$N$9,IF(T60="GROUND",'Catalogue Aluminium'!$N$10,IF(T60="DUCT",'Catalogue Aluminium'!$N$11,IF(T60="TRENCH",'Catalogue Aluminium'!$N$12,"NA"))))</f>
        <v>NA</v>
      </c>
      <c r="AL60" s="250" t="str">
        <f>IF(T60="Air",(IF(U60="1C",'Catalogue Aluminium'!$O$9,'Catalogue Aluminium'!$P$9)),IF(T60="DUCT",(IF($U60="1C",'Catalogue Aluminium'!$O$10,'Catalogue Aluminium'!$P$10)),IF(T60="GROUND",(IF($U60="1C",'Catalogue Aluminium'!$O$11,'Catalogue Aluminium'!$P$11)),IF(T60="TRENCH",(IF($U60="1C",'Catalogue Aluminium'!$O$12,'Catalogue Aluminium'!$P$12))))))</f>
        <v>NA</v>
      </c>
      <c r="AM60" s="250" t="str">
        <f>IF(T60="AIR","NA",IF(T60="TRENCH","NA",IF(T60="DUCT",IF(U60="1C",VLOOKUP(V60,'Catalogue Aluminium'!$Q$9:$S$28,2,FALSE),VLOOKUP(V60,'Catalogue Aluminium'!$Q$9:$S$28,3)),IF(T60="GROUND",IF(U60="1C",VLOOKUP(V60,'Catalogue Aluminium'!$Q$9:$S$28,2,FALSE),VLOOKUP(V60,'Catalogue Aluminium'!$Q$9:$S$28,3))))))</f>
        <v>NA</v>
      </c>
      <c r="AN60" s="257">
        <f t="shared" si="171"/>
        <v>0.58740000000000003</v>
      </c>
      <c r="AO60" s="256">
        <f t="shared" si="172"/>
        <v>55.803000000000004</v>
      </c>
      <c r="AP60" s="367">
        <v>1</v>
      </c>
      <c r="AQ60" s="256" t="str">
        <f t="shared" si="173"/>
        <v>YES</v>
      </c>
      <c r="AR60" s="257">
        <f t="shared" si="174"/>
        <v>2.4668739644643609</v>
      </c>
      <c r="AS60" s="249" t="str">
        <f>IF(G60="INCOMER",(IF(AR60&lt;=2,"YES","NO")),IF(G60="POWER",(IF(AR60&lt;=2.5,"YES","NO")),IF(G60="MOTOR",(IF(AR60&lt;=3,"YES","NO")))))</f>
        <v>YES</v>
      </c>
      <c r="AT60" s="257" t="str">
        <f t="shared" si="176"/>
        <v>NA</v>
      </c>
      <c r="AU60" s="249" t="str">
        <f t="shared" si="177"/>
        <v>NA</v>
      </c>
      <c r="AV60" s="260" t="str">
        <f t="shared" si="178"/>
        <v>1R x 0.6/1kV x 3C x 25 Sqmm</v>
      </c>
      <c r="AW60" s="260" t="str">
        <f t="shared" si="179"/>
        <v>1R x 0.6/1kV x 3C x 25 Sqmm</v>
      </c>
      <c r="AX60" s="249">
        <f t="shared" si="180"/>
        <v>90</v>
      </c>
      <c r="AY60" s="261"/>
    </row>
    <row r="61" spans="1:51" s="576" customFormat="1" ht="33" customHeight="1">
      <c r="A61" s="298">
        <f t="shared" si="181"/>
        <v>40</v>
      </c>
      <c r="B61" s="298" t="s">
        <v>382</v>
      </c>
      <c r="C61" s="298" t="str">
        <f t="shared" si="161"/>
        <v>PMCC-1</v>
      </c>
      <c r="D61" s="546" t="s">
        <v>993</v>
      </c>
      <c r="E61" s="418" t="s">
        <v>410</v>
      </c>
      <c r="F61" s="298" t="s">
        <v>29</v>
      </c>
      <c r="G61" s="298" t="s">
        <v>298</v>
      </c>
      <c r="H61" s="421">
        <v>5</v>
      </c>
      <c r="I61" s="298" t="s">
        <v>299</v>
      </c>
      <c r="J61" s="298" t="s">
        <v>313</v>
      </c>
      <c r="K61" s="423">
        <v>230</v>
      </c>
      <c r="L61" s="301">
        <v>0.85</v>
      </c>
      <c r="M61" s="421">
        <v>0.95</v>
      </c>
      <c r="N61" s="299">
        <f t="shared" ref="N61" si="183">IF(I61="kVA",IF(J61="3Ph",(H61*1000/(1.732*M61*K61)),(H61*1000/(M61*K61))),IF(I61="kW",IF(J61="3Ph",(H61*1000/(1.732*M61*K61*L61)),(H61*1000/(M61*K61*L61)))))</f>
        <v>26.921523758244717</v>
      </c>
      <c r="O61" s="299">
        <f t="shared" ref="O61" si="184">IF(G61="MOTOR",(6*N61),IF(G61="VFD",(1*N61),0))</f>
        <v>0</v>
      </c>
      <c r="P61" s="301" t="str">
        <f t="shared" ref="P61" si="185">IF(G61="MOTOR",0.2,"0.00")</f>
        <v>0.00</v>
      </c>
      <c r="Q61" s="421">
        <v>65</v>
      </c>
      <c r="R61" s="421">
        <v>0</v>
      </c>
      <c r="S61" s="421">
        <f t="shared" ref="S61" si="186">(Q61*1000*SQRT(R61)/143)</f>
        <v>0</v>
      </c>
      <c r="T61" s="301" t="s">
        <v>131</v>
      </c>
      <c r="U61" s="421" t="s">
        <v>302</v>
      </c>
      <c r="V61" s="301">
        <v>25</v>
      </c>
      <c r="W61" s="301" t="str">
        <f t="shared" ref="W61" si="187">CONCATENATE(U61," X ",V61)</f>
        <v>3C X 25</v>
      </c>
      <c r="X61" s="301" t="str">
        <f t="shared" ref="X61" si="188">(IF(J61="1Ph",W61,IF(J61="3Ph",(IF(G61="MOTOR",(CONCATENATE(W61,"+PE")),W61)))))</f>
        <v>3C X 25</v>
      </c>
      <c r="Y61" s="301" t="s">
        <v>314</v>
      </c>
      <c r="Z61" s="300">
        <f>IF(T61="AIR",VLOOKUP(W61,'Catalogue Aluminium'!$B$9:$G$91,2,FALSE),IF(T61="GROUND",VLOOKUP(W61,'Catalogue Aluminium'!$B$9:$G$91,3,FALSE),IF(T61="DUCT",VLOOKUP(W61,'Catalogue Aluminium'!$B$9:$G$91,4,FALSE),IF(T61="TRENCH",VLOOKUP(W61,'Catalogue Aluminium'!$B$9:$G$91,2,FALSE)))))</f>
        <v>95</v>
      </c>
      <c r="AA61" s="302">
        <f>VLOOKUP(W61,'Catalogue Aluminium'!$B$9:$G$91,5,FALSE)</f>
        <v>1.54</v>
      </c>
      <c r="AB61" s="302">
        <f>VLOOKUP(W61,'Catalogue Aluminium'!$B$9:$G$91,6,FALSE)</f>
        <v>8.1600000000000006E-2</v>
      </c>
      <c r="AC61" s="301">
        <f t="shared" si="182"/>
        <v>20</v>
      </c>
      <c r="AD61" s="301">
        <v>80</v>
      </c>
      <c r="AE61" s="301">
        <v>5</v>
      </c>
      <c r="AF61" s="301">
        <v>8</v>
      </c>
      <c r="AG61" s="301">
        <f t="shared" ref="AG61" si="189">ROUNDUP((SUM(AC61:AF61)*0.1),0)</f>
        <v>12</v>
      </c>
      <c r="AH61" s="574">
        <v>90</v>
      </c>
      <c r="AI61" s="300">
        <f>IF(T61="AIR",'Catalogue Aluminium'!$K$9,IF(T61="TRENCH",'Catalogue Aluminium'!$K$12,"NA"))</f>
        <v>0.89</v>
      </c>
      <c r="AJ61" s="299">
        <f>IF(T61="Air",(IF(U61="1C",'Catalogue Aluminium'!$L$9,'Catalogue Aluminium'!$M$9)),IF(T61="DUCT",(IF($U61="1C",'Catalogue Aluminium'!$L$10,'Catalogue Aluminium'!$M$10)),IF(T61="GROUND",(IF($U61="1C",'Catalogue Aluminium'!$L$11,'Catalogue Aluminium'!$M$11)),IF(T61="TRENCH",(IF($U61="1C",'Catalogue Aluminium'!$L$12,'Catalogue Aluminium'!$M$12))))))</f>
        <v>0.66</v>
      </c>
      <c r="AK61" s="300" t="str">
        <f>IF(T61="Air",'Catalogue Aluminium'!$N$9,IF(T61="GROUND",'Catalogue Aluminium'!$N$10,IF(T61="DUCT",'Catalogue Aluminium'!$N$11,IF(T61="TRENCH",'Catalogue Aluminium'!$N$12,"NA"))))</f>
        <v>NA</v>
      </c>
      <c r="AL61" s="300" t="str">
        <f>IF(T61="Air",(IF(U61="1C",'Catalogue Aluminium'!$O$9,'Catalogue Aluminium'!$P$9)),IF(T61="DUCT",(IF($U61="1C",'Catalogue Aluminium'!$O$10,'Catalogue Aluminium'!$P$10)),IF(T61="GROUND",(IF($U61="1C",'Catalogue Aluminium'!$O$11,'Catalogue Aluminium'!$P$11)),IF(T61="TRENCH",(IF($U61="1C",'Catalogue Aluminium'!$O$12,'Catalogue Aluminium'!$P$12))))))</f>
        <v>NA</v>
      </c>
      <c r="AM61" s="300" t="str">
        <f>IF(T61="AIR","NA",IF(T61="TRENCH","NA",IF(T61="DUCT",IF(U61="1C",VLOOKUP(V61,'Catalogue Aluminium'!$Q$9:$S$28,2,FALSE),VLOOKUP(V61,'Catalogue Aluminium'!$Q$9:$S$28,3)),IF(T61="GROUND",IF(U61="1C",VLOOKUP(V61,'Catalogue Aluminium'!$Q$9:$S$28,2,FALSE),VLOOKUP(V61,'Catalogue Aluminium'!$Q$9:$S$28,3))))))</f>
        <v>NA</v>
      </c>
      <c r="AN61" s="422">
        <f t="shared" ref="AN61" si="190">IF(T61="AIR",AI61*AJ61,IF(T61="TRENCH",AI61*AJ61,IF(T61="DUCT",AJ61*AK61*AL61*AM61,IF(T61="GROUND",AJ61*AK61*AL61*AM61))))</f>
        <v>0.58740000000000003</v>
      </c>
      <c r="AO61" s="421">
        <f t="shared" ref="AO61" si="191">Z61*AN61</f>
        <v>55.803000000000004</v>
      </c>
      <c r="AP61" s="594">
        <v>1</v>
      </c>
      <c r="AQ61" s="421" t="str">
        <f t="shared" ref="AQ61" si="192">IF(AO61*AP61&gt;=N61,"YES","NO")</f>
        <v>YES</v>
      </c>
      <c r="AR61" s="422">
        <f t="shared" ref="AR61" si="193">SQRT(3)*AH61*N61*((AA61*L61)+(AB61*SIN(ACOS(L61))))*100/(AP61*K61*1000)</f>
        <v>2.4668739644643609</v>
      </c>
      <c r="AS61" s="301" t="str">
        <f t="shared" ref="AS61" si="194">IF(G61="INCOMER",(IF(AR61&lt;=2,"YES","NO")),IF(G61="POWER",(IF(AR61&lt;=2.5,"YES","NO")),IF(G61="MOTOR",(IF(AR61&lt;=3,"YES","NO")))))</f>
        <v>YES</v>
      </c>
      <c r="AT61" s="422" t="str">
        <f t="shared" si="176"/>
        <v>NA</v>
      </c>
      <c r="AU61" s="301" t="str">
        <f t="shared" ref="AU61" si="195">IF(G61="MOTOR",IF(AT61&lt;=15,"YES","NO"),"NA")</f>
        <v>NA</v>
      </c>
      <c r="AV61" s="424" t="str">
        <f t="shared" ref="AV61" si="196">IF(U61="1C",CONCATENATE(AP61,"R x ",Y61,"kV x ",U61," x ",V61," Sqmm/Phase"),CONCATENATE(AP61,"R x ",0.6,"/1kV x ",U61," x ",V61," Sqmm"))</f>
        <v>1R x 0.6/1kV x 3C x 25 Sqmm</v>
      </c>
      <c r="AW61" s="424" t="str">
        <f t="shared" ref="AW61" si="197">IF(U61="1C",CONCATENATE(AP61,"R x ",Y61,"kV x ",U61," x ",V61," Sqmm/Phase"),CONCATENATE(AP61,"R x ",0.6,"/1kV x ",U61," x ",V61,(IF(G61="MOTOR","+PE",""))," Sqmm"))</f>
        <v>1R x 0.6/1kV x 3C x 25 Sqmm</v>
      </c>
      <c r="AX61" s="301">
        <f t="shared" si="180"/>
        <v>90</v>
      </c>
      <c r="AY61" s="575"/>
    </row>
    <row r="62" spans="1:51" ht="27" customHeight="1">
      <c r="A62" s="243">
        <f>1+A61</f>
        <v>41</v>
      </c>
      <c r="B62" s="243" t="s">
        <v>382</v>
      </c>
      <c r="C62" s="243" t="str">
        <f t="shared" si="161"/>
        <v>PMCC-1</v>
      </c>
      <c r="D62" s="272" t="s">
        <v>401</v>
      </c>
      <c r="E62" s="351" t="s">
        <v>310</v>
      </c>
      <c r="F62" s="243" t="s">
        <v>28</v>
      </c>
      <c r="G62" s="243" t="s">
        <v>298</v>
      </c>
      <c r="H62" s="304">
        <v>17.5</v>
      </c>
      <c r="I62" s="243" t="s">
        <v>299</v>
      </c>
      <c r="J62" s="243" t="s">
        <v>300</v>
      </c>
      <c r="K62" s="255">
        <v>400</v>
      </c>
      <c r="L62" s="249">
        <v>0.85</v>
      </c>
      <c r="M62" s="256">
        <v>0.95</v>
      </c>
      <c r="N62" s="248">
        <f t="shared" si="162"/>
        <v>31.281504944265301</v>
      </c>
      <c r="O62" s="248">
        <f t="shared" si="108"/>
        <v>0</v>
      </c>
      <c r="P62" s="249" t="str">
        <f t="shared" si="163"/>
        <v>0.00</v>
      </c>
      <c r="Q62" s="256">
        <v>65</v>
      </c>
      <c r="R62" s="256">
        <v>0</v>
      </c>
      <c r="S62" s="256">
        <f t="shared" si="164"/>
        <v>0</v>
      </c>
      <c r="T62" s="249" t="s">
        <v>131</v>
      </c>
      <c r="U62" s="256" t="s">
        <v>390</v>
      </c>
      <c r="V62" s="249">
        <v>95</v>
      </c>
      <c r="W62" s="249" t="str">
        <f t="shared" si="165"/>
        <v>3.5C X 95</v>
      </c>
      <c r="X62" s="249" t="str">
        <f t="shared" si="166"/>
        <v>3.5C X 95</v>
      </c>
      <c r="Y62" s="249" t="s">
        <v>314</v>
      </c>
      <c r="Z62" s="250">
        <f>IF(T62="AIR",VLOOKUP(W62,'Catalogue Aluminium'!$B$9:$G$91,2,FALSE),IF(T62="GROUND",VLOOKUP(W62,'Catalogue Aluminium'!$B$9:$G$91,3,FALSE),IF(T62="DUCT",VLOOKUP(W62,'Catalogue Aluminium'!$B$9:$G$91,4,FALSE),IF(T62="TRENCH",VLOOKUP(W62,'Catalogue Aluminium'!$B$9:$G$91,2,FALSE)))))</f>
        <v>221</v>
      </c>
      <c r="AA62" s="251">
        <f>VLOOKUP(W62,'Catalogue Aluminium'!$B$9:$G$91,5,FALSE)</f>
        <v>0.41</v>
      </c>
      <c r="AB62" s="251">
        <f>VLOOKUP(W62,'Catalogue Aluminium'!$B$9:$G$91,6,FALSE)</f>
        <v>7.3400000000000007E-2</v>
      </c>
      <c r="AC62" s="294">
        <f>26+3</f>
        <v>29</v>
      </c>
      <c r="AD62" s="294">
        <f>40+50+38+50+17+(27+42+23)</f>
        <v>287</v>
      </c>
      <c r="AE62" s="294">
        <f t="shared" si="168"/>
        <v>38</v>
      </c>
      <c r="AF62" s="294">
        <v>8</v>
      </c>
      <c r="AG62" s="294">
        <f t="shared" si="169"/>
        <v>37</v>
      </c>
      <c r="AH62" s="253">
        <f t="shared" si="170"/>
        <v>399</v>
      </c>
      <c r="AI62" s="250">
        <f>IF(T62="AIR",'Catalogue Aluminium'!$K$9,IF(T62="TRENCH",'Catalogue Aluminium'!$K$12,"NA"))</f>
        <v>0.89</v>
      </c>
      <c r="AJ62" s="248">
        <f>IF(T62="Air",(IF(U62="1C",'Catalogue Aluminium'!$L$9,'Catalogue Aluminium'!$M$9)),IF(T62="DUCT",(IF($U62="1C",'Catalogue Aluminium'!$L$10,'Catalogue Aluminium'!$M$10)),IF(T62="GROUND",(IF($U62="1C",'Catalogue Aluminium'!$L$11,'Catalogue Aluminium'!$M$11)),IF(T62="TRENCH",(IF($U62="1C",'Catalogue Aluminium'!$L$12,'Catalogue Aluminium'!$M$12))))))</f>
        <v>0.66</v>
      </c>
      <c r="AK62" s="250" t="str">
        <f>IF(T62="Air",'Catalogue Aluminium'!$N$9,IF(T62="GROUND",'Catalogue Aluminium'!$N$10,IF(T62="DUCT",'Catalogue Aluminium'!$N$11,IF(T62="TRENCH",'Catalogue Aluminium'!$N$12,"NA"))))</f>
        <v>NA</v>
      </c>
      <c r="AL62" s="250" t="str">
        <f>IF(T62="Air",(IF(U62="1C",'Catalogue Aluminium'!$O$9,'Catalogue Aluminium'!$P$9)),IF(T62="DUCT",(IF($U62="1C",'Catalogue Aluminium'!$O$10,'Catalogue Aluminium'!$P$10)),IF(T62="GROUND",(IF($U62="1C",'Catalogue Aluminium'!$O$11,'Catalogue Aluminium'!$P$11)),IF(T62="TRENCH",(IF($U62="1C",'Catalogue Aluminium'!$O$12,'Catalogue Aluminium'!$P$12))))))</f>
        <v>NA</v>
      </c>
      <c r="AM62" s="250" t="str">
        <f>IF(T62="AIR","NA",IF(T62="TRENCH","NA",IF(T62="DUCT",IF(U62="1C",VLOOKUP(V62,'Catalogue Aluminium'!$Q$9:$S$28,2,FALSE),VLOOKUP(V62,'Catalogue Aluminium'!$Q$9:$S$28,3)),IF(T62="GROUND",IF(U62="1C",VLOOKUP(V62,'Catalogue Aluminium'!$Q$9:$S$28,2,FALSE),VLOOKUP(V62,'Catalogue Aluminium'!$Q$9:$S$28,3))))))</f>
        <v>NA</v>
      </c>
      <c r="AN62" s="257">
        <f t="shared" si="171"/>
        <v>0.58740000000000003</v>
      </c>
      <c r="AO62" s="256">
        <f t="shared" si="172"/>
        <v>129.81540000000001</v>
      </c>
      <c r="AP62" s="255">
        <f t="shared" si="10"/>
        <v>1</v>
      </c>
      <c r="AQ62" s="256" t="str">
        <f t="shared" si="173"/>
        <v>YES</v>
      </c>
      <c r="AR62" s="257">
        <f t="shared" si="174"/>
        <v>2.0924650505782494</v>
      </c>
      <c r="AS62" s="249" t="str">
        <f t="shared" si="175"/>
        <v>YES</v>
      </c>
      <c r="AT62" s="257" t="str">
        <f t="shared" si="176"/>
        <v>NA</v>
      </c>
      <c r="AU62" s="249" t="str">
        <f t="shared" si="177"/>
        <v>NA</v>
      </c>
      <c r="AV62" s="260" t="str">
        <f t="shared" si="178"/>
        <v>1R x 0.6/1kV x 3.5C x 95 Sqmm</v>
      </c>
      <c r="AW62" s="260" t="str">
        <f t="shared" si="179"/>
        <v>1R x 0.6/1kV x 3.5C x 95 Sqmm</v>
      </c>
      <c r="AX62" s="249">
        <f t="shared" si="180"/>
        <v>399</v>
      </c>
      <c r="AY62" s="261"/>
    </row>
    <row r="63" spans="1:51" ht="27" customHeight="1">
      <c r="A63" s="243">
        <f t="shared" si="181"/>
        <v>42</v>
      </c>
      <c r="B63" s="243" t="s">
        <v>382</v>
      </c>
      <c r="C63" s="243" t="str">
        <f t="shared" si="161"/>
        <v>PMCC-1</v>
      </c>
      <c r="D63" s="244" t="s">
        <v>402</v>
      </c>
      <c r="E63" s="351" t="s">
        <v>310</v>
      </c>
      <c r="F63" s="243" t="s">
        <v>29</v>
      </c>
      <c r="G63" s="243" t="s">
        <v>298</v>
      </c>
      <c r="H63" s="304">
        <v>1</v>
      </c>
      <c r="I63" s="243" t="s">
        <v>299</v>
      </c>
      <c r="J63" s="243" t="s">
        <v>313</v>
      </c>
      <c r="K63" s="255">
        <v>230</v>
      </c>
      <c r="L63" s="249">
        <v>0.85</v>
      </c>
      <c r="M63" s="256">
        <v>0.95</v>
      </c>
      <c r="N63" s="248">
        <f t="shared" si="162"/>
        <v>5.3843047516489433</v>
      </c>
      <c r="O63" s="248">
        <f t="shared" si="108"/>
        <v>0</v>
      </c>
      <c r="P63" s="249" t="str">
        <f t="shared" si="163"/>
        <v>0.00</v>
      </c>
      <c r="Q63" s="256">
        <v>65</v>
      </c>
      <c r="R63" s="256">
        <v>0</v>
      </c>
      <c r="S63" s="256">
        <f t="shared" si="164"/>
        <v>0</v>
      </c>
      <c r="T63" s="249" t="s">
        <v>131</v>
      </c>
      <c r="U63" s="256" t="s">
        <v>302</v>
      </c>
      <c r="V63" s="249">
        <v>25</v>
      </c>
      <c r="W63" s="249" t="str">
        <f t="shared" si="165"/>
        <v>3C X 25</v>
      </c>
      <c r="X63" s="249" t="str">
        <f t="shared" si="166"/>
        <v>3C X 25</v>
      </c>
      <c r="Y63" s="249" t="s">
        <v>314</v>
      </c>
      <c r="Z63" s="250">
        <f>IF(T63="AIR",VLOOKUP(W63,'Catalogue Aluminium'!$B$9:$G$91,2,FALSE),IF(T63="GROUND",VLOOKUP(W63,'Catalogue Aluminium'!$B$9:$G$91,3,FALSE),IF(T63="DUCT",VLOOKUP(W63,'Catalogue Aluminium'!$B$9:$G$91,4,FALSE),IF(T63="TRENCH",VLOOKUP(W63,'Catalogue Aluminium'!$B$9:$G$91,2,FALSE)))))</f>
        <v>95</v>
      </c>
      <c r="AA63" s="251">
        <f>VLOOKUP(W63,'Catalogue Aluminium'!$B$9:$G$91,5,FALSE)</f>
        <v>1.54</v>
      </c>
      <c r="AB63" s="251">
        <f>VLOOKUP(W63,'Catalogue Aluminium'!$B$9:$G$91,6,FALSE)</f>
        <v>8.1600000000000006E-2</v>
      </c>
      <c r="AC63" s="294">
        <f t="shared" ref="AC63" si="198">17+3</f>
        <v>20</v>
      </c>
      <c r="AD63" s="294">
        <f>40+50+38+50+17+(27+42+33)</f>
        <v>297</v>
      </c>
      <c r="AE63" s="294">
        <f t="shared" si="168"/>
        <v>38</v>
      </c>
      <c r="AF63" s="294">
        <v>8</v>
      </c>
      <c r="AG63" s="294">
        <f t="shared" si="169"/>
        <v>37</v>
      </c>
      <c r="AH63" s="253">
        <f t="shared" si="170"/>
        <v>400</v>
      </c>
      <c r="AI63" s="250">
        <f>IF(T63="AIR",'Catalogue Aluminium'!$K$9,IF(T63="TRENCH",'Catalogue Aluminium'!$K$12,"NA"))</f>
        <v>0.89</v>
      </c>
      <c r="AJ63" s="248">
        <f>IF(T63="Air",(IF(U63="1C",'Catalogue Aluminium'!$L$9,'Catalogue Aluminium'!$M$9)),IF(T63="DUCT",(IF($U63="1C",'Catalogue Aluminium'!$L$10,'Catalogue Aluminium'!$M$10)),IF(T63="GROUND",(IF($U63="1C",'Catalogue Aluminium'!$L$11,'Catalogue Aluminium'!$M$11)),IF(T63="TRENCH",(IF($U63="1C",'Catalogue Aluminium'!$L$12,'Catalogue Aluminium'!$M$12))))))</f>
        <v>0.66</v>
      </c>
      <c r="AK63" s="250" t="str">
        <f>IF(T63="Air",'Catalogue Aluminium'!$N$9,IF(T63="GROUND",'Catalogue Aluminium'!$N$10,IF(T63="DUCT",'Catalogue Aluminium'!$N$11,IF(T63="TRENCH",'Catalogue Aluminium'!$N$12,"NA"))))</f>
        <v>NA</v>
      </c>
      <c r="AL63" s="250" t="str">
        <f>IF(T63="Air",(IF(U63="1C",'Catalogue Aluminium'!$O$9,'Catalogue Aluminium'!$P$9)),IF(T63="DUCT",(IF($U63="1C",'Catalogue Aluminium'!$O$10,'Catalogue Aluminium'!$P$10)),IF(T63="GROUND",(IF($U63="1C",'Catalogue Aluminium'!$O$11,'Catalogue Aluminium'!$P$11)),IF(T63="TRENCH",(IF($U63="1C",'Catalogue Aluminium'!$O$12,'Catalogue Aluminium'!$P$12))))))</f>
        <v>NA</v>
      </c>
      <c r="AM63" s="250" t="str">
        <f>IF(T63="AIR","NA",IF(T63="TRENCH","NA",IF(T63="DUCT",IF(U63="1C",VLOOKUP(V63,'Catalogue Aluminium'!$Q$9:$S$28,2,FALSE),VLOOKUP(V63,'Catalogue Aluminium'!$Q$9:$S$28,3)),IF(T63="GROUND",IF(U63="1C",VLOOKUP(V63,'Catalogue Aluminium'!$Q$9:$S$28,2,FALSE),VLOOKUP(V63,'Catalogue Aluminium'!$Q$9:$S$28,3))))))</f>
        <v>NA</v>
      </c>
      <c r="AN63" s="257">
        <f t="shared" si="171"/>
        <v>0.58740000000000003</v>
      </c>
      <c r="AO63" s="256">
        <f t="shared" si="172"/>
        <v>55.803000000000004</v>
      </c>
      <c r="AP63" s="255">
        <f t="shared" si="10"/>
        <v>1</v>
      </c>
      <c r="AQ63" s="256" t="str">
        <f t="shared" si="173"/>
        <v>YES</v>
      </c>
      <c r="AR63" s="257">
        <f t="shared" si="174"/>
        <v>2.1927768573016539</v>
      </c>
      <c r="AS63" s="249" t="str">
        <f t="shared" si="175"/>
        <v>YES</v>
      </c>
      <c r="AT63" s="257" t="str">
        <f t="shared" si="176"/>
        <v>NA</v>
      </c>
      <c r="AU63" s="249" t="str">
        <f t="shared" si="177"/>
        <v>NA</v>
      </c>
      <c r="AV63" s="260" t="str">
        <f t="shared" si="178"/>
        <v>1R x 0.6/1kV x 3C x 25 Sqmm</v>
      </c>
      <c r="AW63" s="260" t="str">
        <f t="shared" si="179"/>
        <v>1R x 0.6/1kV x 3C x 25 Sqmm</v>
      </c>
      <c r="AX63" s="249">
        <f t="shared" si="180"/>
        <v>400</v>
      </c>
      <c r="AY63" s="261"/>
    </row>
    <row r="64" spans="1:51" s="592" customFormat="1" ht="20.149999999999999" hidden="1" customHeight="1">
      <c r="A64" s="577" t="s">
        <v>303</v>
      </c>
      <c r="B64" s="577" t="s">
        <v>382</v>
      </c>
      <c r="C64" s="577" t="str">
        <f t="shared" si="161"/>
        <v>PMCC-1</v>
      </c>
      <c r="D64" s="579" t="s">
        <v>403</v>
      </c>
      <c r="E64" s="580" t="s">
        <v>310</v>
      </c>
      <c r="F64" s="577" t="s">
        <v>28</v>
      </c>
      <c r="G64" s="577" t="s">
        <v>298</v>
      </c>
      <c r="H64" s="584">
        <v>55</v>
      </c>
      <c r="I64" s="577" t="s">
        <v>299</v>
      </c>
      <c r="J64" s="577" t="s">
        <v>300</v>
      </c>
      <c r="K64" s="582">
        <v>400</v>
      </c>
      <c r="L64" s="583">
        <v>0.85</v>
      </c>
      <c r="M64" s="584">
        <v>0.95</v>
      </c>
      <c r="N64" s="585">
        <f t="shared" si="162"/>
        <v>98.313301253405228</v>
      </c>
      <c r="O64" s="585">
        <f t="shared" si="108"/>
        <v>0</v>
      </c>
      <c r="P64" s="583" t="str">
        <f t="shared" si="163"/>
        <v>0.00</v>
      </c>
      <c r="Q64" s="584">
        <v>65</v>
      </c>
      <c r="R64" s="584">
        <v>0</v>
      </c>
      <c r="S64" s="584">
        <f t="shared" si="164"/>
        <v>0</v>
      </c>
      <c r="T64" s="583" t="s">
        <v>131</v>
      </c>
      <c r="U64" s="584" t="s">
        <v>390</v>
      </c>
      <c r="V64" s="583">
        <v>25</v>
      </c>
      <c r="W64" s="583" t="str">
        <f t="shared" si="165"/>
        <v>3.5C X 25</v>
      </c>
      <c r="X64" s="583" t="str">
        <f t="shared" si="166"/>
        <v>3.5C X 25</v>
      </c>
      <c r="Y64" s="583" t="s">
        <v>314</v>
      </c>
      <c r="Z64" s="586">
        <f>IF(T64="AIR",VLOOKUP(W64,'Catalogue Aluminium'!$B$9:$G$91,2,FALSE),IF(T64="GROUND",VLOOKUP(W64,'Catalogue Aluminium'!$B$9:$G$91,3,FALSE),IF(T64="DUCT",VLOOKUP(W64,'Catalogue Aluminium'!$B$9:$G$91,4,FALSE),IF(T64="TRENCH",VLOOKUP(W64,'Catalogue Aluminium'!$B$9:$G$91,2,FALSE)))))</f>
        <v>95</v>
      </c>
      <c r="AA64" s="587">
        <f>VLOOKUP(W64,'Catalogue Aluminium'!$B$9:$G$91,5,FALSE)</f>
        <v>1.54</v>
      </c>
      <c r="AB64" s="587">
        <f>VLOOKUP(W64,'Catalogue Aluminium'!$B$9:$G$91,6,FALSE)</f>
        <v>8.1600000000000006E-2</v>
      </c>
      <c r="AC64" s="583">
        <f>26+3</f>
        <v>29</v>
      </c>
      <c r="AD64" s="583">
        <f>40+50+38+50+17+(27+42+32)</f>
        <v>296</v>
      </c>
      <c r="AE64" s="583">
        <f t="shared" si="168"/>
        <v>38</v>
      </c>
      <c r="AF64" s="583">
        <v>8</v>
      </c>
      <c r="AG64" s="583">
        <f t="shared" si="169"/>
        <v>38</v>
      </c>
      <c r="AH64" s="588">
        <f t="shared" si="170"/>
        <v>409</v>
      </c>
      <c r="AI64" s="586">
        <f>IF(T64="AIR",'Catalogue Aluminium'!$K$9,IF(T64="TRENCH",'Catalogue Aluminium'!$K$12,"NA"))</f>
        <v>0.89</v>
      </c>
      <c r="AJ64" s="585">
        <f>IF(T64="Air",(IF(U64="1C",'Catalogue Aluminium'!$L$9,'Catalogue Aluminium'!$M$9)),IF(T64="DUCT",(IF($U64="1C",'Catalogue Aluminium'!$L$10,'Catalogue Aluminium'!$M$10)),IF(T64="GROUND",(IF($U64="1C",'Catalogue Aluminium'!$L$11,'Catalogue Aluminium'!$M$11)),IF(T64="TRENCH",(IF($U64="1C",'Catalogue Aluminium'!$L$12,'Catalogue Aluminium'!$M$12))))))</f>
        <v>0.66</v>
      </c>
      <c r="AK64" s="586" t="str">
        <f>IF(T64="Air",'Catalogue Aluminium'!$N$9,IF(T64="GROUND",'Catalogue Aluminium'!$N$10,IF(T64="DUCT",'Catalogue Aluminium'!$N$11,IF(T64="TRENCH",'Catalogue Aluminium'!$N$12,"NA"))))</f>
        <v>NA</v>
      </c>
      <c r="AL64" s="586" t="str">
        <f>IF(T64="Air",(IF(U64="1C",'Catalogue Aluminium'!$O$9,'Catalogue Aluminium'!$P$9)),IF(T64="DUCT",(IF($U64="1C",'Catalogue Aluminium'!$O$10,'Catalogue Aluminium'!$P$10)),IF(T64="GROUND",(IF($U64="1C",'Catalogue Aluminium'!$O$11,'Catalogue Aluminium'!$P$11)),IF(T64="TRENCH",(IF($U64="1C",'Catalogue Aluminium'!$O$12,'Catalogue Aluminium'!$P$12))))))</f>
        <v>NA</v>
      </c>
      <c r="AM64" s="586" t="str">
        <f>IF(T64="AIR","NA",IF(T64="TRENCH","NA",IF(T64="DUCT",IF(U64="1C",VLOOKUP(V64,'Catalogue Aluminium'!$Q$9:$S$28,2,FALSE),VLOOKUP(V64,'Catalogue Aluminium'!$Q$9:$S$28,3)),IF(T64="GROUND",IF(U64="1C",VLOOKUP(V64,'Catalogue Aluminium'!$Q$9:$S$28,2,FALSE),VLOOKUP(V64,'Catalogue Aluminium'!$Q$9:$S$28,3))))))</f>
        <v>NA</v>
      </c>
      <c r="AN64" s="589">
        <f t="shared" si="171"/>
        <v>0.58740000000000003</v>
      </c>
      <c r="AO64" s="584">
        <f t="shared" si="172"/>
        <v>55.803000000000004</v>
      </c>
      <c r="AP64" s="582">
        <v>2</v>
      </c>
      <c r="AQ64" s="584" t="str">
        <f t="shared" si="173"/>
        <v>YES</v>
      </c>
      <c r="AR64" s="589">
        <f t="shared" si="174"/>
        <v>11.770048466930108</v>
      </c>
      <c r="AS64" s="583" t="str">
        <f t="shared" si="175"/>
        <v>NO</v>
      </c>
      <c r="AT64" s="589" t="str">
        <f t="shared" si="176"/>
        <v>NA</v>
      </c>
      <c r="AU64" s="583" t="str">
        <f t="shared" si="177"/>
        <v>NA</v>
      </c>
      <c r="AV64" s="590" t="str">
        <f t="shared" si="178"/>
        <v>2R x 0.6/1kV x 3.5C x 25 Sqmm</v>
      </c>
      <c r="AW64" s="590" t="str">
        <f t="shared" si="179"/>
        <v>2R x 0.6/1kV x 3.5C x 25 Sqmm</v>
      </c>
      <c r="AX64" s="583">
        <f t="shared" si="180"/>
        <v>818</v>
      </c>
      <c r="AY64" s="591"/>
    </row>
    <row r="65" spans="1:51" s="115" customFormat="1" ht="20.149999999999999" hidden="1" customHeight="1">
      <c r="A65" s="262" t="s">
        <v>303</v>
      </c>
      <c r="B65" s="262" t="s">
        <v>382</v>
      </c>
      <c r="C65" s="262" t="str">
        <f t="shared" si="161"/>
        <v>PMCC-1</v>
      </c>
      <c r="D65" s="290" t="s">
        <v>404</v>
      </c>
      <c r="E65" s="346" t="s">
        <v>310</v>
      </c>
      <c r="F65" s="262" t="s">
        <v>28</v>
      </c>
      <c r="G65" s="262" t="s">
        <v>298</v>
      </c>
      <c r="H65" s="258">
        <v>17.5</v>
      </c>
      <c r="I65" s="262" t="s">
        <v>299</v>
      </c>
      <c r="J65" s="262" t="s">
        <v>300</v>
      </c>
      <c r="K65" s="259">
        <v>400</v>
      </c>
      <c r="L65" s="264">
        <v>0.85</v>
      </c>
      <c r="M65" s="258">
        <v>0.95</v>
      </c>
      <c r="N65" s="263">
        <f t="shared" si="162"/>
        <v>31.281504944265301</v>
      </c>
      <c r="O65" s="263">
        <f t="shared" si="108"/>
        <v>0</v>
      </c>
      <c r="P65" s="264" t="str">
        <f t="shared" si="163"/>
        <v>0.00</v>
      </c>
      <c r="Q65" s="258">
        <v>65</v>
      </c>
      <c r="R65" s="258">
        <v>0</v>
      </c>
      <c r="S65" s="258">
        <f t="shared" si="164"/>
        <v>0</v>
      </c>
      <c r="T65" s="264" t="s">
        <v>131</v>
      </c>
      <c r="U65" s="258" t="s">
        <v>390</v>
      </c>
      <c r="V65" s="264">
        <v>25</v>
      </c>
      <c r="W65" s="264" t="str">
        <f t="shared" si="165"/>
        <v>3.5C X 25</v>
      </c>
      <c r="X65" s="264" t="str">
        <f t="shared" si="166"/>
        <v>3.5C X 25</v>
      </c>
      <c r="Y65" s="264" t="s">
        <v>314</v>
      </c>
      <c r="Z65" s="265">
        <f>IF(T65="AIR",VLOOKUP(W65,'Catalogue Aluminium'!$B$9:$G$91,2,FALSE),IF(T65="GROUND",VLOOKUP(W65,'Catalogue Aluminium'!$B$9:$G$91,3,FALSE),IF(T65="DUCT",VLOOKUP(W65,'Catalogue Aluminium'!$B$9:$G$91,4,FALSE),IF(T65="TRENCH",VLOOKUP(W65,'Catalogue Aluminium'!$B$9:$G$91,2,FALSE)))))</f>
        <v>95</v>
      </c>
      <c r="AA65" s="266">
        <f>VLOOKUP(W65,'Catalogue Aluminium'!$B$9:$G$91,5,FALSE)</f>
        <v>1.54</v>
      </c>
      <c r="AB65" s="266">
        <f>VLOOKUP(W65,'Catalogue Aluminium'!$B$9:$G$91,6,FALSE)</f>
        <v>8.1600000000000006E-2</v>
      </c>
      <c r="AC65" s="264">
        <f>26+3</f>
        <v>29</v>
      </c>
      <c r="AD65" s="264">
        <f>11+34+48+35+30+11+24+(15+18+26+22+12+3+15)</f>
        <v>304</v>
      </c>
      <c r="AE65" s="264">
        <f t="shared" si="168"/>
        <v>38</v>
      </c>
      <c r="AF65" s="264">
        <v>8</v>
      </c>
      <c r="AG65" s="264">
        <f t="shared" si="169"/>
        <v>38</v>
      </c>
      <c r="AH65" s="267">
        <f t="shared" si="170"/>
        <v>417</v>
      </c>
      <c r="AI65" s="265">
        <f>IF(T65="AIR",'Catalogue Aluminium'!$K$9,IF(T65="TRENCH",'Catalogue Aluminium'!$K$12,"NA"))</f>
        <v>0.89</v>
      </c>
      <c r="AJ65" s="263">
        <f>IF(T65="Air",(IF(U65="1C",'Catalogue Aluminium'!$L$9,'Catalogue Aluminium'!$M$9)),IF(T65="DUCT",(IF($U65="1C",'Catalogue Aluminium'!$L$10,'Catalogue Aluminium'!$M$10)),IF(T65="GROUND",(IF($U65="1C",'Catalogue Aluminium'!$L$11,'Catalogue Aluminium'!$M$11)),IF(T65="TRENCH",(IF($U65="1C",'Catalogue Aluminium'!$L$12,'Catalogue Aluminium'!$M$12))))))</f>
        <v>0.66</v>
      </c>
      <c r="AK65" s="265" t="str">
        <f>IF(T65="Air",'Catalogue Aluminium'!$N$9,IF(T65="GROUND",'Catalogue Aluminium'!$N$10,IF(T65="DUCT",'Catalogue Aluminium'!$N$11,IF(T65="TRENCH",'Catalogue Aluminium'!$N$12,"NA"))))</f>
        <v>NA</v>
      </c>
      <c r="AL65" s="265" t="str">
        <f>IF(T65="Air",(IF(U65="1C",'Catalogue Aluminium'!$O$9,'Catalogue Aluminium'!$P$9)),IF(T65="DUCT",(IF($U65="1C",'Catalogue Aluminium'!$O$10,'Catalogue Aluminium'!$P$10)),IF(T65="GROUND",(IF($U65="1C",'Catalogue Aluminium'!$O$11,'Catalogue Aluminium'!$P$11)),IF(T65="TRENCH",(IF($U65="1C",'Catalogue Aluminium'!$O$12,'Catalogue Aluminium'!$P$12))))))</f>
        <v>NA</v>
      </c>
      <c r="AM65" s="265" t="str">
        <f>IF(T65="AIR","NA",IF(T65="TRENCH","NA",IF(T65="DUCT",IF(U65="1C",VLOOKUP(V65,'Catalogue Aluminium'!$Q$9:$S$28,2,FALSE),VLOOKUP(V65,'Catalogue Aluminium'!$Q$9:$S$28,3)),IF(T65="GROUND",IF(U65="1C",VLOOKUP(V65,'Catalogue Aluminium'!$Q$9:$S$28,2,FALSE),VLOOKUP(V65,'Catalogue Aluminium'!$Q$9:$S$28,3))))))</f>
        <v>NA</v>
      </c>
      <c r="AN65" s="268">
        <f t="shared" si="171"/>
        <v>0.58740000000000003</v>
      </c>
      <c r="AO65" s="258">
        <f t="shared" si="172"/>
        <v>55.803000000000004</v>
      </c>
      <c r="AP65" s="259">
        <f t="shared" si="10"/>
        <v>1</v>
      </c>
      <c r="AQ65" s="258" t="str">
        <f t="shared" si="173"/>
        <v>YES</v>
      </c>
      <c r="AR65" s="268">
        <f t="shared" si="174"/>
        <v>7.6365351133516306</v>
      </c>
      <c r="AS65" s="349" t="str">
        <f t="shared" si="175"/>
        <v>NO</v>
      </c>
      <c r="AT65" s="268" t="str">
        <f>IF(G65="MOTOR",(SQRT(3)*AH65*O65*((AA65*L65)+(AB65*SIN(ACOS(L65))))*100/(AP65*K65*1000)),"NA")</f>
        <v>NA</v>
      </c>
      <c r="AU65" s="264" t="str">
        <f t="shared" si="177"/>
        <v>NA</v>
      </c>
      <c r="AV65" s="269" t="str">
        <f t="shared" si="178"/>
        <v>1R x 0.6/1kV x 3.5C x 25 Sqmm</v>
      </c>
      <c r="AW65" s="269" t="str">
        <f t="shared" si="179"/>
        <v>1R x 0.6/1kV x 3.5C x 25 Sqmm</v>
      </c>
      <c r="AX65" s="264"/>
      <c r="AY65" s="270"/>
    </row>
    <row r="66" spans="1:51" s="75" customFormat="1" ht="20.149999999999999" hidden="1" customHeight="1">
      <c r="A66" s="262" t="s">
        <v>303</v>
      </c>
      <c r="B66" s="262" t="s">
        <v>382</v>
      </c>
      <c r="C66" s="262" t="str">
        <f t="shared" si="161"/>
        <v>PMCC-1</v>
      </c>
      <c r="D66" s="290" t="s">
        <v>405</v>
      </c>
      <c r="E66" s="346" t="s">
        <v>310</v>
      </c>
      <c r="F66" s="262" t="s">
        <v>29</v>
      </c>
      <c r="G66" s="262" t="s">
        <v>298</v>
      </c>
      <c r="H66" s="258">
        <v>1</v>
      </c>
      <c r="I66" s="262" t="s">
        <v>299</v>
      </c>
      <c r="J66" s="262" t="s">
        <v>300</v>
      </c>
      <c r="K66" s="259">
        <v>400</v>
      </c>
      <c r="L66" s="264">
        <v>0.85</v>
      </c>
      <c r="M66" s="258">
        <v>0.95</v>
      </c>
      <c r="N66" s="263">
        <f t="shared" si="162"/>
        <v>1.7875145682437314</v>
      </c>
      <c r="O66" s="263">
        <f t="shared" si="108"/>
        <v>0</v>
      </c>
      <c r="P66" s="264" t="str">
        <f t="shared" si="163"/>
        <v>0.00</v>
      </c>
      <c r="Q66" s="258">
        <v>65</v>
      </c>
      <c r="R66" s="258">
        <v>0</v>
      </c>
      <c r="S66" s="258">
        <f t="shared" si="164"/>
        <v>0</v>
      </c>
      <c r="T66" s="264" t="s">
        <v>131</v>
      </c>
      <c r="U66" s="258" t="s">
        <v>377</v>
      </c>
      <c r="V66" s="264">
        <v>25</v>
      </c>
      <c r="W66" s="264" t="str">
        <f t="shared" si="165"/>
        <v>4C X 25</v>
      </c>
      <c r="X66" s="264" t="str">
        <f t="shared" si="166"/>
        <v>4C X 25</v>
      </c>
      <c r="Y66" s="264" t="s">
        <v>314</v>
      </c>
      <c r="Z66" s="265" t="e">
        <f>IF(T66="AIR",VLOOKUP(W66,'Catalogue Aluminium'!$B$9:$G$91,2,FALSE),IF(T66="GROUND",VLOOKUP(W66,'Catalogue Aluminium'!$B$9:$G$91,3,FALSE),IF(T66="DUCT",VLOOKUP(W66,'Catalogue Aluminium'!$B$9:$G$91,4,FALSE),IF(T66="TRENCH",VLOOKUP(W66,'Catalogue Aluminium'!$B$9:$G$91,2,FALSE)))))</f>
        <v>#N/A</v>
      </c>
      <c r="AA66" s="266" t="e">
        <f>VLOOKUP(W66,'Catalogue Aluminium'!$B$9:$G$91,5,FALSE)</f>
        <v>#N/A</v>
      </c>
      <c r="AB66" s="266" t="e">
        <f>VLOOKUP(W66,'Catalogue Aluminium'!$B$9:$G$91,6,FALSE)</f>
        <v>#N/A</v>
      </c>
      <c r="AC66" s="264">
        <f>35+3</f>
        <v>38</v>
      </c>
      <c r="AD66" s="264">
        <f>11+34+48+35+30+11+24+(15+18+26+22+12+3+15)</f>
        <v>304</v>
      </c>
      <c r="AE66" s="322">
        <f t="shared" si="168"/>
        <v>38</v>
      </c>
      <c r="AF66" s="264">
        <v>8</v>
      </c>
      <c r="AG66" s="264">
        <f t="shared" si="169"/>
        <v>39</v>
      </c>
      <c r="AH66" s="267">
        <f t="shared" si="170"/>
        <v>427</v>
      </c>
      <c r="AI66" s="265">
        <f>IF(T66="AIR",'Catalogue Aluminium'!$K$9,IF(T66="TRENCH",'Catalogue Aluminium'!$K$12,"NA"))</f>
        <v>0.89</v>
      </c>
      <c r="AJ66" s="263">
        <f>IF(T66="Air",(IF(U66="1C",'Catalogue Aluminium'!$L$9,'Catalogue Aluminium'!$M$9)),IF(T66="DUCT",(IF($U66="1C",'Catalogue Aluminium'!$L$10,'Catalogue Aluminium'!$M$10)),IF(T66="GROUND",(IF($U66="1C",'Catalogue Aluminium'!$L$11,'Catalogue Aluminium'!$M$11)),IF(T66="TRENCH",(IF($U66="1C",'Catalogue Aluminium'!$L$12,'Catalogue Aluminium'!$M$12))))))</f>
        <v>0.66</v>
      </c>
      <c r="AK66" s="265" t="str">
        <f>IF(T66="Air",'Catalogue Aluminium'!$N$9,IF(T66="GROUND",'Catalogue Aluminium'!$N$10,IF(T66="DUCT",'Catalogue Aluminium'!$N$11,IF(T66="TRENCH",'Catalogue Aluminium'!$N$12,"NA"))))</f>
        <v>NA</v>
      </c>
      <c r="AL66" s="265" t="str">
        <f>IF(T66="Air",(IF(U66="1C",'Catalogue Aluminium'!$O$9,'Catalogue Aluminium'!$P$9)),IF(T66="DUCT",(IF($U66="1C",'Catalogue Aluminium'!$O$10,'Catalogue Aluminium'!$P$10)),IF(T66="GROUND",(IF($U66="1C",'Catalogue Aluminium'!$O$11,'Catalogue Aluminium'!$P$11)),IF(T66="TRENCH",(IF($U66="1C",'Catalogue Aluminium'!$O$12,'Catalogue Aluminium'!$P$12))))))</f>
        <v>NA</v>
      </c>
      <c r="AM66" s="265" t="str">
        <f>IF(T66="AIR","NA",IF(T66="TRENCH","NA",IF(T66="DUCT",IF(U66="1C",VLOOKUP(V66,'Catalogue Aluminium'!$Q$9:$S$28,2,FALSE),VLOOKUP(V66,'Catalogue Aluminium'!$Q$9:$S$28,3)),IF(T66="GROUND",IF(U66="1C",VLOOKUP(V66,'Catalogue Aluminium'!$Q$9:$S$28,2,FALSE),VLOOKUP(V66,'Catalogue Aluminium'!$Q$9:$S$28,3))))))</f>
        <v>NA</v>
      </c>
      <c r="AN66" s="268">
        <f t="shared" si="171"/>
        <v>0.58740000000000003</v>
      </c>
      <c r="AO66" s="258" t="e">
        <f t="shared" si="172"/>
        <v>#N/A</v>
      </c>
      <c r="AP66" s="259" t="e">
        <f t="shared" si="10"/>
        <v>#N/A</v>
      </c>
      <c r="AQ66" s="258" t="e">
        <f t="shared" si="173"/>
        <v>#N/A</v>
      </c>
      <c r="AR66" s="268" t="e">
        <f t="shared" si="174"/>
        <v>#N/A</v>
      </c>
      <c r="AS66" s="349" t="e">
        <f t="shared" si="175"/>
        <v>#N/A</v>
      </c>
      <c r="AT66" s="268" t="str">
        <f>IF(G66="MOTOR",(SQRT(3)*AH66*O66*((AA66*L66)+(AB66*SIN(ACOS(L66))))*100/(AP66*K66*1000)),"NA")</f>
        <v>NA</v>
      </c>
      <c r="AU66" s="264" t="str">
        <f t="shared" si="177"/>
        <v>NA</v>
      </c>
      <c r="AV66" s="269" t="e">
        <f t="shared" si="178"/>
        <v>#N/A</v>
      </c>
      <c r="AW66" s="269" t="e">
        <f t="shared" si="179"/>
        <v>#N/A</v>
      </c>
      <c r="AX66" s="264"/>
      <c r="AY66" s="270"/>
    </row>
    <row r="67" spans="1:51" ht="34.5" customHeight="1">
      <c r="A67" s="285">
        <f>1+A63</f>
        <v>43</v>
      </c>
      <c r="B67" s="285">
        <v>0</v>
      </c>
      <c r="C67" s="285" t="s">
        <v>344</v>
      </c>
      <c r="D67" s="244" t="s">
        <v>406</v>
      </c>
      <c r="E67" s="352" t="s">
        <v>310</v>
      </c>
      <c r="F67" s="285" t="s">
        <v>28</v>
      </c>
      <c r="G67" s="285" t="s">
        <v>298</v>
      </c>
      <c r="H67" s="421">
        <v>0.06</v>
      </c>
      <c r="I67" s="285" t="s">
        <v>299</v>
      </c>
      <c r="J67" s="285" t="s">
        <v>313</v>
      </c>
      <c r="K67" s="309">
        <v>230</v>
      </c>
      <c r="L67" s="294">
        <v>0.85</v>
      </c>
      <c r="M67" s="304">
        <v>0.95</v>
      </c>
      <c r="N67" s="287">
        <f t="shared" si="162"/>
        <v>0.32305828509893664</v>
      </c>
      <c r="O67" s="287">
        <f t="shared" si="108"/>
        <v>0</v>
      </c>
      <c r="P67" s="294" t="str">
        <f t="shared" si="163"/>
        <v>0.00</v>
      </c>
      <c r="Q67" s="304">
        <v>65</v>
      </c>
      <c r="R67" s="304">
        <v>0</v>
      </c>
      <c r="S67" s="304">
        <f t="shared" si="164"/>
        <v>0</v>
      </c>
      <c r="T67" s="294" t="s">
        <v>131</v>
      </c>
      <c r="U67" s="304" t="s">
        <v>302</v>
      </c>
      <c r="V67" s="294">
        <v>25</v>
      </c>
      <c r="W67" s="294" t="str">
        <f t="shared" si="165"/>
        <v>3C X 25</v>
      </c>
      <c r="X67" s="294" t="str">
        <f t="shared" si="166"/>
        <v>3C X 25</v>
      </c>
      <c r="Y67" s="294" t="s">
        <v>314</v>
      </c>
      <c r="Z67" s="288">
        <f>IF(T67="AIR",VLOOKUP(W67,'Catalogue Aluminium'!$B$9:$G$91,2,FALSE),IF(T67="GROUND",VLOOKUP(W67,'Catalogue Aluminium'!$B$9:$G$91,3,FALSE),IF(T67="DUCT",VLOOKUP(W67,'Catalogue Aluminium'!$B$9:$G$91,4,FALSE),IF(T67="TRENCH",VLOOKUP(W67,'Catalogue Aluminium'!$B$9:$G$91,2,FALSE)))))</f>
        <v>95</v>
      </c>
      <c r="AA67" s="295">
        <f>VLOOKUP(W67,'Catalogue Aluminium'!$B$9:$G$91,5,FALSE)</f>
        <v>1.54</v>
      </c>
      <c r="AB67" s="295">
        <f>VLOOKUP(W67,'Catalogue Aluminium'!$B$9:$G$91,6,FALSE)</f>
        <v>8.1600000000000006E-2</v>
      </c>
      <c r="AC67" s="294">
        <f>26+3</f>
        <v>29</v>
      </c>
      <c r="AD67" s="294">
        <f>40+50+38+50+17+(27+42+22)</f>
        <v>286</v>
      </c>
      <c r="AE67" s="294">
        <f t="shared" si="168"/>
        <v>38</v>
      </c>
      <c r="AF67" s="294">
        <v>8</v>
      </c>
      <c r="AG67" s="294">
        <f t="shared" si="169"/>
        <v>37</v>
      </c>
      <c r="AH67" s="311">
        <f t="shared" si="170"/>
        <v>398</v>
      </c>
      <c r="AI67" s="288">
        <f>IF(T67="AIR",'Catalogue Aluminium'!$K$9,IF(T67="TRENCH",'Catalogue Aluminium'!$K$12,"NA"))</f>
        <v>0.89</v>
      </c>
      <c r="AJ67" s="287">
        <f>IF(T67="Air",(IF(U67="1C",'Catalogue Aluminium'!$L$9,'Catalogue Aluminium'!$M$9)),IF(T67="DUCT",(IF($U67="1C",'Catalogue Aluminium'!$L$10,'Catalogue Aluminium'!$M$10)),IF(T67="GROUND",(IF($U67="1C",'Catalogue Aluminium'!$L$11,'Catalogue Aluminium'!$M$11)),IF(T67="TRENCH",(IF($U67="1C",'Catalogue Aluminium'!$L$12,'Catalogue Aluminium'!$M$12))))))</f>
        <v>0.66</v>
      </c>
      <c r="AK67" s="288" t="str">
        <f>IF(T67="Air",'Catalogue Aluminium'!$N$9,IF(T67="GROUND",'Catalogue Aluminium'!$N$10,IF(T67="DUCT",'Catalogue Aluminium'!$N$11,IF(T67="TRENCH",'Catalogue Aluminium'!$N$12,"NA"))))</f>
        <v>NA</v>
      </c>
      <c r="AL67" s="288" t="str">
        <f>IF(T67="Air",(IF(U67="1C",'Catalogue Aluminium'!$O$9,'Catalogue Aluminium'!$P$9)),IF(T67="DUCT",(IF($U67="1C",'Catalogue Aluminium'!$O$10,'Catalogue Aluminium'!$P$10)),IF(T67="GROUND",(IF($U67="1C",'Catalogue Aluminium'!$O$11,'Catalogue Aluminium'!$P$11)),IF(T67="TRENCH",(IF($U67="1C",'Catalogue Aluminium'!$O$12,'Catalogue Aluminium'!$P$12))))))</f>
        <v>NA</v>
      </c>
      <c r="AM67" s="288" t="str">
        <f>IF(T67="AIR","NA",IF(T67="TRENCH","NA",IF(T67="DUCT",IF(U67="1C",VLOOKUP(V67,'Catalogue Aluminium'!$Q$9:$S$28,2,FALSE),VLOOKUP(V67,'Catalogue Aluminium'!$Q$9:$S$28,3)),IF(T67="GROUND",IF(U67="1C",VLOOKUP(V67,'Catalogue Aluminium'!$Q$9:$S$28,2,FALSE),VLOOKUP(V67,'Catalogue Aluminium'!$Q$9:$S$28,3))))))</f>
        <v>NA</v>
      </c>
      <c r="AN67" s="312">
        <f t="shared" si="171"/>
        <v>0.58740000000000003</v>
      </c>
      <c r="AO67" s="304">
        <f t="shared" si="172"/>
        <v>55.803000000000004</v>
      </c>
      <c r="AP67" s="309">
        <f t="shared" si="10"/>
        <v>1</v>
      </c>
      <c r="AQ67" s="304" t="str">
        <f t="shared" si="173"/>
        <v>YES</v>
      </c>
      <c r="AR67" s="312">
        <f t="shared" si="174"/>
        <v>0.13090877838090875</v>
      </c>
      <c r="AS67" s="294" t="str">
        <f t="shared" si="175"/>
        <v>YES</v>
      </c>
      <c r="AT67" s="312" t="str">
        <f t="shared" ref="AT67:AT81" si="199">IF(G67="MOTOR",(SQRT(3)*AH67*O67*((AA67*P67)+(AB67*SIN(ACOS(P67))))*100/(AP67*K67*1000)),"NA")</f>
        <v>NA</v>
      </c>
      <c r="AU67" s="294" t="str">
        <f t="shared" si="177"/>
        <v>NA</v>
      </c>
      <c r="AV67" s="353" t="str">
        <f t="shared" si="178"/>
        <v>1R x 0.6/1kV x 3C x 25 Sqmm</v>
      </c>
      <c r="AW67" s="353" t="str">
        <f t="shared" si="179"/>
        <v>1R x 0.6/1kV x 3C x 25 Sqmm</v>
      </c>
      <c r="AX67" s="294">
        <f t="shared" ref="AX67:AX81" si="200">(IF(K67=400,(IF(U67="1C",(4*AH67*AP67),(AH67*AP67))),IF(K67=230,(AH67*AP67))))</f>
        <v>398</v>
      </c>
      <c r="AY67" s="354"/>
    </row>
    <row r="68" spans="1:51" ht="49.5" customHeight="1">
      <c r="A68" s="285">
        <f t="shared" si="181"/>
        <v>44</v>
      </c>
      <c r="B68" s="285">
        <v>0</v>
      </c>
      <c r="C68" s="285" t="s">
        <v>344</v>
      </c>
      <c r="D68" s="244" t="s">
        <v>407</v>
      </c>
      <c r="E68" s="352" t="s">
        <v>310</v>
      </c>
      <c r="F68" s="285" t="s">
        <v>29</v>
      </c>
      <c r="G68" s="285" t="s">
        <v>298</v>
      </c>
      <c r="H68" s="421">
        <v>0.06</v>
      </c>
      <c r="I68" s="285" t="s">
        <v>299</v>
      </c>
      <c r="J68" s="285" t="s">
        <v>313</v>
      </c>
      <c r="K68" s="309">
        <v>230</v>
      </c>
      <c r="L68" s="294">
        <v>0.85</v>
      </c>
      <c r="M68" s="304">
        <v>0.95</v>
      </c>
      <c r="N68" s="287">
        <f t="shared" si="162"/>
        <v>0.32305828509893664</v>
      </c>
      <c r="O68" s="287">
        <f t="shared" si="108"/>
        <v>0</v>
      </c>
      <c r="P68" s="294" t="str">
        <f t="shared" si="163"/>
        <v>0.00</v>
      </c>
      <c r="Q68" s="304">
        <v>65</v>
      </c>
      <c r="R68" s="304">
        <v>0</v>
      </c>
      <c r="S68" s="304">
        <f t="shared" si="164"/>
        <v>0</v>
      </c>
      <c r="T68" s="294" t="s">
        <v>131</v>
      </c>
      <c r="U68" s="304" t="s">
        <v>302</v>
      </c>
      <c r="V68" s="294">
        <v>25</v>
      </c>
      <c r="W68" s="294" t="str">
        <f t="shared" si="165"/>
        <v>3C X 25</v>
      </c>
      <c r="X68" s="294" t="str">
        <f t="shared" si="166"/>
        <v>3C X 25</v>
      </c>
      <c r="Y68" s="294" t="s">
        <v>314</v>
      </c>
      <c r="Z68" s="288">
        <f>IF(T68="AIR",VLOOKUP(W68,'Catalogue Aluminium'!$B$9:$G$91,2,FALSE),IF(T68="GROUND",VLOOKUP(W68,'Catalogue Aluminium'!$B$9:$G$91,3,FALSE),IF(T68="DUCT",VLOOKUP(W68,'Catalogue Aluminium'!$B$9:$G$91,4,FALSE),IF(T68="TRENCH",VLOOKUP(W68,'Catalogue Aluminium'!$B$9:$G$91,2,FALSE)))))</f>
        <v>95</v>
      </c>
      <c r="AA68" s="295">
        <f>VLOOKUP(W68,'Catalogue Aluminium'!$B$9:$G$91,5,FALSE)</f>
        <v>1.54</v>
      </c>
      <c r="AB68" s="295">
        <f>VLOOKUP(W68,'Catalogue Aluminium'!$B$9:$G$91,6,FALSE)</f>
        <v>8.1600000000000006E-2</v>
      </c>
      <c r="AC68" s="294">
        <f t="shared" ref="AC68" si="201">17+3</f>
        <v>20</v>
      </c>
      <c r="AD68" s="294">
        <f>40+50+38+50+17+(27+42+23)</f>
        <v>287</v>
      </c>
      <c r="AE68" s="294">
        <f t="shared" si="168"/>
        <v>38</v>
      </c>
      <c r="AF68" s="294">
        <v>8</v>
      </c>
      <c r="AG68" s="294">
        <f t="shared" si="169"/>
        <v>36</v>
      </c>
      <c r="AH68" s="311">
        <f t="shared" si="170"/>
        <v>389</v>
      </c>
      <c r="AI68" s="288">
        <f>IF(T68="AIR",'Catalogue Aluminium'!$K$9,IF(T68="TRENCH",'Catalogue Aluminium'!$K$12,"NA"))</f>
        <v>0.89</v>
      </c>
      <c r="AJ68" s="287">
        <f>IF(T68="Air",(IF(U68="1C",'Catalogue Aluminium'!$L$9,'Catalogue Aluminium'!$M$9)),IF(T68="DUCT",(IF($U68="1C",'Catalogue Aluminium'!$L$10,'Catalogue Aluminium'!$M$10)),IF(T68="GROUND",(IF($U68="1C",'Catalogue Aluminium'!$L$11,'Catalogue Aluminium'!$M$11)),IF(T68="TRENCH",(IF($U68="1C",'Catalogue Aluminium'!$L$12,'Catalogue Aluminium'!$M$12))))))</f>
        <v>0.66</v>
      </c>
      <c r="AK68" s="288" t="str">
        <f>IF(T68="Air",'Catalogue Aluminium'!$N$9,IF(T68="GROUND",'Catalogue Aluminium'!$N$10,IF(T68="DUCT",'Catalogue Aluminium'!$N$11,IF(T68="TRENCH",'Catalogue Aluminium'!$N$12,"NA"))))</f>
        <v>NA</v>
      </c>
      <c r="AL68" s="288" t="str">
        <f>IF(T68="Air",(IF(U68="1C",'Catalogue Aluminium'!$O$9,'Catalogue Aluminium'!$P$9)),IF(T68="DUCT",(IF($U68="1C",'Catalogue Aluminium'!$O$10,'Catalogue Aluminium'!$P$10)),IF(T68="GROUND",(IF($U68="1C",'Catalogue Aluminium'!$O$11,'Catalogue Aluminium'!$P$11)),IF(T68="TRENCH",(IF($U68="1C",'Catalogue Aluminium'!$O$12,'Catalogue Aluminium'!$P$12))))))</f>
        <v>NA</v>
      </c>
      <c r="AM68" s="288" t="str">
        <f>IF(T68="AIR","NA",IF(T68="TRENCH","NA",IF(T68="DUCT",IF(U68="1C",VLOOKUP(V68,'Catalogue Aluminium'!$Q$9:$S$28,2,FALSE),VLOOKUP(V68,'Catalogue Aluminium'!$Q$9:$S$28,3)),IF(T68="GROUND",IF(U68="1C",VLOOKUP(V68,'Catalogue Aluminium'!$Q$9:$S$28,2,FALSE),VLOOKUP(V68,'Catalogue Aluminium'!$Q$9:$S$28,3))))))</f>
        <v>NA</v>
      </c>
      <c r="AN68" s="312">
        <f t="shared" si="171"/>
        <v>0.58740000000000003</v>
      </c>
      <c r="AO68" s="304">
        <f t="shared" si="172"/>
        <v>55.803000000000004</v>
      </c>
      <c r="AP68" s="309">
        <f t="shared" si="10"/>
        <v>1</v>
      </c>
      <c r="AQ68" s="304" t="str">
        <f t="shared" si="173"/>
        <v>YES</v>
      </c>
      <c r="AR68" s="312">
        <f t="shared" si="174"/>
        <v>0.12794852962355149</v>
      </c>
      <c r="AS68" s="294" t="str">
        <f t="shared" si="175"/>
        <v>YES</v>
      </c>
      <c r="AT68" s="312" t="str">
        <f t="shared" si="199"/>
        <v>NA</v>
      </c>
      <c r="AU68" s="294" t="str">
        <f t="shared" si="177"/>
        <v>NA</v>
      </c>
      <c r="AV68" s="353" t="str">
        <f t="shared" si="178"/>
        <v>1R x 0.6/1kV x 3C x 25 Sqmm</v>
      </c>
      <c r="AW68" s="353" t="str">
        <f t="shared" si="179"/>
        <v>1R x 0.6/1kV x 3C x 25 Sqmm</v>
      </c>
      <c r="AX68" s="294">
        <f t="shared" si="200"/>
        <v>389</v>
      </c>
      <c r="AY68" s="354"/>
    </row>
    <row r="69" spans="1:51" ht="34.5" customHeight="1">
      <c r="A69" s="285">
        <f t="shared" si="181"/>
        <v>45</v>
      </c>
      <c r="B69" s="298" t="s">
        <v>994</v>
      </c>
      <c r="C69" s="285" t="s">
        <v>344</v>
      </c>
      <c r="D69" s="244" t="s">
        <v>408</v>
      </c>
      <c r="E69" s="352" t="s">
        <v>310</v>
      </c>
      <c r="F69" s="285" t="s">
        <v>28</v>
      </c>
      <c r="G69" s="285" t="s">
        <v>311</v>
      </c>
      <c r="H69" s="304">
        <v>4</v>
      </c>
      <c r="I69" s="285" t="s">
        <v>299</v>
      </c>
      <c r="J69" s="285" t="s">
        <v>300</v>
      </c>
      <c r="K69" s="309">
        <v>400</v>
      </c>
      <c r="L69" s="294">
        <v>0.85</v>
      </c>
      <c r="M69" s="304">
        <v>0.95</v>
      </c>
      <c r="N69" s="287">
        <f t="shared" si="162"/>
        <v>7.1500582729749258</v>
      </c>
      <c r="O69" s="287">
        <f t="shared" si="108"/>
        <v>42.900349637849558</v>
      </c>
      <c r="P69" s="294">
        <f t="shared" si="163"/>
        <v>0.2</v>
      </c>
      <c r="Q69" s="304">
        <v>65</v>
      </c>
      <c r="R69" s="304">
        <v>0</v>
      </c>
      <c r="S69" s="304">
        <f t="shared" si="164"/>
        <v>0</v>
      </c>
      <c r="T69" s="294" t="s">
        <v>131</v>
      </c>
      <c r="U69" s="304" t="s">
        <v>302</v>
      </c>
      <c r="V69" s="294">
        <v>16</v>
      </c>
      <c r="W69" s="294" t="str">
        <f t="shared" si="165"/>
        <v>3C X 16</v>
      </c>
      <c r="X69" s="294" t="str">
        <f t="shared" si="166"/>
        <v>3C X 16+PE</v>
      </c>
      <c r="Y69" s="294" t="s">
        <v>314</v>
      </c>
      <c r="Z69" s="288">
        <f>IF(T69="AIR",VLOOKUP(W69,'Catalogue Aluminium'!$B$9:$G$91,2,FALSE),IF(T69="GROUND",VLOOKUP(W69,'Catalogue Aluminium'!$B$9:$G$91,3,FALSE),IF(T69="DUCT",VLOOKUP(W69,'Catalogue Aluminium'!$B$9:$G$91,4,FALSE),IF(T69="TRENCH",VLOOKUP(W69,'Catalogue Aluminium'!$B$9:$G$91,2,FALSE)))))</f>
        <v>70</v>
      </c>
      <c r="AA69" s="295">
        <f>VLOOKUP(W69,'Catalogue Aluminium'!$B$9:$G$91,5,FALSE)</f>
        <v>2.44</v>
      </c>
      <c r="AB69" s="295">
        <f>VLOOKUP(W69,'Catalogue Aluminium'!$B$9:$G$91,6,FALSE)</f>
        <v>8.1500000000000003E-2</v>
      </c>
      <c r="AC69" s="294">
        <f>26+3</f>
        <v>29</v>
      </c>
      <c r="AD69" s="294">
        <f>40+50+38+50+17+(27+42+22)</f>
        <v>286</v>
      </c>
      <c r="AE69" s="294">
        <f t="shared" si="168"/>
        <v>38</v>
      </c>
      <c r="AF69" s="294">
        <v>8</v>
      </c>
      <c r="AG69" s="294">
        <f t="shared" si="169"/>
        <v>37</v>
      </c>
      <c r="AH69" s="311">
        <f t="shared" si="170"/>
        <v>398</v>
      </c>
      <c r="AI69" s="288">
        <f>IF(T69="AIR",'Catalogue Aluminium'!$K$9,IF(T69="TRENCH",'Catalogue Aluminium'!$K$12,"NA"))</f>
        <v>0.89</v>
      </c>
      <c r="AJ69" s="287">
        <f>IF(T69="Air",(IF(U69="1C",'Catalogue Aluminium'!$L$9,'Catalogue Aluminium'!$M$9)),IF(T69="DUCT",(IF($U69="1C",'Catalogue Aluminium'!$L$10,'Catalogue Aluminium'!$M$10)),IF(T69="GROUND",(IF($U69="1C",'Catalogue Aluminium'!$L$11,'Catalogue Aluminium'!$M$11)),IF(T69="TRENCH",(IF($U69="1C",'Catalogue Aluminium'!$L$12,'Catalogue Aluminium'!$M$12))))))</f>
        <v>0.66</v>
      </c>
      <c r="AK69" s="288" t="str">
        <f>IF(T69="Air",'Catalogue Aluminium'!$N$9,IF(T69="GROUND",'Catalogue Aluminium'!$N$10,IF(T69="DUCT",'Catalogue Aluminium'!$N$11,IF(T69="TRENCH",'Catalogue Aluminium'!$N$12,"NA"))))</f>
        <v>NA</v>
      </c>
      <c r="AL69" s="288" t="str">
        <f>IF(T69="Air",(IF(U69="1C",'Catalogue Aluminium'!$O$9,'Catalogue Aluminium'!$P$9)),IF(T69="DUCT",(IF($U69="1C",'Catalogue Aluminium'!$O$10,'Catalogue Aluminium'!$P$10)),IF(T69="GROUND",(IF($U69="1C",'Catalogue Aluminium'!$O$11,'Catalogue Aluminium'!$P$11)),IF(T69="TRENCH",(IF($U69="1C",'Catalogue Aluminium'!$O$12,'Catalogue Aluminium'!$P$12))))))</f>
        <v>NA</v>
      </c>
      <c r="AM69" s="288" t="str">
        <f>IF(T69="AIR","NA",IF(T69="TRENCH","NA",IF(T69="DUCT",IF(U69="1C",VLOOKUP(V69,'Catalogue Aluminium'!$Q$9:$S$28,2,FALSE),VLOOKUP(V69,'Catalogue Aluminium'!$Q$9:$S$28,3)),IF(T69="GROUND",IF(U69="1C",VLOOKUP(V69,'Catalogue Aluminium'!$Q$9:$S$28,2,FALSE),VLOOKUP(V69,'Catalogue Aluminium'!$Q$9:$S$28,3))))))</f>
        <v>NA</v>
      </c>
      <c r="AN69" s="312">
        <f t="shared" si="171"/>
        <v>0.58740000000000003</v>
      </c>
      <c r="AO69" s="304">
        <f t="shared" si="172"/>
        <v>41.118000000000002</v>
      </c>
      <c r="AP69" s="309">
        <f t="shared" si="10"/>
        <v>1</v>
      </c>
      <c r="AQ69" s="304" t="str">
        <f t="shared" si="173"/>
        <v>YES</v>
      </c>
      <c r="AR69" s="312">
        <f t="shared" si="174"/>
        <v>2.6085571690749925</v>
      </c>
      <c r="AS69" s="294" t="str">
        <f t="shared" si="175"/>
        <v>YES</v>
      </c>
      <c r="AT69" s="312">
        <f t="shared" si="199"/>
        <v>4.198370327649557</v>
      </c>
      <c r="AU69" s="294" t="str">
        <f t="shared" si="177"/>
        <v>YES</v>
      </c>
      <c r="AV69" s="353" t="str">
        <f t="shared" si="178"/>
        <v>1R x 0.6/1kV x 3C x 16 Sqmm</v>
      </c>
      <c r="AW69" s="353" t="str">
        <f t="shared" si="179"/>
        <v>1R x 0.6/1kV x 3C x 16+PE Sqmm</v>
      </c>
      <c r="AX69" s="294">
        <f t="shared" si="200"/>
        <v>398</v>
      </c>
      <c r="AY69" s="354"/>
    </row>
    <row r="70" spans="1:51" ht="34.5" customHeight="1">
      <c r="A70" s="285">
        <f t="shared" si="181"/>
        <v>46</v>
      </c>
      <c r="B70" s="243">
        <v>0</v>
      </c>
      <c r="C70" s="285" t="s">
        <v>344</v>
      </c>
      <c r="D70" s="244" t="s">
        <v>409</v>
      </c>
      <c r="E70" s="352" t="s">
        <v>410</v>
      </c>
      <c r="F70" s="369" t="s">
        <v>29</v>
      </c>
      <c r="G70" s="285" t="s">
        <v>298</v>
      </c>
      <c r="H70" s="304">
        <v>1</v>
      </c>
      <c r="I70" s="285" t="s">
        <v>299</v>
      </c>
      <c r="J70" s="285" t="s">
        <v>313</v>
      </c>
      <c r="K70" s="309">
        <v>230</v>
      </c>
      <c r="L70" s="294">
        <v>0.85</v>
      </c>
      <c r="M70" s="304">
        <v>0.95</v>
      </c>
      <c r="N70" s="287">
        <f t="shared" si="162"/>
        <v>5.3843047516489433</v>
      </c>
      <c r="O70" s="287">
        <f t="shared" si="108"/>
        <v>0</v>
      </c>
      <c r="P70" s="294" t="str">
        <f t="shared" si="163"/>
        <v>0.00</v>
      </c>
      <c r="Q70" s="304">
        <v>65</v>
      </c>
      <c r="R70" s="304">
        <v>0</v>
      </c>
      <c r="S70" s="304">
        <f t="shared" si="164"/>
        <v>0</v>
      </c>
      <c r="T70" s="294" t="s">
        <v>131</v>
      </c>
      <c r="U70" s="304" t="s">
        <v>302</v>
      </c>
      <c r="V70" s="294">
        <v>25</v>
      </c>
      <c r="W70" s="294" t="str">
        <f t="shared" si="165"/>
        <v>3C X 25</v>
      </c>
      <c r="X70" s="294" t="str">
        <f t="shared" si="166"/>
        <v>3C X 25</v>
      </c>
      <c r="Y70" s="294" t="s">
        <v>314</v>
      </c>
      <c r="Z70" s="288">
        <f>IF(T70="AIR",VLOOKUP(W70,'Catalogue Aluminium'!$B$9:$G$91,2,FALSE),IF(T70="GROUND",VLOOKUP(W70,'Catalogue Aluminium'!$B$9:$G$91,3,FALSE),IF(T70="DUCT",VLOOKUP(W70,'Catalogue Aluminium'!$B$9:$G$91,4,FALSE),IF(T70="TRENCH",VLOOKUP(W70,'Catalogue Aluminium'!$B$9:$G$91,2,FALSE)))))</f>
        <v>95</v>
      </c>
      <c r="AA70" s="295">
        <f>VLOOKUP(W70,'Catalogue Aluminium'!$B$9:$G$91,5,FALSE)</f>
        <v>1.54</v>
      </c>
      <c r="AB70" s="295">
        <f>VLOOKUP(W70,'Catalogue Aluminium'!$B$9:$G$91,6,FALSE)</f>
        <v>8.1600000000000006E-2</v>
      </c>
      <c r="AC70" s="294">
        <f t="shared" ref="AC70" si="202">17+3</f>
        <v>20</v>
      </c>
      <c r="AD70" s="294">
        <v>80</v>
      </c>
      <c r="AE70" s="294">
        <v>5</v>
      </c>
      <c r="AF70" s="294">
        <v>8</v>
      </c>
      <c r="AG70" s="294">
        <f t="shared" si="169"/>
        <v>12</v>
      </c>
      <c r="AH70" s="311">
        <f t="shared" si="170"/>
        <v>125</v>
      </c>
      <c r="AI70" s="288">
        <f>IF(T70="AIR",'Catalogue Aluminium'!$K$9,IF(T70="TRENCH",'Catalogue Aluminium'!$K$12,"NA"))</f>
        <v>0.89</v>
      </c>
      <c r="AJ70" s="287">
        <f>IF(T70="Air",(IF(U70="1C",'Catalogue Aluminium'!$L$9,'Catalogue Aluminium'!$M$9)),IF(T70="DUCT",(IF($U70="1C",'Catalogue Aluminium'!$L$10,'Catalogue Aluminium'!$M$10)),IF(T70="GROUND",(IF($U70="1C",'Catalogue Aluminium'!$L$11,'Catalogue Aluminium'!$M$11)),IF(T70="TRENCH",(IF($U70="1C",'Catalogue Aluminium'!$L$12,'Catalogue Aluminium'!$M$12))))))</f>
        <v>0.66</v>
      </c>
      <c r="AK70" s="288" t="str">
        <f>IF(T70="Air",'Catalogue Aluminium'!$N$9,IF(T70="GROUND",'Catalogue Aluminium'!$N$10,IF(T70="DUCT",'Catalogue Aluminium'!$N$11,IF(T70="TRENCH",'Catalogue Aluminium'!$N$12,"NA"))))</f>
        <v>NA</v>
      </c>
      <c r="AL70" s="288" t="str">
        <f>IF(T70="Air",(IF(U70="1C",'Catalogue Aluminium'!$O$9,'Catalogue Aluminium'!$P$9)),IF(T70="DUCT",(IF($U70="1C",'Catalogue Aluminium'!$O$10,'Catalogue Aluminium'!$P$10)),IF(T70="GROUND",(IF($U70="1C",'Catalogue Aluminium'!$O$11,'Catalogue Aluminium'!$P$11)),IF(T70="TRENCH",(IF($U70="1C",'Catalogue Aluminium'!$O$12,'Catalogue Aluminium'!$P$12))))))</f>
        <v>NA</v>
      </c>
      <c r="AM70" s="288" t="str">
        <f>IF(T70="AIR","NA",IF(T70="TRENCH","NA",IF(T70="DUCT",IF(U70="1C",VLOOKUP(V70,'Catalogue Aluminium'!$Q$9:$S$28,2,FALSE),VLOOKUP(V70,'Catalogue Aluminium'!$Q$9:$S$28,3)),IF(T70="GROUND",IF(U70="1C",VLOOKUP(V70,'Catalogue Aluminium'!$Q$9:$S$28,2,FALSE),VLOOKUP(V70,'Catalogue Aluminium'!$Q$9:$S$28,3))))))</f>
        <v>NA</v>
      </c>
      <c r="AN70" s="312">
        <f t="shared" si="171"/>
        <v>0.58740000000000003</v>
      </c>
      <c r="AO70" s="304">
        <f t="shared" si="172"/>
        <v>55.803000000000004</v>
      </c>
      <c r="AP70" s="309">
        <f t="shared" si="10"/>
        <v>1</v>
      </c>
      <c r="AQ70" s="304" t="str">
        <f t="shared" si="173"/>
        <v>YES</v>
      </c>
      <c r="AR70" s="312">
        <f t="shared" si="174"/>
        <v>0.68524276790676686</v>
      </c>
      <c r="AS70" s="294" t="str">
        <f t="shared" si="175"/>
        <v>YES</v>
      </c>
      <c r="AT70" s="312" t="str">
        <f t="shared" si="199"/>
        <v>NA</v>
      </c>
      <c r="AU70" s="294" t="str">
        <f t="shared" si="177"/>
        <v>NA</v>
      </c>
      <c r="AV70" s="353" t="str">
        <f t="shared" si="178"/>
        <v>1R x 0.6/1kV x 3C x 25 Sqmm</v>
      </c>
      <c r="AW70" s="353" t="str">
        <f t="shared" si="179"/>
        <v>1R x 0.6/1kV x 3C x 25 Sqmm</v>
      </c>
      <c r="AX70" s="294">
        <f t="shared" si="200"/>
        <v>125</v>
      </c>
      <c r="AY70" s="354"/>
    </row>
    <row r="71" spans="1:51" ht="34.5" customHeight="1">
      <c r="A71" s="285">
        <f t="shared" si="181"/>
        <v>47</v>
      </c>
      <c r="B71" s="298" t="s">
        <v>995</v>
      </c>
      <c r="C71" s="285" t="s">
        <v>344</v>
      </c>
      <c r="D71" s="244" t="s">
        <v>411</v>
      </c>
      <c r="E71" s="352" t="s">
        <v>310</v>
      </c>
      <c r="F71" s="285" t="s">
        <v>28</v>
      </c>
      <c r="G71" s="285" t="s">
        <v>311</v>
      </c>
      <c r="H71" s="304">
        <v>1.1000000000000001</v>
      </c>
      <c r="I71" s="285" t="s">
        <v>299</v>
      </c>
      <c r="J71" s="285" t="s">
        <v>300</v>
      </c>
      <c r="K71" s="309">
        <v>400</v>
      </c>
      <c r="L71" s="294">
        <v>0.85</v>
      </c>
      <c r="M71" s="304">
        <v>0.95</v>
      </c>
      <c r="N71" s="287">
        <f t="shared" si="162"/>
        <v>1.9662660250681046</v>
      </c>
      <c r="O71" s="287">
        <f t="shared" si="108"/>
        <v>11.797596150408626</v>
      </c>
      <c r="P71" s="294">
        <f t="shared" si="163"/>
        <v>0.2</v>
      </c>
      <c r="Q71" s="304">
        <v>65</v>
      </c>
      <c r="R71" s="304">
        <v>0</v>
      </c>
      <c r="S71" s="304">
        <f t="shared" si="164"/>
        <v>0</v>
      </c>
      <c r="T71" s="294" t="s">
        <v>131</v>
      </c>
      <c r="U71" s="304" t="s">
        <v>302</v>
      </c>
      <c r="V71" s="294">
        <v>4</v>
      </c>
      <c r="W71" s="294" t="str">
        <f t="shared" si="165"/>
        <v>3C X 4</v>
      </c>
      <c r="X71" s="294" t="str">
        <f t="shared" si="166"/>
        <v>3C X 4+PE</v>
      </c>
      <c r="Y71" s="294" t="s">
        <v>314</v>
      </c>
      <c r="Z71" s="288">
        <f>IF(T71="AIR",VLOOKUP(W71,'Catalogue Aluminium'!$B$9:$G$91,2,FALSE),IF(T71="GROUND",VLOOKUP(W71,'Catalogue Aluminium'!$B$9:$G$91,3,FALSE),IF(T71="DUCT",VLOOKUP(W71,'Catalogue Aluminium'!$B$9:$G$91,4,FALSE),IF(T71="TRENCH",VLOOKUP(W71,'Catalogue Aluminium'!$B$9:$G$91,2,FALSE)))))</f>
        <v>38</v>
      </c>
      <c r="AA71" s="295">
        <f>VLOOKUP(W71,'Catalogue Aluminium'!$B$9:$G$91,5,FALSE)</f>
        <v>5.9</v>
      </c>
      <c r="AB71" s="295">
        <f>VLOOKUP(W71,'Catalogue Aluminium'!$B$9:$G$91,6,FALSE)</f>
        <v>9.4700000000000006E-2</v>
      </c>
      <c r="AC71" s="294">
        <f>26+3</f>
        <v>29</v>
      </c>
      <c r="AD71" s="294">
        <f>40+50+38+50+17+(27+42+33)</f>
        <v>297</v>
      </c>
      <c r="AE71" s="294">
        <f t="shared" si="168"/>
        <v>38</v>
      </c>
      <c r="AF71" s="294">
        <v>8</v>
      </c>
      <c r="AG71" s="294">
        <f t="shared" si="169"/>
        <v>38</v>
      </c>
      <c r="AH71" s="311">
        <f t="shared" si="170"/>
        <v>410</v>
      </c>
      <c r="AI71" s="288">
        <f>IF(T71="AIR",'Catalogue Aluminium'!$K$9,IF(T71="TRENCH",'Catalogue Aluminium'!$K$12,"NA"))</f>
        <v>0.89</v>
      </c>
      <c r="AJ71" s="287">
        <f>IF(T71="Air",(IF(U71="1C",'Catalogue Aluminium'!$L$9,'Catalogue Aluminium'!$M$9)),IF(T71="DUCT",(IF($U71="1C",'Catalogue Aluminium'!$L$10,'Catalogue Aluminium'!$M$10)),IF(T71="GROUND",(IF($U71="1C",'Catalogue Aluminium'!$L$11,'Catalogue Aluminium'!$M$11)),IF(T71="TRENCH",(IF($U71="1C",'Catalogue Aluminium'!$L$12,'Catalogue Aluminium'!$M$12))))))</f>
        <v>0.66</v>
      </c>
      <c r="AK71" s="288" t="str">
        <f>IF(T71="Air",'Catalogue Aluminium'!$N$9,IF(T71="GROUND",'Catalogue Aluminium'!$N$10,IF(T71="DUCT",'Catalogue Aluminium'!$N$11,IF(T71="TRENCH",'Catalogue Aluminium'!$N$12,"NA"))))</f>
        <v>NA</v>
      </c>
      <c r="AL71" s="288" t="str">
        <f>IF(T71="Air",(IF(U71="1C",'Catalogue Aluminium'!$O$9,'Catalogue Aluminium'!$P$9)),IF(T71="DUCT",(IF($U71="1C",'Catalogue Aluminium'!$O$10,'Catalogue Aluminium'!$P$10)),IF(T71="GROUND",(IF($U71="1C",'Catalogue Aluminium'!$O$11,'Catalogue Aluminium'!$P$11)),IF(T71="TRENCH",(IF($U71="1C",'Catalogue Aluminium'!$O$12,'Catalogue Aluminium'!$P$12))))))</f>
        <v>NA</v>
      </c>
      <c r="AM71" s="288" t="str">
        <f>IF(T71="AIR","NA",IF(T71="TRENCH","NA",IF(T71="DUCT",IF(U71="1C",VLOOKUP(V71,'Catalogue Aluminium'!$Q$9:$S$28,2,FALSE),VLOOKUP(V71,'Catalogue Aluminium'!$Q$9:$S$28,3)),IF(T71="GROUND",IF(U71="1C",VLOOKUP(V71,'Catalogue Aluminium'!$Q$9:$S$28,2,FALSE),VLOOKUP(V71,'Catalogue Aluminium'!$Q$9:$S$28,3))))))</f>
        <v>NA</v>
      </c>
      <c r="AN71" s="312">
        <f t="shared" si="171"/>
        <v>0.58740000000000003</v>
      </c>
      <c r="AO71" s="304">
        <f t="shared" si="172"/>
        <v>22.321200000000001</v>
      </c>
      <c r="AP71" s="309">
        <f t="shared" si="10"/>
        <v>1</v>
      </c>
      <c r="AQ71" s="304" t="str">
        <f t="shared" si="173"/>
        <v>YES</v>
      </c>
      <c r="AR71" s="312">
        <f t="shared" si="174"/>
        <v>1.7680578471921113</v>
      </c>
      <c r="AS71" s="294" t="str">
        <f t="shared" si="175"/>
        <v>YES</v>
      </c>
      <c r="AT71" s="312">
        <f t="shared" si="199"/>
        <v>2.6658372802801442</v>
      </c>
      <c r="AU71" s="294" t="str">
        <f t="shared" si="177"/>
        <v>YES</v>
      </c>
      <c r="AV71" s="353" t="str">
        <f t="shared" si="178"/>
        <v>1R x 0.6/1kV x 3C x 4 Sqmm</v>
      </c>
      <c r="AW71" s="353" t="str">
        <f t="shared" si="179"/>
        <v>1R x 0.6/1kV x 3C x 4+PE Sqmm</v>
      </c>
      <c r="AX71" s="294">
        <f t="shared" si="200"/>
        <v>410</v>
      </c>
      <c r="AY71" s="354"/>
    </row>
    <row r="72" spans="1:51" ht="34.5" customHeight="1">
      <c r="A72" s="285">
        <f t="shared" si="181"/>
        <v>48</v>
      </c>
      <c r="B72" s="298" t="s">
        <v>996</v>
      </c>
      <c r="C72" s="285" t="s">
        <v>344</v>
      </c>
      <c r="D72" s="244" t="s">
        <v>412</v>
      </c>
      <c r="E72" s="352" t="s">
        <v>318</v>
      </c>
      <c r="F72" s="285" t="s">
        <v>29</v>
      </c>
      <c r="G72" s="285" t="s">
        <v>298</v>
      </c>
      <c r="H72" s="304">
        <v>3</v>
      </c>
      <c r="I72" s="285" t="s">
        <v>299</v>
      </c>
      <c r="J72" s="285" t="s">
        <v>300</v>
      </c>
      <c r="K72" s="309">
        <v>400</v>
      </c>
      <c r="L72" s="294">
        <v>0.85</v>
      </c>
      <c r="M72" s="304">
        <v>0.95</v>
      </c>
      <c r="N72" s="287">
        <f t="shared" si="162"/>
        <v>5.3625437047311939</v>
      </c>
      <c r="O72" s="287">
        <f t="shared" si="108"/>
        <v>0</v>
      </c>
      <c r="P72" s="294" t="str">
        <f t="shared" si="163"/>
        <v>0.00</v>
      </c>
      <c r="Q72" s="304">
        <v>65</v>
      </c>
      <c r="R72" s="304">
        <v>0</v>
      </c>
      <c r="S72" s="304">
        <f t="shared" si="164"/>
        <v>0</v>
      </c>
      <c r="T72" s="294" t="s">
        <v>131</v>
      </c>
      <c r="U72" s="304" t="s">
        <v>377</v>
      </c>
      <c r="V72" s="294">
        <v>6</v>
      </c>
      <c r="W72" s="294" t="str">
        <f t="shared" si="165"/>
        <v>4C X 6</v>
      </c>
      <c r="X72" s="294" t="str">
        <f t="shared" si="166"/>
        <v>4C X 6</v>
      </c>
      <c r="Y72" s="294" t="s">
        <v>314</v>
      </c>
      <c r="Z72" s="288">
        <f>IF(T72="AIR",VLOOKUP(W72,'Catalogue Aluminium'!$B$9:$G$91,2,FALSE),IF(T72="GROUND",VLOOKUP(W72,'Catalogue Aluminium'!$B$9:$G$91,3,FALSE),IF(T72="DUCT",VLOOKUP(W72,'Catalogue Aluminium'!$B$9:$G$91,4,FALSE),IF(T72="TRENCH",VLOOKUP(W72,'Catalogue Aluminium'!$B$9:$G$91,2,FALSE)))))</f>
        <v>51</v>
      </c>
      <c r="AA72" s="295">
        <f>VLOOKUP(W72,'Catalogue Aluminium'!$B$9:$G$91,5,FALSE)</f>
        <v>3.94</v>
      </c>
      <c r="AB72" s="295">
        <f>VLOOKUP(W72,'Catalogue Aluminium'!$B$9:$G$91,6,FALSE)</f>
        <v>9.0200000000000002E-2</v>
      </c>
      <c r="AC72" s="294">
        <f t="shared" ref="AC72" si="203">17+3</f>
        <v>20</v>
      </c>
      <c r="AD72" s="294">
        <f t="shared" ref="AD72:AD75" si="204">40+50+22+30</f>
        <v>142</v>
      </c>
      <c r="AE72" s="294">
        <f t="shared" si="168"/>
        <v>38</v>
      </c>
      <c r="AF72" s="294">
        <v>8</v>
      </c>
      <c r="AG72" s="294">
        <f t="shared" si="169"/>
        <v>21</v>
      </c>
      <c r="AH72" s="311">
        <f t="shared" si="170"/>
        <v>229</v>
      </c>
      <c r="AI72" s="288">
        <f>IF(T72="AIR",'Catalogue Aluminium'!$K$9,IF(T72="TRENCH",'Catalogue Aluminium'!$K$12,"NA"))</f>
        <v>0.89</v>
      </c>
      <c r="AJ72" s="287">
        <f>IF(T72="Air",(IF(U72="1C",'Catalogue Aluminium'!$L$9,'Catalogue Aluminium'!$M$9)),IF(T72="DUCT",(IF($U72="1C",'Catalogue Aluminium'!$L$10,'Catalogue Aluminium'!$M$10)),IF(T72="GROUND",(IF($U72="1C",'Catalogue Aluminium'!$L$11,'Catalogue Aluminium'!$M$11)),IF(T72="TRENCH",(IF($U72="1C",'Catalogue Aluminium'!$L$12,'Catalogue Aluminium'!$M$12))))))</f>
        <v>0.66</v>
      </c>
      <c r="AK72" s="288" t="str">
        <f>IF(T72="Air",'Catalogue Aluminium'!$N$9,IF(T72="GROUND",'Catalogue Aluminium'!$N$10,IF(T72="DUCT",'Catalogue Aluminium'!$N$11,IF(T72="TRENCH",'Catalogue Aluminium'!$N$12,"NA"))))</f>
        <v>NA</v>
      </c>
      <c r="AL72" s="288" t="str">
        <f>IF(T72="Air",(IF(U72="1C",'Catalogue Aluminium'!$O$9,'Catalogue Aluminium'!$P$9)),IF(T72="DUCT",(IF($U72="1C",'Catalogue Aluminium'!$O$10,'Catalogue Aluminium'!$P$10)),IF(T72="GROUND",(IF($U72="1C",'Catalogue Aluminium'!$O$11,'Catalogue Aluminium'!$P$11)),IF(T72="TRENCH",(IF($U72="1C",'Catalogue Aluminium'!$O$12,'Catalogue Aluminium'!$P$12))))))</f>
        <v>NA</v>
      </c>
      <c r="AM72" s="288" t="str">
        <f>IF(T72="AIR","NA",IF(T72="TRENCH","NA",IF(T72="DUCT",IF(U72="1C",VLOOKUP(V72,'Catalogue Aluminium'!$Q$9:$S$28,2,FALSE),VLOOKUP(V72,'Catalogue Aluminium'!$Q$9:$S$28,3)),IF(T72="GROUND",IF(U72="1C",VLOOKUP(V72,'Catalogue Aluminium'!$Q$9:$S$28,2,FALSE),VLOOKUP(V72,'Catalogue Aluminium'!$Q$9:$S$28,3))))))</f>
        <v>NA</v>
      </c>
      <c r="AN72" s="312">
        <f t="shared" si="171"/>
        <v>0.58740000000000003</v>
      </c>
      <c r="AO72" s="304">
        <f t="shared" si="172"/>
        <v>29.957400000000003</v>
      </c>
      <c r="AP72" s="309">
        <f t="shared" si="10"/>
        <v>1</v>
      </c>
      <c r="AQ72" s="304" t="str">
        <f t="shared" si="173"/>
        <v>YES</v>
      </c>
      <c r="AR72" s="312">
        <f t="shared" si="174"/>
        <v>1.8060950488516976</v>
      </c>
      <c r="AS72" s="294" t="str">
        <f t="shared" si="175"/>
        <v>YES</v>
      </c>
      <c r="AT72" s="312" t="str">
        <f t="shared" si="199"/>
        <v>NA</v>
      </c>
      <c r="AU72" s="294" t="str">
        <f t="shared" si="177"/>
        <v>NA</v>
      </c>
      <c r="AV72" s="353" t="str">
        <f t="shared" si="178"/>
        <v>1R x 0.6/1kV x 4C x 6 Sqmm</v>
      </c>
      <c r="AW72" s="353" t="str">
        <f t="shared" si="179"/>
        <v>1R x 0.6/1kV x 4C x 6 Sqmm</v>
      </c>
      <c r="AX72" s="294">
        <f t="shared" si="200"/>
        <v>229</v>
      </c>
      <c r="AY72" s="354"/>
    </row>
    <row r="73" spans="1:51" ht="34.5" customHeight="1">
      <c r="A73" s="285">
        <f t="shared" si="181"/>
        <v>49</v>
      </c>
      <c r="B73" s="298" t="s">
        <v>997</v>
      </c>
      <c r="C73" s="285" t="s">
        <v>344</v>
      </c>
      <c r="D73" s="244" t="s">
        <v>413</v>
      </c>
      <c r="E73" s="352" t="s">
        <v>318</v>
      </c>
      <c r="F73" s="285" t="s">
        <v>28</v>
      </c>
      <c r="G73" s="285" t="s">
        <v>298</v>
      </c>
      <c r="H73" s="304">
        <v>5</v>
      </c>
      <c r="I73" s="285" t="s">
        <v>299</v>
      </c>
      <c r="J73" s="285" t="s">
        <v>300</v>
      </c>
      <c r="K73" s="309">
        <v>400</v>
      </c>
      <c r="L73" s="294">
        <v>0.85</v>
      </c>
      <c r="M73" s="304">
        <v>0.95</v>
      </c>
      <c r="N73" s="287">
        <f t="shared" si="162"/>
        <v>8.9375728412186568</v>
      </c>
      <c r="O73" s="287">
        <f t="shared" si="108"/>
        <v>0</v>
      </c>
      <c r="P73" s="294" t="str">
        <f t="shared" si="163"/>
        <v>0.00</v>
      </c>
      <c r="Q73" s="304">
        <v>65</v>
      </c>
      <c r="R73" s="304">
        <v>0</v>
      </c>
      <c r="S73" s="304">
        <f t="shared" si="164"/>
        <v>0</v>
      </c>
      <c r="T73" s="294" t="s">
        <v>131</v>
      </c>
      <c r="U73" s="304" t="s">
        <v>377</v>
      </c>
      <c r="V73" s="294">
        <v>16</v>
      </c>
      <c r="W73" s="294" t="str">
        <f t="shared" si="165"/>
        <v>4C X 16</v>
      </c>
      <c r="X73" s="294" t="str">
        <f t="shared" si="166"/>
        <v>4C X 16</v>
      </c>
      <c r="Y73" s="294" t="s">
        <v>314</v>
      </c>
      <c r="Z73" s="288">
        <f>IF(T73="AIR",VLOOKUP(W73,'Catalogue Aluminium'!$B$9:$G$91,2,FALSE),IF(T73="GROUND",VLOOKUP(W73,'Catalogue Aluminium'!$B$9:$G$91,3,FALSE),IF(T73="DUCT",VLOOKUP(W73,'Catalogue Aluminium'!$B$9:$G$91,4,FALSE),IF(T73="TRENCH",VLOOKUP(W73,'Catalogue Aluminium'!$B$9:$G$91,2,FALSE)))))</f>
        <v>70</v>
      </c>
      <c r="AA73" s="295">
        <f>VLOOKUP(W73,'Catalogue Aluminium'!$B$9:$G$91,5,FALSE)</f>
        <v>2.44</v>
      </c>
      <c r="AB73" s="295">
        <f>VLOOKUP(W73,'Catalogue Aluminium'!$B$9:$G$91,6,FALSE)</f>
        <v>8.1500000000000003E-2</v>
      </c>
      <c r="AC73" s="294">
        <f>26+3</f>
        <v>29</v>
      </c>
      <c r="AD73" s="294">
        <f t="shared" si="204"/>
        <v>142</v>
      </c>
      <c r="AE73" s="294">
        <f t="shared" si="168"/>
        <v>38</v>
      </c>
      <c r="AF73" s="294">
        <v>8</v>
      </c>
      <c r="AG73" s="294">
        <f t="shared" si="169"/>
        <v>22</v>
      </c>
      <c r="AH73" s="311">
        <f t="shared" si="170"/>
        <v>239</v>
      </c>
      <c r="AI73" s="288">
        <f>IF(T73="AIR",'Catalogue Aluminium'!$K$9,IF(T73="TRENCH",'Catalogue Aluminium'!$K$12,"NA"))</f>
        <v>0.89</v>
      </c>
      <c r="AJ73" s="287">
        <f>IF(T73="Air",(IF(U73="1C",'Catalogue Aluminium'!$L$9,'Catalogue Aluminium'!$M$9)),IF(T73="DUCT",(IF($U73="1C",'Catalogue Aluminium'!$L$10,'Catalogue Aluminium'!$M$10)),IF(T73="GROUND",(IF($U73="1C",'Catalogue Aluminium'!$L$11,'Catalogue Aluminium'!$M$11)),IF(T73="TRENCH",(IF($U73="1C",'Catalogue Aluminium'!$L$12,'Catalogue Aluminium'!$M$12))))))</f>
        <v>0.66</v>
      </c>
      <c r="AK73" s="288" t="str">
        <f>IF(T73="Air",'Catalogue Aluminium'!$N$9,IF(T73="GROUND",'Catalogue Aluminium'!$N$10,IF(T73="DUCT",'Catalogue Aluminium'!$N$11,IF(T73="TRENCH",'Catalogue Aluminium'!$N$12,"NA"))))</f>
        <v>NA</v>
      </c>
      <c r="AL73" s="288" t="str">
        <f>IF(T73="Air",(IF(U73="1C",'Catalogue Aluminium'!$O$9,'Catalogue Aluminium'!$P$9)),IF(T73="DUCT",(IF($U73="1C",'Catalogue Aluminium'!$O$10,'Catalogue Aluminium'!$P$10)),IF(T73="GROUND",(IF($U73="1C",'Catalogue Aluminium'!$O$11,'Catalogue Aluminium'!$P$11)),IF(T73="TRENCH",(IF($U73="1C",'Catalogue Aluminium'!$O$12,'Catalogue Aluminium'!$P$12))))))</f>
        <v>NA</v>
      </c>
      <c r="AM73" s="288" t="str">
        <f>IF(T73="AIR","NA",IF(T73="TRENCH","NA",IF(T73="DUCT",IF(U73="1C",VLOOKUP(V73,'Catalogue Aluminium'!$Q$9:$S$28,2,FALSE),VLOOKUP(V73,'Catalogue Aluminium'!$Q$9:$S$28,3)),IF(T73="GROUND",IF(U73="1C",VLOOKUP(V73,'Catalogue Aluminium'!$Q$9:$S$28,2,FALSE),VLOOKUP(V73,'Catalogue Aluminium'!$Q$9:$S$28,3))))))</f>
        <v>NA</v>
      </c>
      <c r="AN73" s="312">
        <f t="shared" si="171"/>
        <v>0.58740000000000003</v>
      </c>
      <c r="AO73" s="304">
        <f>Z73*AN73</f>
        <v>41.118000000000002</v>
      </c>
      <c r="AP73" s="309">
        <f t="shared" si="10"/>
        <v>1</v>
      </c>
      <c r="AQ73" s="304" t="str">
        <f t="shared" si="173"/>
        <v>YES</v>
      </c>
      <c r="AR73" s="312">
        <f t="shared" si="174"/>
        <v>1.9580564177415931</v>
      </c>
      <c r="AS73" s="294" t="str">
        <f t="shared" si="175"/>
        <v>YES</v>
      </c>
      <c r="AT73" s="312" t="str">
        <f t="shared" si="199"/>
        <v>NA</v>
      </c>
      <c r="AU73" s="294" t="str">
        <f t="shared" si="177"/>
        <v>NA</v>
      </c>
      <c r="AV73" s="353" t="str">
        <f t="shared" si="178"/>
        <v>1R x 0.6/1kV x 4C x 16 Sqmm</v>
      </c>
      <c r="AW73" s="353" t="str">
        <f t="shared" si="179"/>
        <v>1R x 0.6/1kV x 4C x 16 Sqmm</v>
      </c>
      <c r="AX73" s="294">
        <f t="shared" si="200"/>
        <v>239</v>
      </c>
      <c r="AY73" s="354"/>
    </row>
    <row r="74" spans="1:51" ht="34.5" customHeight="1">
      <c r="A74" s="285">
        <f t="shared" si="181"/>
        <v>50</v>
      </c>
      <c r="B74" s="298" t="s">
        <v>998</v>
      </c>
      <c r="C74" s="285" t="s">
        <v>344</v>
      </c>
      <c r="D74" s="244" t="s">
        <v>414</v>
      </c>
      <c r="E74" s="352" t="s">
        <v>318</v>
      </c>
      <c r="F74" s="285" t="s">
        <v>29</v>
      </c>
      <c r="G74" s="285" t="s">
        <v>298</v>
      </c>
      <c r="H74" s="304">
        <v>8</v>
      </c>
      <c r="I74" s="285" t="s">
        <v>299</v>
      </c>
      <c r="J74" s="285" t="s">
        <v>300</v>
      </c>
      <c r="K74" s="309">
        <v>400</v>
      </c>
      <c r="L74" s="294">
        <v>0.85</v>
      </c>
      <c r="M74" s="304">
        <v>0.95</v>
      </c>
      <c r="N74" s="287">
        <f t="shared" si="162"/>
        <v>14.300116545949852</v>
      </c>
      <c r="O74" s="287">
        <f t="shared" si="108"/>
        <v>0</v>
      </c>
      <c r="P74" s="294" t="str">
        <f t="shared" si="163"/>
        <v>0.00</v>
      </c>
      <c r="Q74" s="304">
        <v>65</v>
      </c>
      <c r="R74" s="304">
        <v>0</v>
      </c>
      <c r="S74" s="304">
        <f t="shared" si="164"/>
        <v>0</v>
      </c>
      <c r="T74" s="294" t="s">
        <v>131</v>
      </c>
      <c r="U74" s="304" t="s">
        <v>390</v>
      </c>
      <c r="V74" s="294">
        <v>25</v>
      </c>
      <c r="W74" s="294" t="str">
        <f t="shared" si="165"/>
        <v>3.5C X 25</v>
      </c>
      <c r="X74" s="294" t="str">
        <f t="shared" si="166"/>
        <v>3.5C X 25</v>
      </c>
      <c r="Y74" s="294" t="s">
        <v>314</v>
      </c>
      <c r="Z74" s="288">
        <f>IF(T74="AIR",VLOOKUP(W74,'Catalogue Aluminium'!$B$9:$G$91,2,FALSE),IF(T74="GROUND",VLOOKUP(W74,'Catalogue Aluminium'!$B$9:$G$91,3,FALSE),IF(T74="DUCT",VLOOKUP(W74,'Catalogue Aluminium'!$B$9:$G$91,4,FALSE),IF(T74="TRENCH",VLOOKUP(W74,'Catalogue Aluminium'!$B$9:$G$91,2,FALSE)))))</f>
        <v>95</v>
      </c>
      <c r="AA74" s="295">
        <f>VLOOKUP(W74,'Catalogue Aluminium'!$B$9:$G$91,5,FALSE)</f>
        <v>1.54</v>
      </c>
      <c r="AB74" s="295">
        <f>VLOOKUP(W74,'Catalogue Aluminium'!$B$9:$G$91,6,FALSE)</f>
        <v>8.1600000000000006E-2</v>
      </c>
      <c r="AC74" s="294">
        <f t="shared" ref="AC74" si="205">17+3</f>
        <v>20</v>
      </c>
      <c r="AD74" s="294">
        <f t="shared" si="204"/>
        <v>142</v>
      </c>
      <c r="AE74" s="294">
        <f t="shared" si="168"/>
        <v>38</v>
      </c>
      <c r="AF74" s="294">
        <v>8</v>
      </c>
      <c r="AG74" s="294">
        <f t="shared" si="169"/>
        <v>21</v>
      </c>
      <c r="AH74" s="311">
        <f t="shared" si="170"/>
        <v>229</v>
      </c>
      <c r="AI74" s="288">
        <f>IF(T74="AIR",'Catalogue Aluminium'!$K$9,IF(T74="TRENCH",'Catalogue Aluminium'!$K$12,"NA"))</f>
        <v>0.89</v>
      </c>
      <c r="AJ74" s="287">
        <f>IF(T74="Air",(IF(U74="1C",'Catalogue Aluminium'!$L$9,'Catalogue Aluminium'!$M$9)),IF(T74="DUCT",(IF($U74="1C",'Catalogue Aluminium'!$L$10,'Catalogue Aluminium'!$M$10)),IF(T74="GROUND",(IF($U74="1C",'Catalogue Aluminium'!$L$11,'Catalogue Aluminium'!$M$11)),IF(T74="TRENCH",(IF($U74="1C",'Catalogue Aluminium'!$L$12,'Catalogue Aluminium'!$M$12))))))</f>
        <v>0.66</v>
      </c>
      <c r="AK74" s="288" t="str">
        <f>IF(T74="Air",'Catalogue Aluminium'!$N$9,IF(T74="GROUND",'Catalogue Aluminium'!$N$10,IF(T74="DUCT",'Catalogue Aluminium'!$N$11,IF(T74="TRENCH",'Catalogue Aluminium'!$N$12,"NA"))))</f>
        <v>NA</v>
      </c>
      <c r="AL74" s="288" t="str">
        <f>IF(T74="Air",(IF(U74="1C",'Catalogue Aluminium'!$O$9,'Catalogue Aluminium'!$P$9)),IF(T74="DUCT",(IF($U74="1C",'Catalogue Aluminium'!$O$10,'Catalogue Aluminium'!$P$10)),IF(T74="GROUND",(IF($U74="1C",'Catalogue Aluminium'!$O$11,'Catalogue Aluminium'!$P$11)),IF(T74="TRENCH",(IF($U74="1C",'Catalogue Aluminium'!$O$12,'Catalogue Aluminium'!$P$12))))))</f>
        <v>NA</v>
      </c>
      <c r="AM74" s="288" t="str">
        <f>IF(T74="AIR","NA",IF(T74="TRENCH","NA",IF(T74="DUCT",IF(U74="1C",VLOOKUP(V74,'Catalogue Aluminium'!$Q$9:$S$28,2,FALSE),VLOOKUP(V74,'Catalogue Aluminium'!$Q$9:$S$28,3)),IF(T74="GROUND",IF(U74="1C",VLOOKUP(V74,'Catalogue Aluminium'!$Q$9:$S$28,2,FALSE),VLOOKUP(V74,'Catalogue Aluminium'!$Q$9:$S$28,3))))))</f>
        <v>NA</v>
      </c>
      <c r="AN74" s="312">
        <f t="shared" si="171"/>
        <v>0.58740000000000003</v>
      </c>
      <c r="AO74" s="304">
        <f t="shared" si="172"/>
        <v>55.803000000000004</v>
      </c>
      <c r="AP74" s="309">
        <f t="shared" si="10"/>
        <v>1</v>
      </c>
      <c r="AQ74" s="304" t="str">
        <f t="shared" si="173"/>
        <v>YES</v>
      </c>
      <c r="AR74" s="312">
        <f t="shared" si="174"/>
        <v>1.9171130287989295</v>
      </c>
      <c r="AS74" s="294" t="str">
        <f t="shared" si="175"/>
        <v>YES</v>
      </c>
      <c r="AT74" s="312" t="str">
        <f t="shared" si="199"/>
        <v>NA</v>
      </c>
      <c r="AU74" s="294" t="str">
        <f t="shared" si="177"/>
        <v>NA</v>
      </c>
      <c r="AV74" s="353" t="str">
        <f t="shared" si="178"/>
        <v>1R x 0.6/1kV x 3.5C x 25 Sqmm</v>
      </c>
      <c r="AW74" s="353" t="str">
        <f t="shared" si="179"/>
        <v>1R x 0.6/1kV x 3.5C x 25 Sqmm</v>
      </c>
      <c r="AX74" s="294">
        <f t="shared" si="200"/>
        <v>229</v>
      </c>
      <c r="AY74" s="354"/>
    </row>
    <row r="75" spans="1:51" ht="34.5" customHeight="1">
      <c r="A75" s="285">
        <f t="shared" si="181"/>
        <v>51</v>
      </c>
      <c r="B75" s="285">
        <v>0</v>
      </c>
      <c r="C75" s="285" t="s">
        <v>344</v>
      </c>
      <c r="D75" s="244" t="s">
        <v>415</v>
      </c>
      <c r="E75" s="352" t="s">
        <v>318</v>
      </c>
      <c r="F75" s="285" t="s">
        <v>28</v>
      </c>
      <c r="G75" s="285" t="s">
        <v>298</v>
      </c>
      <c r="H75" s="304">
        <v>28</v>
      </c>
      <c r="I75" s="285" t="s">
        <v>299</v>
      </c>
      <c r="J75" s="285" t="s">
        <v>300</v>
      </c>
      <c r="K75" s="309">
        <v>400</v>
      </c>
      <c r="L75" s="294">
        <v>0.85</v>
      </c>
      <c r="M75" s="304">
        <v>0.95</v>
      </c>
      <c r="N75" s="287">
        <f t="shared" si="162"/>
        <v>50.050407910824482</v>
      </c>
      <c r="O75" s="287">
        <f t="shared" si="108"/>
        <v>0</v>
      </c>
      <c r="P75" s="294" t="str">
        <f t="shared" si="163"/>
        <v>0.00</v>
      </c>
      <c r="Q75" s="304">
        <v>65</v>
      </c>
      <c r="R75" s="304">
        <v>0</v>
      </c>
      <c r="S75" s="304">
        <f t="shared" si="164"/>
        <v>0</v>
      </c>
      <c r="T75" s="294" t="s">
        <v>131</v>
      </c>
      <c r="U75" s="304" t="s">
        <v>390</v>
      </c>
      <c r="V75" s="294">
        <v>95</v>
      </c>
      <c r="W75" s="294" t="str">
        <f t="shared" si="165"/>
        <v>3.5C X 95</v>
      </c>
      <c r="X75" s="294" t="str">
        <f t="shared" si="166"/>
        <v>3.5C X 95</v>
      </c>
      <c r="Y75" s="294" t="s">
        <v>314</v>
      </c>
      <c r="Z75" s="288">
        <f>IF(T75="AIR",VLOOKUP(W75,'Catalogue Aluminium'!$B$9:$G$91,2,FALSE),IF(T75="GROUND",VLOOKUP(W75,'Catalogue Aluminium'!$B$9:$G$91,3,FALSE),IF(T75="DUCT",VLOOKUP(W75,'Catalogue Aluminium'!$B$9:$G$91,4,FALSE),IF(T75="TRENCH",VLOOKUP(W75,'Catalogue Aluminium'!$B$9:$G$91,2,FALSE)))))</f>
        <v>221</v>
      </c>
      <c r="AA75" s="295">
        <f>VLOOKUP(W75,'Catalogue Aluminium'!$B$9:$G$91,5,FALSE)</f>
        <v>0.41</v>
      </c>
      <c r="AB75" s="295">
        <f>VLOOKUP(W75,'Catalogue Aluminium'!$B$9:$G$91,6,FALSE)</f>
        <v>7.3400000000000007E-2</v>
      </c>
      <c r="AC75" s="294">
        <f>26+3</f>
        <v>29</v>
      </c>
      <c r="AD75" s="294">
        <f t="shared" si="204"/>
        <v>142</v>
      </c>
      <c r="AE75" s="294">
        <f t="shared" si="168"/>
        <v>38</v>
      </c>
      <c r="AF75" s="294">
        <v>8</v>
      </c>
      <c r="AG75" s="294">
        <f t="shared" si="169"/>
        <v>22</v>
      </c>
      <c r="AH75" s="311">
        <f t="shared" si="170"/>
        <v>239</v>
      </c>
      <c r="AI75" s="288">
        <f>IF(T75="AIR",'Catalogue Aluminium'!$K$9,IF(T75="TRENCH",'Catalogue Aluminium'!$K$12,"NA"))</f>
        <v>0.89</v>
      </c>
      <c r="AJ75" s="287">
        <f>IF(T75="Air",(IF(U75="1C",'Catalogue Aluminium'!$L$9,'Catalogue Aluminium'!$M$9)),IF(T75="DUCT",(IF($U75="1C",'Catalogue Aluminium'!$L$10,'Catalogue Aluminium'!$M$10)),IF(T75="GROUND",(IF($U75="1C",'Catalogue Aluminium'!$L$11,'Catalogue Aluminium'!$M$11)),IF(T75="TRENCH",(IF($U75="1C",'Catalogue Aluminium'!$L$12,'Catalogue Aluminium'!$M$12))))))</f>
        <v>0.66</v>
      </c>
      <c r="AK75" s="288" t="str">
        <f>IF(T75="Air",'Catalogue Aluminium'!$N$9,IF(T75="GROUND",'Catalogue Aluminium'!$N$10,IF(T75="DUCT",'Catalogue Aluminium'!$N$11,IF(T75="TRENCH",'Catalogue Aluminium'!$N$12,"NA"))))</f>
        <v>NA</v>
      </c>
      <c r="AL75" s="288" t="str">
        <f>IF(T75="Air",(IF(U75="1C",'Catalogue Aluminium'!$O$9,'Catalogue Aluminium'!$P$9)),IF(T75="DUCT",(IF($U75="1C",'Catalogue Aluminium'!$O$10,'Catalogue Aluminium'!$P$10)),IF(T75="GROUND",(IF($U75="1C",'Catalogue Aluminium'!$O$11,'Catalogue Aluminium'!$P$11)),IF(T75="TRENCH",(IF($U75="1C",'Catalogue Aluminium'!$O$12,'Catalogue Aluminium'!$P$12))))))</f>
        <v>NA</v>
      </c>
      <c r="AM75" s="288" t="str">
        <f>IF(T75="AIR","NA",IF(T75="TRENCH","NA",IF(T75="DUCT",IF(U75="1C",VLOOKUP(V75,'Catalogue Aluminium'!$Q$9:$S$28,2,FALSE),VLOOKUP(V75,'Catalogue Aluminium'!$Q$9:$S$28,3)),IF(T75="GROUND",IF(U75="1C",VLOOKUP(V75,'Catalogue Aluminium'!$Q$9:$S$28,2,FALSE),VLOOKUP(V75,'Catalogue Aluminium'!$Q$9:$S$28,3))))))</f>
        <v>NA</v>
      </c>
      <c r="AN75" s="312">
        <f t="shared" si="171"/>
        <v>0.58740000000000003</v>
      </c>
      <c r="AO75" s="304">
        <f t="shared" si="172"/>
        <v>129.81540000000001</v>
      </c>
      <c r="AP75" s="309">
        <f t="shared" si="10"/>
        <v>1</v>
      </c>
      <c r="AQ75" s="304" t="str">
        <f t="shared" si="173"/>
        <v>YES</v>
      </c>
      <c r="AR75" s="312">
        <f t="shared" si="174"/>
        <v>2.0054101136368989</v>
      </c>
      <c r="AS75" s="294" t="str">
        <f t="shared" si="175"/>
        <v>YES</v>
      </c>
      <c r="AT75" s="312" t="str">
        <f t="shared" si="199"/>
        <v>NA</v>
      </c>
      <c r="AU75" s="294" t="str">
        <f t="shared" si="177"/>
        <v>NA</v>
      </c>
      <c r="AV75" s="353" t="str">
        <f t="shared" si="178"/>
        <v>1R x 0.6/1kV x 3.5C x 95 Sqmm</v>
      </c>
      <c r="AW75" s="353" t="str">
        <f t="shared" si="179"/>
        <v>1R x 0.6/1kV x 3.5C x 95 Sqmm</v>
      </c>
      <c r="AX75" s="294">
        <f t="shared" si="200"/>
        <v>239</v>
      </c>
      <c r="AY75" s="354"/>
    </row>
    <row r="76" spans="1:51" s="592" customFormat="1" ht="34.5" hidden="1" customHeight="1">
      <c r="A76" s="577" t="s">
        <v>303</v>
      </c>
      <c r="B76" s="577" t="s">
        <v>382</v>
      </c>
      <c r="C76" s="577" t="s">
        <v>344</v>
      </c>
      <c r="D76" s="579" t="s">
        <v>416</v>
      </c>
      <c r="E76" s="580" t="s">
        <v>310</v>
      </c>
      <c r="F76" s="577" t="s">
        <v>28</v>
      </c>
      <c r="G76" s="577" t="s">
        <v>311</v>
      </c>
      <c r="H76" s="584">
        <v>3</v>
      </c>
      <c r="I76" s="577" t="s">
        <v>299</v>
      </c>
      <c r="J76" s="577" t="s">
        <v>300</v>
      </c>
      <c r="K76" s="582">
        <v>400</v>
      </c>
      <c r="L76" s="583">
        <v>0.85</v>
      </c>
      <c r="M76" s="584">
        <v>0.95</v>
      </c>
      <c r="N76" s="585">
        <f t="shared" si="162"/>
        <v>5.3625437047311939</v>
      </c>
      <c r="O76" s="585">
        <f t="shared" si="108"/>
        <v>32.175262228387162</v>
      </c>
      <c r="P76" s="583">
        <f t="shared" si="163"/>
        <v>0.2</v>
      </c>
      <c r="Q76" s="584">
        <v>65</v>
      </c>
      <c r="R76" s="584">
        <v>0</v>
      </c>
      <c r="S76" s="584">
        <f t="shared" si="164"/>
        <v>0</v>
      </c>
      <c r="T76" s="583" t="s">
        <v>131</v>
      </c>
      <c r="U76" s="584" t="s">
        <v>302</v>
      </c>
      <c r="V76" s="583">
        <v>25</v>
      </c>
      <c r="W76" s="583" t="str">
        <f t="shared" si="165"/>
        <v>3C X 25</v>
      </c>
      <c r="X76" s="583" t="str">
        <f t="shared" si="166"/>
        <v>3C X 25+PE</v>
      </c>
      <c r="Y76" s="583" t="s">
        <v>314</v>
      </c>
      <c r="Z76" s="586">
        <f>IF(T76="AIR",VLOOKUP(W76,'Catalogue Aluminium'!$B$9:$G$91,2,FALSE),IF(T76="GROUND",VLOOKUP(W76,'Catalogue Aluminium'!$B$9:$G$91,3,FALSE),IF(T76="DUCT",VLOOKUP(W76,'Catalogue Aluminium'!$B$9:$G$91,4,FALSE),IF(T76="TRENCH",VLOOKUP(W76,'Catalogue Aluminium'!$B$9:$G$91,2,FALSE)))))</f>
        <v>95</v>
      </c>
      <c r="AA76" s="587">
        <f>VLOOKUP(W76,'Catalogue Aluminium'!$B$9:$G$91,5,FALSE)</f>
        <v>1.54</v>
      </c>
      <c r="AB76" s="587">
        <f>VLOOKUP(W76,'Catalogue Aluminium'!$B$9:$G$91,6,FALSE)</f>
        <v>8.1600000000000006E-2</v>
      </c>
      <c r="AC76" s="583">
        <f>26+3</f>
        <v>29</v>
      </c>
      <c r="AD76" s="583">
        <f>40+50+38+50+17+(27+42+22)</f>
        <v>286</v>
      </c>
      <c r="AE76" s="583">
        <f t="shared" si="168"/>
        <v>38</v>
      </c>
      <c r="AF76" s="583">
        <v>8</v>
      </c>
      <c r="AG76" s="583">
        <f t="shared" si="169"/>
        <v>37</v>
      </c>
      <c r="AH76" s="588">
        <v>90</v>
      </c>
      <c r="AI76" s="586">
        <f>IF(T76="AIR",'Catalogue Aluminium'!$K$9,IF(T76="TRENCH",'Catalogue Aluminium'!$K$12,"NA"))</f>
        <v>0.89</v>
      </c>
      <c r="AJ76" s="585">
        <f>IF(T76="Air",(IF(U76="1C",'Catalogue Aluminium'!$L$9,'Catalogue Aluminium'!$M$9)),IF(T76="DUCT",(IF($U76="1C",'Catalogue Aluminium'!$L$10,'Catalogue Aluminium'!$M$10)),IF(T76="GROUND",(IF($U76="1C",'Catalogue Aluminium'!$L$11,'Catalogue Aluminium'!$M$11)),IF(T76="TRENCH",(IF($U76="1C",'Catalogue Aluminium'!$L$12,'Catalogue Aluminium'!$M$12))))))</f>
        <v>0.66</v>
      </c>
      <c r="AK76" s="586" t="str">
        <f>IF(T76="Air",'Catalogue Aluminium'!$N$9,IF(T76="GROUND",'Catalogue Aluminium'!$N$10,IF(T76="DUCT",'Catalogue Aluminium'!$N$11,IF(T76="TRENCH",'Catalogue Aluminium'!$N$12,"NA"))))</f>
        <v>NA</v>
      </c>
      <c r="AL76" s="586" t="str">
        <f>IF(T76="Air",(IF(U76="1C",'Catalogue Aluminium'!$O$9,'Catalogue Aluminium'!$P$9)),IF(T76="DUCT",(IF($U76="1C",'Catalogue Aluminium'!$O$10,'Catalogue Aluminium'!$P$10)),IF(T76="GROUND",(IF($U76="1C",'Catalogue Aluminium'!$O$11,'Catalogue Aluminium'!$P$11)),IF(T76="TRENCH",(IF($U76="1C",'Catalogue Aluminium'!$O$12,'Catalogue Aluminium'!$P$12))))))</f>
        <v>NA</v>
      </c>
      <c r="AM76" s="586" t="str">
        <f>IF(T76="AIR","NA",IF(T76="TRENCH","NA",IF(T76="DUCT",IF(U76="1C",VLOOKUP(V76,'Catalogue Aluminium'!$Q$9:$S$28,2,FALSE),VLOOKUP(V76,'Catalogue Aluminium'!$Q$9:$S$28,3)),IF(T76="GROUND",IF(U76="1C",VLOOKUP(V76,'Catalogue Aluminium'!$Q$9:$S$28,2,FALSE),VLOOKUP(V76,'Catalogue Aluminium'!$Q$9:$S$28,3))))))</f>
        <v>NA</v>
      </c>
      <c r="AN76" s="589">
        <f t="shared" si="171"/>
        <v>0.58740000000000003</v>
      </c>
      <c r="AO76" s="584">
        <f t="shared" si="172"/>
        <v>55.803000000000004</v>
      </c>
      <c r="AP76" s="582">
        <f t="shared" si="10"/>
        <v>1</v>
      </c>
      <c r="AQ76" s="584" t="str">
        <f t="shared" si="173"/>
        <v>YES</v>
      </c>
      <c r="AR76" s="589">
        <f t="shared" si="174"/>
        <v>0.28254395075093391</v>
      </c>
      <c r="AS76" s="583" t="str">
        <f t="shared" si="175"/>
        <v>YES</v>
      </c>
      <c r="AT76" s="589">
        <f t="shared" si="199"/>
        <v>0.48645481075102259</v>
      </c>
      <c r="AU76" s="583" t="str">
        <f t="shared" si="177"/>
        <v>YES</v>
      </c>
      <c r="AV76" s="590" t="str">
        <f t="shared" si="178"/>
        <v>1R x 0.6/1kV x 3C x 25 Sqmm</v>
      </c>
      <c r="AW76" s="590" t="str">
        <f t="shared" si="179"/>
        <v>1R x 0.6/1kV x 3C x 25+PE Sqmm</v>
      </c>
      <c r="AX76" s="583">
        <f t="shared" si="200"/>
        <v>90</v>
      </c>
      <c r="AY76" s="591"/>
    </row>
    <row r="77" spans="1:51" s="592" customFormat="1" ht="34.5" hidden="1" customHeight="1">
      <c r="A77" s="577" t="s">
        <v>303</v>
      </c>
      <c r="B77" s="577" t="s">
        <v>382</v>
      </c>
      <c r="C77" s="577" t="s">
        <v>344</v>
      </c>
      <c r="D77" s="579" t="s">
        <v>417</v>
      </c>
      <c r="E77" s="580" t="s">
        <v>310</v>
      </c>
      <c r="F77" s="577" t="s">
        <v>29</v>
      </c>
      <c r="G77" s="577" t="s">
        <v>311</v>
      </c>
      <c r="H77" s="584">
        <v>0.75</v>
      </c>
      <c r="I77" s="577" t="s">
        <v>299</v>
      </c>
      <c r="J77" s="577" t="s">
        <v>300</v>
      </c>
      <c r="K77" s="582">
        <v>400</v>
      </c>
      <c r="L77" s="583">
        <v>0.85</v>
      </c>
      <c r="M77" s="584">
        <v>0.95</v>
      </c>
      <c r="N77" s="585">
        <f t="shared" si="162"/>
        <v>1.3406359261827985</v>
      </c>
      <c r="O77" s="585">
        <f t="shared" si="108"/>
        <v>8.0438155570967904</v>
      </c>
      <c r="P77" s="583">
        <f t="shared" si="163"/>
        <v>0.2</v>
      </c>
      <c r="Q77" s="584">
        <v>65</v>
      </c>
      <c r="R77" s="584">
        <v>0</v>
      </c>
      <c r="S77" s="584">
        <f t="shared" si="164"/>
        <v>0</v>
      </c>
      <c r="T77" s="583" t="s">
        <v>131</v>
      </c>
      <c r="U77" s="584" t="s">
        <v>302</v>
      </c>
      <c r="V77" s="583">
        <v>25</v>
      </c>
      <c r="W77" s="583" t="str">
        <f t="shared" si="165"/>
        <v>3C X 25</v>
      </c>
      <c r="X77" s="583" t="str">
        <f t="shared" si="166"/>
        <v>3C X 25+PE</v>
      </c>
      <c r="Y77" s="583" t="s">
        <v>314</v>
      </c>
      <c r="Z77" s="586">
        <f>IF(T77="AIR",VLOOKUP(W77,'Catalogue Aluminium'!$B$9:$G$91,2,FALSE),IF(T77="GROUND",VLOOKUP(W77,'Catalogue Aluminium'!$B$9:$G$91,3,FALSE),IF(T77="DUCT",VLOOKUP(W77,'Catalogue Aluminium'!$B$9:$G$91,4,FALSE),IF(T77="TRENCH",VLOOKUP(W77,'Catalogue Aluminium'!$B$9:$G$91,2,FALSE)))))</f>
        <v>95</v>
      </c>
      <c r="AA77" s="587">
        <f>VLOOKUP(W77,'Catalogue Aluminium'!$B$9:$G$91,5,FALSE)</f>
        <v>1.54</v>
      </c>
      <c r="AB77" s="587">
        <f>VLOOKUP(W77,'Catalogue Aluminium'!$B$9:$G$91,6,FALSE)</f>
        <v>8.1600000000000006E-2</v>
      </c>
      <c r="AC77" s="583">
        <f t="shared" ref="AC77" si="206">17+3</f>
        <v>20</v>
      </c>
      <c r="AD77" s="583">
        <f t="shared" ref="AD77:AD79" si="207">40+50+38+50+17+(27+42+22)</f>
        <v>286</v>
      </c>
      <c r="AE77" s="583">
        <f t="shared" si="168"/>
        <v>38</v>
      </c>
      <c r="AF77" s="583">
        <v>8</v>
      </c>
      <c r="AG77" s="583">
        <f t="shared" si="169"/>
        <v>36</v>
      </c>
      <c r="AH77" s="588">
        <v>90</v>
      </c>
      <c r="AI77" s="586">
        <f>IF(T77="AIR",'Catalogue Aluminium'!$K$9,IF(T77="TRENCH",'Catalogue Aluminium'!$K$12,"NA"))</f>
        <v>0.89</v>
      </c>
      <c r="AJ77" s="585">
        <f>IF(T77="Air",(IF(U77="1C",'Catalogue Aluminium'!$L$9,'Catalogue Aluminium'!$M$9)),IF(T77="DUCT",(IF($U77="1C",'Catalogue Aluminium'!$L$10,'Catalogue Aluminium'!$M$10)),IF(T77="GROUND",(IF($U77="1C",'Catalogue Aluminium'!$L$11,'Catalogue Aluminium'!$M$11)),IF(T77="TRENCH",(IF($U77="1C",'Catalogue Aluminium'!$L$12,'Catalogue Aluminium'!$M$12))))))</f>
        <v>0.66</v>
      </c>
      <c r="AK77" s="586" t="str">
        <f>IF(T77="Air",'Catalogue Aluminium'!$N$9,IF(T77="GROUND",'Catalogue Aluminium'!$N$10,IF(T77="DUCT",'Catalogue Aluminium'!$N$11,IF(T77="TRENCH",'Catalogue Aluminium'!$N$12,"NA"))))</f>
        <v>NA</v>
      </c>
      <c r="AL77" s="586" t="str">
        <f>IF(T77="Air",(IF(U77="1C",'Catalogue Aluminium'!$O$9,'Catalogue Aluminium'!$P$9)),IF(T77="DUCT",(IF($U77="1C",'Catalogue Aluminium'!$O$10,'Catalogue Aluminium'!$P$10)),IF(T77="GROUND",(IF($U77="1C",'Catalogue Aluminium'!$O$11,'Catalogue Aluminium'!$P$11)),IF(T77="TRENCH",(IF($U77="1C",'Catalogue Aluminium'!$O$12,'Catalogue Aluminium'!$P$12))))))</f>
        <v>NA</v>
      </c>
      <c r="AM77" s="586" t="str">
        <f>IF(T77="AIR","NA",IF(T77="TRENCH","NA",IF(T77="DUCT",IF(U77="1C",VLOOKUP(V77,'Catalogue Aluminium'!$Q$9:$S$28,2,FALSE),VLOOKUP(V77,'Catalogue Aluminium'!$Q$9:$S$28,3)),IF(T77="GROUND",IF(U77="1C",VLOOKUP(V77,'Catalogue Aluminium'!$Q$9:$S$28,2,FALSE),VLOOKUP(V77,'Catalogue Aluminium'!$Q$9:$S$28,3))))))</f>
        <v>NA</v>
      </c>
      <c r="AN77" s="589">
        <f t="shared" si="171"/>
        <v>0.58740000000000003</v>
      </c>
      <c r="AO77" s="584">
        <f t="shared" si="172"/>
        <v>55.803000000000004</v>
      </c>
      <c r="AP77" s="582">
        <f t="shared" si="10"/>
        <v>1</v>
      </c>
      <c r="AQ77" s="584" t="str">
        <f t="shared" si="173"/>
        <v>YES</v>
      </c>
      <c r="AR77" s="589">
        <f t="shared" si="174"/>
        <v>7.0635987687733479E-2</v>
      </c>
      <c r="AS77" s="583" t="str">
        <f t="shared" si="175"/>
        <v>YES</v>
      </c>
      <c r="AT77" s="589">
        <f t="shared" si="199"/>
        <v>0.12161370268775565</v>
      </c>
      <c r="AU77" s="583" t="str">
        <f t="shared" si="177"/>
        <v>YES</v>
      </c>
      <c r="AV77" s="590" t="str">
        <f t="shared" si="178"/>
        <v>1R x 0.6/1kV x 3C x 25 Sqmm</v>
      </c>
      <c r="AW77" s="590" t="str">
        <f t="shared" si="179"/>
        <v>1R x 0.6/1kV x 3C x 25+PE Sqmm</v>
      </c>
      <c r="AX77" s="583">
        <f t="shared" si="200"/>
        <v>90</v>
      </c>
      <c r="AY77" s="591"/>
    </row>
    <row r="78" spans="1:51" s="592" customFormat="1" ht="34.5" hidden="1" customHeight="1">
      <c r="A78" s="577" t="s">
        <v>303</v>
      </c>
      <c r="B78" s="577" t="s">
        <v>382</v>
      </c>
      <c r="C78" s="577" t="s">
        <v>344</v>
      </c>
      <c r="D78" s="579" t="s">
        <v>418</v>
      </c>
      <c r="E78" s="580" t="s">
        <v>310</v>
      </c>
      <c r="F78" s="577" t="s">
        <v>28</v>
      </c>
      <c r="G78" s="577" t="s">
        <v>311</v>
      </c>
      <c r="H78" s="584">
        <v>0.75</v>
      </c>
      <c r="I78" s="577" t="s">
        <v>299</v>
      </c>
      <c r="J78" s="577" t="s">
        <v>300</v>
      </c>
      <c r="K78" s="582">
        <v>400</v>
      </c>
      <c r="L78" s="583">
        <v>0.85</v>
      </c>
      <c r="M78" s="584">
        <v>0.95</v>
      </c>
      <c r="N78" s="585">
        <f t="shared" si="162"/>
        <v>1.3406359261827985</v>
      </c>
      <c r="O78" s="585">
        <f t="shared" si="108"/>
        <v>8.0438155570967904</v>
      </c>
      <c r="P78" s="583">
        <f t="shared" si="163"/>
        <v>0.2</v>
      </c>
      <c r="Q78" s="584">
        <v>65</v>
      </c>
      <c r="R78" s="584">
        <v>0</v>
      </c>
      <c r="S78" s="584">
        <f t="shared" si="164"/>
        <v>0</v>
      </c>
      <c r="T78" s="583" t="s">
        <v>131</v>
      </c>
      <c r="U78" s="584" t="s">
        <v>302</v>
      </c>
      <c r="V78" s="583">
        <v>25</v>
      </c>
      <c r="W78" s="583" t="str">
        <f t="shared" si="165"/>
        <v>3C X 25</v>
      </c>
      <c r="X78" s="583" t="str">
        <f t="shared" si="166"/>
        <v>3C X 25+PE</v>
      </c>
      <c r="Y78" s="583" t="s">
        <v>314</v>
      </c>
      <c r="Z78" s="586">
        <f>IF(T78="AIR",VLOOKUP(W78,'Catalogue Aluminium'!$B$9:$G$91,2,FALSE),IF(T78="GROUND",VLOOKUP(W78,'Catalogue Aluminium'!$B$9:$G$91,3,FALSE),IF(T78="DUCT",VLOOKUP(W78,'Catalogue Aluminium'!$B$9:$G$91,4,FALSE),IF(T78="TRENCH",VLOOKUP(W78,'Catalogue Aluminium'!$B$9:$G$91,2,FALSE)))))</f>
        <v>95</v>
      </c>
      <c r="AA78" s="587">
        <f>VLOOKUP(W78,'Catalogue Aluminium'!$B$9:$G$91,5,FALSE)</f>
        <v>1.54</v>
      </c>
      <c r="AB78" s="587">
        <f>VLOOKUP(W78,'Catalogue Aluminium'!$B$9:$G$91,6,FALSE)</f>
        <v>8.1600000000000006E-2</v>
      </c>
      <c r="AC78" s="583">
        <f>26+3</f>
        <v>29</v>
      </c>
      <c r="AD78" s="583">
        <f t="shared" si="207"/>
        <v>286</v>
      </c>
      <c r="AE78" s="583">
        <f t="shared" si="168"/>
        <v>38</v>
      </c>
      <c r="AF78" s="583">
        <v>8</v>
      </c>
      <c r="AG78" s="583">
        <f t="shared" si="169"/>
        <v>37</v>
      </c>
      <c r="AH78" s="588">
        <v>90</v>
      </c>
      <c r="AI78" s="586">
        <f>IF(T78="AIR",'Catalogue Aluminium'!$K$9,IF(T78="TRENCH",'Catalogue Aluminium'!$K$12,"NA"))</f>
        <v>0.89</v>
      </c>
      <c r="AJ78" s="585">
        <f>IF(T78="Air",(IF(U78="1C",'Catalogue Aluminium'!$L$9,'Catalogue Aluminium'!$M$9)),IF(T78="DUCT",(IF($U78="1C",'Catalogue Aluminium'!$L$10,'Catalogue Aluminium'!$M$10)),IF(T78="GROUND",(IF($U78="1C",'Catalogue Aluminium'!$L$11,'Catalogue Aluminium'!$M$11)),IF(T78="TRENCH",(IF($U78="1C",'Catalogue Aluminium'!$L$12,'Catalogue Aluminium'!$M$12))))))</f>
        <v>0.66</v>
      </c>
      <c r="AK78" s="586" t="str">
        <f>IF(T78="Air",'Catalogue Aluminium'!$N$9,IF(T78="GROUND",'Catalogue Aluminium'!$N$10,IF(T78="DUCT",'Catalogue Aluminium'!$N$11,IF(T78="TRENCH",'Catalogue Aluminium'!$N$12,"NA"))))</f>
        <v>NA</v>
      </c>
      <c r="AL78" s="586" t="str">
        <f>IF(T78="Air",(IF(U78="1C",'Catalogue Aluminium'!$O$9,'Catalogue Aluminium'!$P$9)),IF(T78="DUCT",(IF($U78="1C",'Catalogue Aluminium'!$O$10,'Catalogue Aluminium'!$P$10)),IF(T78="GROUND",(IF($U78="1C",'Catalogue Aluminium'!$O$11,'Catalogue Aluminium'!$P$11)),IF(T78="TRENCH",(IF($U78="1C",'Catalogue Aluminium'!$O$12,'Catalogue Aluminium'!$P$12))))))</f>
        <v>NA</v>
      </c>
      <c r="AM78" s="586" t="str">
        <f>IF(T78="AIR","NA",IF(T78="TRENCH","NA",IF(T78="DUCT",IF(U78="1C",VLOOKUP(V78,'Catalogue Aluminium'!$Q$9:$S$28,2,FALSE),VLOOKUP(V78,'Catalogue Aluminium'!$Q$9:$S$28,3)),IF(T78="GROUND",IF(U78="1C",VLOOKUP(V78,'Catalogue Aluminium'!$Q$9:$S$28,2,FALSE),VLOOKUP(V78,'Catalogue Aluminium'!$Q$9:$S$28,3))))))</f>
        <v>NA</v>
      </c>
      <c r="AN78" s="589">
        <f t="shared" si="171"/>
        <v>0.58740000000000003</v>
      </c>
      <c r="AO78" s="584">
        <f t="shared" si="172"/>
        <v>55.803000000000004</v>
      </c>
      <c r="AP78" s="582">
        <f t="shared" si="10"/>
        <v>1</v>
      </c>
      <c r="AQ78" s="584" t="str">
        <f t="shared" si="173"/>
        <v>YES</v>
      </c>
      <c r="AR78" s="589">
        <f t="shared" si="174"/>
        <v>7.0635987687733479E-2</v>
      </c>
      <c r="AS78" s="583" t="str">
        <f t="shared" si="175"/>
        <v>YES</v>
      </c>
      <c r="AT78" s="589">
        <f t="shared" si="199"/>
        <v>0.12161370268775565</v>
      </c>
      <c r="AU78" s="583" t="str">
        <f t="shared" si="177"/>
        <v>YES</v>
      </c>
      <c r="AV78" s="590" t="str">
        <f t="shared" si="178"/>
        <v>1R x 0.6/1kV x 3C x 25 Sqmm</v>
      </c>
      <c r="AW78" s="590" t="str">
        <f t="shared" si="179"/>
        <v>1R x 0.6/1kV x 3C x 25+PE Sqmm</v>
      </c>
      <c r="AX78" s="583">
        <f t="shared" si="200"/>
        <v>90</v>
      </c>
      <c r="AY78" s="591"/>
    </row>
    <row r="79" spans="1:51" s="592" customFormat="1" ht="34.5" hidden="1" customHeight="1">
      <c r="A79" s="577" t="s">
        <v>303</v>
      </c>
      <c r="B79" s="577" t="s">
        <v>382</v>
      </c>
      <c r="C79" s="577" t="s">
        <v>344</v>
      </c>
      <c r="D79" s="579" t="s">
        <v>419</v>
      </c>
      <c r="E79" s="580" t="s">
        <v>310</v>
      </c>
      <c r="F79" s="577" t="s">
        <v>29</v>
      </c>
      <c r="G79" s="577" t="s">
        <v>311</v>
      </c>
      <c r="H79" s="584">
        <v>0.55000000000000004</v>
      </c>
      <c r="I79" s="577" t="s">
        <v>299</v>
      </c>
      <c r="J79" s="577" t="s">
        <v>300</v>
      </c>
      <c r="K79" s="582">
        <v>400</v>
      </c>
      <c r="L79" s="583">
        <v>0.85</v>
      </c>
      <c r="M79" s="584">
        <v>0.95</v>
      </c>
      <c r="N79" s="585">
        <f t="shared" si="162"/>
        <v>0.98313301253405228</v>
      </c>
      <c r="O79" s="585">
        <f t="shared" si="108"/>
        <v>5.8987980752043132</v>
      </c>
      <c r="P79" s="583">
        <f t="shared" si="163"/>
        <v>0.2</v>
      </c>
      <c r="Q79" s="584">
        <v>65</v>
      </c>
      <c r="R79" s="584">
        <v>0</v>
      </c>
      <c r="S79" s="584">
        <f t="shared" si="164"/>
        <v>0</v>
      </c>
      <c r="T79" s="583" t="s">
        <v>131</v>
      </c>
      <c r="U79" s="584" t="s">
        <v>302</v>
      </c>
      <c r="V79" s="583">
        <v>25</v>
      </c>
      <c r="W79" s="583" t="str">
        <f t="shared" si="165"/>
        <v>3C X 25</v>
      </c>
      <c r="X79" s="583" t="str">
        <f t="shared" si="166"/>
        <v>3C X 25+PE</v>
      </c>
      <c r="Y79" s="583" t="s">
        <v>314</v>
      </c>
      <c r="Z79" s="586">
        <f>IF(T79="AIR",VLOOKUP(W79,'Catalogue Aluminium'!$B$9:$G$91,2,FALSE),IF(T79="GROUND",VLOOKUP(W79,'Catalogue Aluminium'!$B$9:$G$91,3,FALSE),IF(T79="DUCT",VLOOKUP(W79,'Catalogue Aluminium'!$B$9:$G$91,4,FALSE),IF(T79="TRENCH",VLOOKUP(W79,'Catalogue Aluminium'!$B$9:$G$91,2,FALSE)))))</f>
        <v>95</v>
      </c>
      <c r="AA79" s="587">
        <f>VLOOKUP(W79,'Catalogue Aluminium'!$B$9:$G$91,5,FALSE)</f>
        <v>1.54</v>
      </c>
      <c r="AB79" s="587">
        <f>VLOOKUP(W79,'Catalogue Aluminium'!$B$9:$G$91,6,FALSE)</f>
        <v>8.1600000000000006E-2</v>
      </c>
      <c r="AC79" s="583">
        <f t="shared" ref="AC79" si="208">17+3</f>
        <v>20</v>
      </c>
      <c r="AD79" s="583">
        <f t="shared" si="207"/>
        <v>286</v>
      </c>
      <c r="AE79" s="583">
        <f t="shared" si="168"/>
        <v>38</v>
      </c>
      <c r="AF79" s="583">
        <v>8</v>
      </c>
      <c r="AG79" s="583">
        <f t="shared" si="169"/>
        <v>36</v>
      </c>
      <c r="AH79" s="588">
        <v>90</v>
      </c>
      <c r="AI79" s="586">
        <f>IF(T79="AIR",'Catalogue Aluminium'!$K$9,IF(T79="TRENCH",'Catalogue Aluminium'!$K$12,"NA"))</f>
        <v>0.89</v>
      </c>
      <c r="AJ79" s="585">
        <f>IF(T79="Air",(IF(U79="1C",'Catalogue Aluminium'!$L$9,'Catalogue Aluminium'!$M$9)),IF(T79="DUCT",(IF($U79="1C",'Catalogue Aluminium'!$L$10,'Catalogue Aluminium'!$M$10)),IF(T79="GROUND",(IF($U79="1C",'Catalogue Aluminium'!$L$11,'Catalogue Aluminium'!$M$11)),IF(T79="TRENCH",(IF($U79="1C",'Catalogue Aluminium'!$L$12,'Catalogue Aluminium'!$M$12))))))</f>
        <v>0.66</v>
      </c>
      <c r="AK79" s="586" t="str">
        <f>IF(T79="Air",'Catalogue Aluminium'!$N$9,IF(T79="GROUND",'Catalogue Aluminium'!$N$10,IF(T79="DUCT",'Catalogue Aluminium'!$N$11,IF(T79="TRENCH",'Catalogue Aluminium'!$N$12,"NA"))))</f>
        <v>NA</v>
      </c>
      <c r="AL79" s="586" t="str">
        <f>IF(T79="Air",(IF(U79="1C",'Catalogue Aluminium'!$O$9,'Catalogue Aluminium'!$P$9)),IF(T79="DUCT",(IF($U79="1C",'Catalogue Aluminium'!$O$10,'Catalogue Aluminium'!$P$10)),IF(T79="GROUND",(IF($U79="1C",'Catalogue Aluminium'!$O$11,'Catalogue Aluminium'!$P$11)),IF(T79="TRENCH",(IF($U79="1C",'Catalogue Aluminium'!$O$12,'Catalogue Aluminium'!$P$12))))))</f>
        <v>NA</v>
      </c>
      <c r="AM79" s="586" t="str">
        <f>IF(T79="AIR","NA",IF(T79="TRENCH","NA",IF(T79="DUCT",IF(U79="1C",VLOOKUP(V79,'Catalogue Aluminium'!$Q$9:$S$28,2,FALSE),VLOOKUP(V79,'Catalogue Aluminium'!$Q$9:$S$28,3)),IF(T79="GROUND",IF(U79="1C",VLOOKUP(V79,'Catalogue Aluminium'!$Q$9:$S$28,2,FALSE),VLOOKUP(V79,'Catalogue Aluminium'!$Q$9:$S$28,3))))))</f>
        <v>NA</v>
      </c>
      <c r="AN79" s="589">
        <f t="shared" si="171"/>
        <v>0.58740000000000003</v>
      </c>
      <c r="AO79" s="584">
        <f t="shared" si="172"/>
        <v>55.803000000000004</v>
      </c>
      <c r="AP79" s="582">
        <f t="shared" si="10"/>
        <v>1</v>
      </c>
      <c r="AQ79" s="584" t="str">
        <f t="shared" si="173"/>
        <v>YES</v>
      </c>
      <c r="AR79" s="589">
        <f t="shared" si="174"/>
        <v>5.1799724304337894E-2</v>
      </c>
      <c r="AS79" s="583" t="str">
        <f t="shared" si="175"/>
        <v>YES</v>
      </c>
      <c r="AT79" s="589">
        <f t="shared" si="199"/>
        <v>8.9183381971020784E-2</v>
      </c>
      <c r="AU79" s="583" t="str">
        <f t="shared" si="177"/>
        <v>YES</v>
      </c>
      <c r="AV79" s="590" t="str">
        <f t="shared" si="178"/>
        <v>1R x 0.6/1kV x 3C x 25 Sqmm</v>
      </c>
      <c r="AW79" s="590" t="str">
        <f t="shared" si="179"/>
        <v>1R x 0.6/1kV x 3C x 25+PE Sqmm</v>
      </c>
      <c r="AX79" s="583">
        <f t="shared" si="200"/>
        <v>90</v>
      </c>
      <c r="AY79" s="591"/>
    </row>
    <row r="80" spans="1:51" s="592" customFormat="1" ht="34.5" hidden="1" customHeight="1">
      <c r="A80" s="577" t="s">
        <v>303</v>
      </c>
      <c r="B80" s="577" t="s">
        <v>382</v>
      </c>
      <c r="C80" s="577" t="s">
        <v>344</v>
      </c>
      <c r="D80" s="579" t="s">
        <v>420</v>
      </c>
      <c r="E80" s="580" t="s">
        <v>410</v>
      </c>
      <c r="F80" s="577" t="s">
        <v>28</v>
      </c>
      <c r="G80" s="577" t="s">
        <v>298</v>
      </c>
      <c r="H80" s="584">
        <v>1</v>
      </c>
      <c r="I80" s="577" t="s">
        <v>299</v>
      </c>
      <c r="J80" s="577" t="s">
        <v>300</v>
      </c>
      <c r="K80" s="582">
        <v>400</v>
      </c>
      <c r="L80" s="583">
        <v>0.85</v>
      </c>
      <c r="M80" s="584">
        <v>0.95</v>
      </c>
      <c r="N80" s="585">
        <f t="shared" si="162"/>
        <v>1.7875145682437314</v>
      </c>
      <c r="O80" s="585">
        <f t="shared" si="108"/>
        <v>0</v>
      </c>
      <c r="P80" s="583" t="str">
        <f t="shared" si="163"/>
        <v>0.00</v>
      </c>
      <c r="Q80" s="584">
        <v>65</v>
      </c>
      <c r="R80" s="584">
        <v>0</v>
      </c>
      <c r="S80" s="584">
        <f t="shared" si="164"/>
        <v>0</v>
      </c>
      <c r="T80" s="583" t="s">
        <v>131</v>
      </c>
      <c r="U80" s="584" t="s">
        <v>377</v>
      </c>
      <c r="V80" s="583">
        <v>25</v>
      </c>
      <c r="W80" s="583" t="str">
        <f t="shared" si="165"/>
        <v>4C X 25</v>
      </c>
      <c r="X80" s="583" t="str">
        <f t="shared" si="166"/>
        <v>4C X 25</v>
      </c>
      <c r="Y80" s="583" t="s">
        <v>314</v>
      </c>
      <c r="Z80" s="586" t="e">
        <f>IF(T80="AIR",VLOOKUP(W80,'Catalogue Aluminium'!$B$9:$G$91,2,FALSE),IF(T80="GROUND",VLOOKUP(W80,'Catalogue Aluminium'!$B$9:$G$91,3,FALSE),IF(T80="DUCT",VLOOKUP(W80,'Catalogue Aluminium'!$B$9:$G$91,4,FALSE),IF(T80="TRENCH",VLOOKUP(W80,'Catalogue Aluminium'!$B$9:$G$91,2,FALSE)))))</f>
        <v>#N/A</v>
      </c>
      <c r="AA80" s="587" t="e">
        <f>VLOOKUP(W80,'Catalogue Aluminium'!$B$9:$G$91,5,FALSE)</f>
        <v>#N/A</v>
      </c>
      <c r="AB80" s="587" t="e">
        <f>VLOOKUP(W80,'Catalogue Aluminium'!$B$9:$G$91,6,FALSE)</f>
        <v>#N/A</v>
      </c>
      <c r="AC80" s="583">
        <f>26+3</f>
        <v>29</v>
      </c>
      <c r="AD80" s="583">
        <v>80</v>
      </c>
      <c r="AE80" s="583">
        <v>5</v>
      </c>
      <c r="AF80" s="583">
        <v>8</v>
      </c>
      <c r="AG80" s="583">
        <f t="shared" si="169"/>
        <v>13</v>
      </c>
      <c r="AH80" s="588">
        <v>90</v>
      </c>
      <c r="AI80" s="586">
        <f>IF(T80="AIR",'Catalogue Aluminium'!$K$9,IF(T80="TRENCH",'Catalogue Aluminium'!$K$12,"NA"))</f>
        <v>0.89</v>
      </c>
      <c r="AJ80" s="585">
        <f>IF(T80="Air",(IF(U80="1C",'Catalogue Aluminium'!$L$9,'Catalogue Aluminium'!$M$9)),IF(T80="DUCT",(IF($U80="1C",'Catalogue Aluminium'!$L$10,'Catalogue Aluminium'!$M$10)),IF(T80="GROUND",(IF($U80="1C",'Catalogue Aluminium'!$L$11,'Catalogue Aluminium'!$M$11)),IF(T80="TRENCH",(IF($U80="1C",'Catalogue Aluminium'!$L$12,'Catalogue Aluminium'!$M$12))))))</f>
        <v>0.66</v>
      </c>
      <c r="AK80" s="586" t="str">
        <f>IF(T80="Air",'Catalogue Aluminium'!$N$9,IF(T80="GROUND",'Catalogue Aluminium'!$N$10,IF(T80="DUCT",'Catalogue Aluminium'!$N$11,IF(T80="TRENCH",'Catalogue Aluminium'!$N$12,"NA"))))</f>
        <v>NA</v>
      </c>
      <c r="AL80" s="586" t="str">
        <f>IF(T80="Air",(IF(U80="1C",'Catalogue Aluminium'!$O$9,'Catalogue Aluminium'!$P$9)),IF(T80="DUCT",(IF($U80="1C",'Catalogue Aluminium'!$O$10,'Catalogue Aluminium'!$P$10)),IF(T80="GROUND",(IF($U80="1C",'Catalogue Aluminium'!$O$11,'Catalogue Aluminium'!$P$11)),IF(T80="TRENCH",(IF($U80="1C",'Catalogue Aluminium'!$O$12,'Catalogue Aluminium'!$P$12))))))</f>
        <v>NA</v>
      </c>
      <c r="AM80" s="586" t="str">
        <f>IF(T80="AIR","NA",IF(T80="TRENCH","NA",IF(T80="DUCT",IF(U80="1C",VLOOKUP(V80,'Catalogue Aluminium'!$Q$9:$S$28,2,FALSE),VLOOKUP(V80,'Catalogue Aluminium'!$Q$9:$S$28,3)),IF(T80="GROUND",IF(U80="1C",VLOOKUP(V80,'Catalogue Aluminium'!$Q$9:$S$28,2,FALSE),VLOOKUP(V80,'Catalogue Aluminium'!$Q$9:$S$28,3))))))</f>
        <v>NA</v>
      </c>
      <c r="AN80" s="589">
        <f t="shared" si="171"/>
        <v>0.58740000000000003</v>
      </c>
      <c r="AO80" s="584" t="e">
        <f t="shared" si="172"/>
        <v>#N/A</v>
      </c>
      <c r="AP80" s="582" t="e">
        <f t="shared" si="10"/>
        <v>#N/A</v>
      </c>
      <c r="AQ80" s="584" t="e">
        <f t="shared" si="173"/>
        <v>#N/A</v>
      </c>
      <c r="AR80" s="589" t="e">
        <f t="shared" si="174"/>
        <v>#N/A</v>
      </c>
      <c r="AS80" s="583" t="e">
        <f t="shared" si="175"/>
        <v>#N/A</v>
      </c>
      <c r="AT80" s="589" t="str">
        <f t="shared" si="199"/>
        <v>NA</v>
      </c>
      <c r="AU80" s="583" t="str">
        <f t="shared" si="177"/>
        <v>NA</v>
      </c>
      <c r="AV80" s="590" t="e">
        <f t="shared" si="178"/>
        <v>#N/A</v>
      </c>
      <c r="AW80" s="590" t="e">
        <f t="shared" si="179"/>
        <v>#N/A</v>
      </c>
      <c r="AX80" s="583" t="e">
        <f t="shared" si="200"/>
        <v>#N/A</v>
      </c>
      <c r="AY80" s="591"/>
    </row>
    <row r="81" spans="1:51" s="592" customFormat="1" ht="34.5" hidden="1" customHeight="1">
      <c r="A81" s="577" t="s">
        <v>303</v>
      </c>
      <c r="B81" s="577" t="s">
        <v>382</v>
      </c>
      <c r="C81" s="577" t="s">
        <v>344</v>
      </c>
      <c r="D81" s="579" t="s">
        <v>421</v>
      </c>
      <c r="E81" s="580" t="s">
        <v>410</v>
      </c>
      <c r="F81" s="577" t="s">
        <v>29</v>
      </c>
      <c r="G81" s="577" t="s">
        <v>298</v>
      </c>
      <c r="H81" s="584">
        <v>1</v>
      </c>
      <c r="I81" s="577" t="s">
        <v>299</v>
      </c>
      <c r="J81" s="577" t="s">
        <v>300</v>
      </c>
      <c r="K81" s="582">
        <v>400</v>
      </c>
      <c r="L81" s="583">
        <v>0.85</v>
      </c>
      <c r="M81" s="584">
        <v>0.95</v>
      </c>
      <c r="N81" s="585">
        <f t="shared" si="162"/>
        <v>1.7875145682437314</v>
      </c>
      <c r="O81" s="585">
        <f t="shared" si="108"/>
        <v>0</v>
      </c>
      <c r="P81" s="583" t="str">
        <f t="shared" si="163"/>
        <v>0.00</v>
      </c>
      <c r="Q81" s="584">
        <v>65</v>
      </c>
      <c r="R81" s="584">
        <v>0</v>
      </c>
      <c r="S81" s="584">
        <f t="shared" si="164"/>
        <v>0</v>
      </c>
      <c r="T81" s="583" t="s">
        <v>131</v>
      </c>
      <c r="U81" s="584" t="s">
        <v>377</v>
      </c>
      <c r="V81" s="583">
        <v>25</v>
      </c>
      <c r="W81" s="583" t="str">
        <f t="shared" si="165"/>
        <v>4C X 25</v>
      </c>
      <c r="X81" s="583" t="str">
        <f t="shared" si="166"/>
        <v>4C X 25</v>
      </c>
      <c r="Y81" s="583" t="s">
        <v>314</v>
      </c>
      <c r="Z81" s="586" t="e">
        <f>IF(T81="AIR",VLOOKUP(W81,'Catalogue Aluminium'!$B$9:$G$91,2,FALSE),IF(T81="GROUND",VLOOKUP(W81,'Catalogue Aluminium'!$B$9:$G$91,3,FALSE),IF(T81="DUCT",VLOOKUP(W81,'Catalogue Aluminium'!$B$9:$G$91,4,FALSE),IF(T81="TRENCH",VLOOKUP(W81,'Catalogue Aluminium'!$B$9:$G$91,2,FALSE)))))</f>
        <v>#N/A</v>
      </c>
      <c r="AA81" s="587" t="e">
        <f>VLOOKUP(W81,'Catalogue Aluminium'!$B$9:$G$91,5,FALSE)</f>
        <v>#N/A</v>
      </c>
      <c r="AB81" s="587" t="e">
        <f>VLOOKUP(W81,'Catalogue Aluminium'!$B$9:$G$91,6,FALSE)</f>
        <v>#N/A</v>
      </c>
      <c r="AC81" s="583">
        <f t="shared" ref="AC81" si="209">17+3</f>
        <v>20</v>
      </c>
      <c r="AD81" s="583">
        <v>80</v>
      </c>
      <c r="AE81" s="583">
        <v>5</v>
      </c>
      <c r="AF81" s="583">
        <v>8</v>
      </c>
      <c r="AG81" s="583">
        <f t="shared" si="169"/>
        <v>12</v>
      </c>
      <c r="AH81" s="588">
        <v>90</v>
      </c>
      <c r="AI81" s="586">
        <f>IF(T81="AIR",'Catalogue Aluminium'!$K$9,IF(T81="TRENCH",'Catalogue Aluminium'!$K$12,"NA"))</f>
        <v>0.89</v>
      </c>
      <c r="AJ81" s="585">
        <f>IF(T81="Air",(IF(U81="1C",'Catalogue Aluminium'!$L$9,'Catalogue Aluminium'!$M$9)),IF(T81="DUCT",(IF($U81="1C",'Catalogue Aluminium'!$L$10,'Catalogue Aluminium'!$M$10)),IF(T81="GROUND",(IF($U81="1C",'Catalogue Aluminium'!$L$11,'Catalogue Aluminium'!$M$11)),IF(T81="TRENCH",(IF($U81="1C",'Catalogue Aluminium'!$L$12,'Catalogue Aluminium'!$M$12))))))</f>
        <v>0.66</v>
      </c>
      <c r="AK81" s="586" t="str">
        <f>IF(T81="Air",'Catalogue Aluminium'!$N$9,IF(T81="GROUND",'Catalogue Aluminium'!$N$10,IF(T81="DUCT",'Catalogue Aluminium'!$N$11,IF(T81="TRENCH",'Catalogue Aluminium'!$N$12,"NA"))))</f>
        <v>NA</v>
      </c>
      <c r="AL81" s="586" t="str">
        <f>IF(T81="Air",(IF(U81="1C",'Catalogue Aluminium'!$O$9,'Catalogue Aluminium'!$P$9)),IF(T81="DUCT",(IF($U81="1C",'Catalogue Aluminium'!$O$10,'Catalogue Aluminium'!$P$10)),IF(T81="GROUND",(IF($U81="1C",'Catalogue Aluminium'!$O$11,'Catalogue Aluminium'!$P$11)),IF(T81="TRENCH",(IF($U81="1C",'Catalogue Aluminium'!$O$12,'Catalogue Aluminium'!$P$12))))))</f>
        <v>NA</v>
      </c>
      <c r="AM81" s="586" t="str">
        <f>IF(T81="AIR","NA",IF(T81="TRENCH","NA",IF(T81="DUCT",IF(U81="1C",VLOOKUP(V81,'Catalogue Aluminium'!$Q$9:$S$28,2,FALSE),VLOOKUP(V81,'Catalogue Aluminium'!$Q$9:$S$28,3)),IF(T81="GROUND",IF(U81="1C",VLOOKUP(V81,'Catalogue Aluminium'!$Q$9:$S$28,2,FALSE),VLOOKUP(V81,'Catalogue Aluminium'!$Q$9:$S$28,3))))))</f>
        <v>NA</v>
      </c>
      <c r="AN81" s="589">
        <f t="shared" si="171"/>
        <v>0.58740000000000003</v>
      </c>
      <c r="AO81" s="584" t="e">
        <f t="shared" si="172"/>
        <v>#N/A</v>
      </c>
      <c r="AP81" s="582" t="e">
        <f t="shared" si="10"/>
        <v>#N/A</v>
      </c>
      <c r="AQ81" s="584" t="e">
        <f t="shared" si="173"/>
        <v>#N/A</v>
      </c>
      <c r="AR81" s="589" t="e">
        <f t="shared" si="174"/>
        <v>#N/A</v>
      </c>
      <c r="AS81" s="583" t="e">
        <f t="shared" si="175"/>
        <v>#N/A</v>
      </c>
      <c r="AT81" s="589" t="str">
        <f t="shared" si="199"/>
        <v>NA</v>
      </c>
      <c r="AU81" s="583" t="str">
        <f t="shared" si="177"/>
        <v>NA</v>
      </c>
      <c r="AV81" s="590" t="e">
        <f t="shared" si="178"/>
        <v>#N/A</v>
      </c>
      <c r="AW81" s="590" t="e">
        <f t="shared" si="179"/>
        <v>#N/A</v>
      </c>
      <c r="AX81" s="583" t="e">
        <f t="shared" si="200"/>
        <v>#N/A</v>
      </c>
      <c r="AY81" s="591"/>
    </row>
    <row r="82" spans="1:51" s="70" customFormat="1" ht="29.25" customHeight="1">
      <c r="A82" s="273"/>
      <c r="B82" s="273"/>
      <c r="C82" s="273"/>
      <c r="D82" s="357" t="s">
        <v>1003</v>
      </c>
      <c r="E82" s="273"/>
      <c r="F82" s="359"/>
      <c r="G82" s="273"/>
      <c r="H82" s="281"/>
      <c r="I82" s="273"/>
      <c r="J82" s="273"/>
      <c r="K82" s="280"/>
      <c r="L82" s="275"/>
      <c r="M82" s="281"/>
      <c r="N82" s="274"/>
      <c r="O82" s="274"/>
      <c r="P82" s="275"/>
      <c r="Q82" s="281"/>
      <c r="R82" s="281"/>
      <c r="S82" s="281"/>
      <c r="T82" s="275"/>
      <c r="U82" s="281"/>
      <c r="V82" s="275"/>
      <c r="W82" s="275"/>
      <c r="X82" s="275"/>
      <c r="Y82" s="275"/>
      <c r="Z82" s="276"/>
      <c r="AA82" s="277"/>
      <c r="AB82" s="277"/>
      <c r="AC82" s="277"/>
      <c r="AD82" s="277"/>
      <c r="AE82" s="277"/>
      <c r="AF82" s="277"/>
      <c r="AG82" s="277"/>
      <c r="AH82" s="277"/>
      <c r="AI82" s="276"/>
      <c r="AJ82" s="274"/>
      <c r="AK82" s="276"/>
      <c r="AL82" s="276"/>
      <c r="AM82" s="276"/>
      <c r="AN82" s="282"/>
      <c r="AO82" s="281"/>
      <c r="AP82" s="280"/>
      <c r="AQ82" s="281"/>
      <c r="AR82" s="282"/>
      <c r="AS82" s="275"/>
      <c r="AT82" s="282"/>
      <c r="AU82" s="282"/>
      <c r="AV82" s="283"/>
      <c r="AW82" s="283"/>
      <c r="AX82" s="275"/>
      <c r="AY82" s="284"/>
    </row>
    <row r="83" spans="1:51" ht="30.75" customHeight="1">
      <c r="A83" s="285">
        <f>1+A75</f>
        <v>52</v>
      </c>
      <c r="B83" s="298" t="s">
        <v>1004</v>
      </c>
      <c r="C83" s="285" t="s">
        <v>344</v>
      </c>
      <c r="D83" s="244" t="s">
        <v>423</v>
      </c>
      <c r="E83" s="352" t="s">
        <v>310</v>
      </c>
      <c r="F83" s="285" t="s">
        <v>28</v>
      </c>
      <c r="G83" s="285" t="s">
        <v>298</v>
      </c>
      <c r="H83" s="304">
        <v>13</v>
      </c>
      <c r="I83" s="285" t="s">
        <v>299</v>
      </c>
      <c r="J83" s="285" t="s">
        <v>300</v>
      </c>
      <c r="K83" s="309">
        <v>400</v>
      </c>
      <c r="L83" s="294">
        <v>0.85</v>
      </c>
      <c r="M83" s="304">
        <v>0.95</v>
      </c>
      <c r="N83" s="287">
        <f t="shared" ref="N83:N92" si="210">IF(I83="kVA",IF(J83="3Ph",(H83*1000/(1.732*M83*K83)),(H83*1000/(M83*K83))),IF(I83="kW",IF(J83="3Ph",(H83*1000/(1.732*M83*K83*L83)),(H83*1000/(M83*K83*L83)))))</f>
        <v>23.237689387168508</v>
      </c>
      <c r="O83" s="287">
        <f t="shared" ref="O83:O115" si="211">IF(G83="MOTOR",(6*N83),IF(G83="VFD",(1*N83),0))</f>
        <v>0</v>
      </c>
      <c r="P83" s="294" t="str">
        <f t="shared" ref="P83:P92" si="212">IF(G83="MOTOR",0.2,"0.00")</f>
        <v>0.00</v>
      </c>
      <c r="Q83" s="304">
        <v>65</v>
      </c>
      <c r="R83" s="304">
        <v>0</v>
      </c>
      <c r="S83" s="304">
        <f t="shared" ref="S83:S92" si="213">(Q83*1000*SQRT(R83)/143)</f>
        <v>0</v>
      </c>
      <c r="T83" s="294" t="s">
        <v>131</v>
      </c>
      <c r="U83" s="304" t="s">
        <v>390</v>
      </c>
      <c r="V83" s="294">
        <v>25</v>
      </c>
      <c r="W83" s="294" t="str">
        <f t="shared" ref="W83:W92" si="214">CONCATENATE(U83," X ",V83)</f>
        <v>3.5C X 25</v>
      </c>
      <c r="X83" s="294" t="str">
        <f t="shared" ref="X83:X92" si="215">(IF(J83="1Ph",W83,IF(J83="3Ph",(IF(G83="MOTOR",(CONCATENATE(W83,"+PE")),W83)))))</f>
        <v>3.5C X 25</v>
      </c>
      <c r="Y83" s="294" t="s">
        <v>314</v>
      </c>
      <c r="Z83" s="288">
        <f>IF(T83="AIR",VLOOKUP(W83,'Catalogue Aluminium'!$B$9:$G$91,2,FALSE),IF(T83="GROUND",VLOOKUP(W83,'Catalogue Aluminium'!$B$9:$G$91,3,FALSE),IF(T83="DUCT",VLOOKUP(W83,'Catalogue Aluminium'!$B$9:$G$91,4,FALSE),IF(T83="TRENCH",VLOOKUP(W83,'Catalogue Aluminium'!$B$9:$G$91,2,FALSE)))))</f>
        <v>95</v>
      </c>
      <c r="AA83" s="295">
        <f>VLOOKUP(W83,'Catalogue Aluminium'!$B$9:$G$91,5,FALSE)</f>
        <v>1.54</v>
      </c>
      <c r="AB83" s="295">
        <f>VLOOKUP(W83,'Catalogue Aluminium'!$B$9:$G$91,6,FALSE)</f>
        <v>8.1600000000000006E-2</v>
      </c>
      <c r="AC83" s="294">
        <f>26+3</f>
        <v>29</v>
      </c>
      <c r="AD83" s="294">
        <f>40+50+38+50+17+(27+42+30+10)</f>
        <v>304</v>
      </c>
      <c r="AE83" s="294">
        <f t="shared" ref="AE83:AE93" si="216">11+8+8+11</f>
        <v>38</v>
      </c>
      <c r="AF83" s="294">
        <v>8</v>
      </c>
      <c r="AG83" s="294">
        <f t="shared" ref="AG83:AG92" si="217">ROUNDUP((SUM(AC83:AF83)*0.1),0)</f>
        <v>38</v>
      </c>
      <c r="AH83" s="311">
        <v>90</v>
      </c>
      <c r="AI83" s="288">
        <f>IF(T83="AIR",'Catalogue Aluminium'!$K$9,IF(T83="TRENCH",'Catalogue Aluminium'!$K$12,"NA"))</f>
        <v>0.89</v>
      </c>
      <c r="AJ83" s="287">
        <f>IF(T83="Air",(IF(U83="1C",'Catalogue Aluminium'!$L$9,'Catalogue Aluminium'!$M$9)),IF(T83="DUCT",(IF($U83="1C",'Catalogue Aluminium'!$L$10,'Catalogue Aluminium'!$M$10)),IF(T83="GROUND",(IF($U83="1C",'Catalogue Aluminium'!$L$11,'Catalogue Aluminium'!$M$11)),IF(T83="TRENCH",(IF($U83="1C",'Catalogue Aluminium'!$L$12,'Catalogue Aluminium'!$M$12))))))</f>
        <v>0.66</v>
      </c>
      <c r="AK83" s="288" t="str">
        <f>IF(T83="Air",'Catalogue Aluminium'!$N$9,IF(T83="GROUND",'Catalogue Aluminium'!$N$10,IF(T83="DUCT",'Catalogue Aluminium'!$N$11,IF(T83="TRENCH",'Catalogue Aluminium'!$N$12,"NA"))))</f>
        <v>NA</v>
      </c>
      <c r="AL83" s="288" t="str">
        <f>IF(T83="Air",(IF(U83="1C",'Catalogue Aluminium'!$O$9,'Catalogue Aluminium'!$P$9)),IF(T83="DUCT",(IF($U83="1C",'Catalogue Aluminium'!$O$10,'Catalogue Aluminium'!$P$10)),IF(T83="GROUND",(IF($U83="1C",'Catalogue Aluminium'!$O$11,'Catalogue Aluminium'!$P$11)),IF(T83="TRENCH",(IF($U83="1C",'Catalogue Aluminium'!$O$12,'Catalogue Aluminium'!$P$12))))))</f>
        <v>NA</v>
      </c>
      <c r="AM83" s="288" t="str">
        <f>IF(T83="AIR","NA",IF(T83="TRENCH","NA",IF(T83="DUCT",IF(U83="1C",VLOOKUP(V83,'Catalogue Aluminium'!$Q$9:$S$28,2,FALSE),VLOOKUP(V83,'Catalogue Aluminium'!$Q$9:$S$28,3)),IF(T83="GROUND",IF(U83="1C",VLOOKUP(V83,'Catalogue Aluminium'!$Q$9:$S$28,2,FALSE),VLOOKUP(V83,'Catalogue Aluminium'!$Q$9:$S$28,3))))))</f>
        <v>NA</v>
      </c>
      <c r="AN83" s="312">
        <f t="shared" ref="AN83:AN92" si="218">IF(T83="AIR",AI83*AJ83,IF(T83="TRENCH",AI83*AJ83,IF(T83="DUCT",AJ83*AK83*AL83*AM83,IF(T83="GROUND",AJ83*AK83*AL83*AM83))))</f>
        <v>0.58740000000000003</v>
      </c>
      <c r="AO83" s="304">
        <f t="shared" ref="AO83:AO92" si="219">Z83*AN83</f>
        <v>55.803000000000004</v>
      </c>
      <c r="AP83" s="309">
        <f t="shared" ref="AP83:AP151" si="220">CEILING(((N83)/AO83),1)</f>
        <v>1</v>
      </c>
      <c r="AQ83" s="304" t="str">
        <f t="shared" ref="AQ83:AQ92" si="221">IF(AO83*AP83&gt;=N83,"YES","NO")</f>
        <v>YES</v>
      </c>
      <c r="AR83" s="312">
        <f t="shared" ref="AR83:AR92" si="222">SQRT(3)*AH83*N83*((AA83*L83)+(AB83*SIN(ACOS(L83))))*100/(AP83*K83*1000)</f>
        <v>1.2243571199207137</v>
      </c>
      <c r="AS83" s="294" t="str">
        <f t="shared" ref="AS83:AS92" si="223">IF(G83="INCOMER",(IF(AR83&lt;=2,"YES","NO")),IF(G83="POWER",(IF(AR83&lt;=2.5,"YES","NO")),IF(G83="MOTOR",(IF(AR83&lt;=3,"YES","NO")))))</f>
        <v>YES</v>
      </c>
      <c r="AT83" s="312" t="str">
        <f t="shared" ref="AT83:AT92" si="224">IF(G83="MOTOR",(SQRT(3)*AH83*O83*((AA83*P83)+(AB83*SIN(ACOS(P83))))*100/(AP83*K83*1000)),"NA")</f>
        <v>NA</v>
      </c>
      <c r="AU83" s="294" t="str">
        <f t="shared" ref="AU83:AU92" si="225">IF(G83="MOTOR",IF(AT83&lt;=15,"YES","NO"),"NA")</f>
        <v>NA</v>
      </c>
      <c r="AV83" s="353" t="str">
        <f t="shared" ref="AV83:AV92" si="226">IF(U83="1C",CONCATENATE(AP83,"R x ",Y83,"kV x ",U83," x ",V83," Sqmm/Phase"),CONCATENATE(AP83,"R x ",0.6,"/1kV x ",U83," x ",V83," Sqmm"))</f>
        <v>1R x 0.6/1kV x 3.5C x 25 Sqmm</v>
      </c>
      <c r="AW83" s="353" t="str">
        <f t="shared" ref="AW83:AW92" si="227">IF(U83="1C",CONCATENATE(AP83,"R x ",Y83,"kV x ",U83," x ",V83," Sqmm/Phase"),CONCATENATE(AP83,"R x ",0.6,"/1kV x ",U83," x ",V83,(IF(G83="MOTOR","+PE",""))," Sqmm"))</f>
        <v>1R x 0.6/1kV x 3.5C x 25 Sqmm</v>
      </c>
      <c r="AX83" s="294">
        <f t="shared" ref="AX83:AX92" si="228">(IF(K83=400,(IF(U83="1C",(4*AH83*AP83),(AH83*AP83))),IF(K83=230,(AH83*AP83))))</f>
        <v>90</v>
      </c>
      <c r="AY83" s="354"/>
    </row>
    <row r="84" spans="1:51" ht="29.25" customHeight="1">
      <c r="A84" s="285">
        <f t="shared" ref="A84:A93" si="229">1+A83</f>
        <v>53</v>
      </c>
      <c r="B84" s="285" t="s">
        <v>382</v>
      </c>
      <c r="C84" s="285" t="s">
        <v>344</v>
      </c>
      <c r="D84" s="546" t="s">
        <v>1001</v>
      </c>
      <c r="E84" s="352" t="s">
        <v>410</v>
      </c>
      <c r="F84" s="369" t="s">
        <v>29</v>
      </c>
      <c r="G84" s="285" t="s">
        <v>298</v>
      </c>
      <c r="H84" s="421">
        <v>5</v>
      </c>
      <c r="I84" s="285" t="s">
        <v>299</v>
      </c>
      <c r="J84" s="285" t="s">
        <v>313</v>
      </c>
      <c r="K84" s="309">
        <v>230</v>
      </c>
      <c r="L84" s="294">
        <v>0.85</v>
      </c>
      <c r="M84" s="304">
        <v>0.95</v>
      </c>
      <c r="N84" s="287">
        <f t="shared" si="210"/>
        <v>26.921523758244717</v>
      </c>
      <c r="O84" s="287">
        <f t="shared" si="211"/>
        <v>0</v>
      </c>
      <c r="P84" s="294" t="str">
        <f t="shared" si="212"/>
        <v>0.00</v>
      </c>
      <c r="Q84" s="304">
        <v>65</v>
      </c>
      <c r="R84" s="304">
        <v>0</v>
      </c>
      <c r="S84" s="304">
        <f t="shared" si="213"/>
        <v>0</v>
      </c>
      <c r="T84" s="294" t="s">
        <v>131</v>
      </c>
      <c r="U84" s="304" t="s">
        <v>302</v>
      </c>
      <c r="V84" s="294">
        <v>25</v>
      </c>
      <c r="W84" s="294" t="str">
        <f t="shared" si="214"/>
        <v>3C X 25</v>
      </c>
      <c r="X84" s="294" t="str">
        <f t="shared" si="215"/>
        <v>3C X 25</v>
      </c>
      <c r="Y84" s="294" t="s">
        <v>314</v>
      </c>
      <c r="Z84" s="288">
        <f>IF(T84="AIR",VLOOKUP(W84,'Catalogue Aluminium'!$B$9:$G$91,2,FALSE),IF(T84="GROUND",VLOOKUP(W84,'Catalogue Aluminium'!$B$9:$G$91,3,FALSE),IF(T84="DUCT",VLOOKUP(W84,'Catalogue Aluminium'!$B$9:$G$91,4,FALSE),IF(T84="TRENCH",VLOOKUP(W84,'Catalogue Aluminium'!$B$9:$G$91,2,FALSE)))))</f>
        <v>95</v>
      </c>
      <c r="AA84" s="295">
        <f>VLOOKUP(W84,'Catalogue Aluminium'!$B$9:$G$91,5,FALSE)</f>
        <v>1.54</v>
      </c>
      <c r="AB84" s="295">
        <f>VLOOKUP(W84,'Catalogue Aluminium'!$B$9:$G$91,6,FALSE)</f>
        <v>8.1600000000000006E-2</v>
      </c>
      <c r="AC84" s="294">
        <f t="shared" ref="AC84:AC91" si="230">17+3</f>
        <v>20</v>
      </c>
      <c r="AD84" s="294">
        <v>80</v>
      </c>
      <c r="AE84" s="294">
        <v>5</v>
      </c>
      <c r="AF84" s="294">
        <v>8</v>
      </c>
      <c r="AG84" s="294">
        <f t="shared" si="217"/>
        <v>12</v>
      </c>
      <c r="AH84" s="311">
        <v>90</v>
      </c>
      <c r="AI84" s="288">
        <f>IF(T84="AIR",'Catalogue Aluminium'!$K$9,IF(T84="TRENCH",'Catalogue Aluminium'!$K$12,"NA"))</f>
        <v>0.89</v>
      </c>
      <c r="AJ84" s="287">
        <f>IF(T84="Air",(IF(U84="1C",'Catalogue Aluminium'!$L$9,'Catalogue Aluminium'!$M$9)),IF(T84="DUCT",(IF($U84="1C",'Catalogue Aluminium'!$L$10,'Catalogue Aluminium'!$M$10)),IF(T84="GROUND",(IF($U84="1C",'Catalogue Aluminium'!$L$11,'Catalogue Aluminium'!$M$11)),IF(T84="TRENCH",(IF($U84="1C",'Catalogue Aluminium'!$L$12,'Catalogue Aluminium'!$M$12))))))</f>
        <v>0.66</v>
      </c>
      <c r="AK84" s="288" t="str">
        <f>IF(T84="Air",'Catalogue Aluminium'!$N$9,IF(T84="GROUND",'Catalogue Aluminium'!$N$10,IF(T84="DUCT",'Catalogue Aluminium'!$N$11,IF(T84="TRENCH",'Catalogue Aluminium'!$N$12,"NA"))))</f>
        <v>NA</v>
      </c>
      <c r="AL84" s="288" t="str">
        <f>IF(T84="Air",(IF(U84="1C",'Catalogue Aluminium'!$O$9,'Catalogue Aluminium'!$P$9)),IF(T84="DUCT",(IF($U84="1C",'Catalogue Aluminium'!$O$10,'Catalogue Aluminium'!$P$10)),IF(T84="GROUND",(IF($U84="1C",'Catalogue Aluminium'!$O$11,'Catalogue Aluminium'!$P$11)),IF(T84="TRENCH",(IF($U84="1C",'Catalogue Aluminium'!$O$12,'Catalogue Aluminium'!$P$12))))))</f>
        <v>NA</v>
      </c>
      <c r="AM84" s="288" t="str">
        <f>IF(T84="AIR","NA",IF(T84="TRENCH","NA",IF(T84="DUCT",IF(U84="1C",VLOOKUP(V84,'Catalogue Aluminium'!$Q$9:$S$28,2,FALSE),VLOOKUP(V84,'Catalogue Aluminium'!$Q$9:$S$28,3)),IF(T84="GROUND",IF(U84="1C",VLOOKUP(V84,'Catalogue Aluminium'!$Q$9:$S$28,2,FALSE),VLOOKUP(V84,'Catalogue Aluminium'!$Q$9:$S$28,3))))))</f>
        <v>NA</v>
      </c>
      <c r="AN84" s="312">
        <f t="shared" si="218"/>
        <v>0.58740000000000003</v>
      </c>
      <c r="AO84" s="304">
        <f t="shared" si="219"/>
        <v>55.803000000000004</v>
      </c>
      <c r="AP84" s="367">
        <v>1</v>
      </c>
      <c r="AQ84" s="304" t="str">
        <f t="shared" si="221"/>
        <v>YES</v>
      </c>
      <c r="AR84" s="312">
        <f t="shared" si="222"/>
        <v>2.4668739644643609</v>
      </c>
      <c r="AS84" s="294" t="str">
        <f t="shared" si="223"/>
        <v>YES</v>
      </c>
      <c r="AT84" s="312" t="str">
        <f t="shared" si="224"/>
        <v>NA</v>
      </c>
      <c r="AU84" s="294" t="str">
        <f t="shared" si="225"/>
        <v>NA</v>
      </c>
      <c r="AV84" s="353" t="str">
        <f t="shared" si="226"/>
        <v>1R x 0.6/1kV x 3C x 25 Sqmm</v>
      </c>
      <c r="AW84" s="353" t="str">
        <f t="shared" si="227"/>
        <v>1R x 0.6/1kV x 3C x 25 Sqmm</v>
      </c>
      <c r="AX84" s="294">
        <f t="shared" si="228"/>
        <v>90</v>
      </c>
      <c r="AY84" s="354"/>
    </row>
    <row r="85" spans="1:51" s="576" customFormat="1" ht="32.25" customHeight="1">
      <c r="A85" s="298">
        <f t="shared" si="229"/>
        <v>54</v>
      </c>
      <c r="B85" s="298" t="s">
        <v>382</v>
      </c>
      <c r="C85" s="298" t="str">
        <f t="shared" ref="C85" si="231">$D$6</f>
        <v>PMCC-1</v>
      </c>
      <c r="D85" s="546" t="s">
        <v>1002</v>
      </c>
      <c r="E85" s="418" t="s">
        <v>410</v>
      </c>
      <c r="F85" s="298" t="s">
        <v>29</v>
      </c>
      <c r="G85" s="298" t="s">
        <v>298</v>
      </c>
      <c r="H85" s="421">
        <v>5</v>
      </c>
      <c r="I85" s="298" t="s">
        <v>299</v>
      </c>
      <c r="J85" s="298" t="s">
        <v>313</v>
      </c>
      <c r="K85" s="423">
        <v>230</v>
      </c>
      <c r="L85" s="301">
        <v>0.85</v>
      </c>
      <c r="M85" s="421">
        <v>0.95</v>
      </c>
      <c r="N85" s="299">
        <f t="shared" si="210"/>
        <v>26.921523758244717</v>
      </c>
      <c r="O85" s="299">
        <f t="shared" si="211"/>
        <v>0</v>
      </c>
      <c r="P85" s="301" t="str">
        <f t="shared" si="212"/>
        <v>0.00</v>
      </c>
      <c r="Q85" s="421">
        <v>65</v>
      </c>
      <c r="R85" s="421">
        <v>0</v>
      </c>
      <c r="S85" s="421">
        <f t="shared" si="213"/>
        <v>0</v>
      </c>
      <c r="T85" s="301" t="s">
        <v>131</v>
      </c>
      <c r="U85" s="421" t="s">
        <v>302</v>
      </c>
      <c r="V85" s="301">
        <v>25</v>
      </c>
      <c r="W85" s="301" t="str">
        <f t="shared" si="214"/>
        <v>3C X 25</v>
      </c>
      <c r="X85" s="301" t="str">
        <f t="shared" si="215"/>
        <v>3C X 25</v>
      </c>
      <c r="Y85" s="301" t="s">
        <v>314</v>
      </c>
      <c r="Z85" s="300">
        <f>IF(T85="AIR",VLOOKUP(W85,'Catalogue Aluminium'!$B$9:$G$91,2,FALSE),IF(T85="GROUND",VLOOKUP(W85,'Catalogue Aluminium'!$B$9:$G$91,3,FALSE),IF(T85="DUCT",VLOOKUP(W85,'Catalogue Aluminium'!$B$9:$G$91,4,FALSE),IF(T85="TRENCH",VLOOKUP(W85,'Catalogue Aluminium'!$B$9:$G$91,2,FALSE)))))</f>
        <v>95</v>
      </c>
      <c r="AA85" s="302">
        <f>VLOOKUP(W85,'Catalogue Aluminium'!$B$9:$G$91,5,FALSE)</f>
        <v>1.54</v>
      </c>
      <c r="AB85" s="302">
        <f>VLOOKUP(W85,'Catalogue Aluminium'!$B$9:$G$91,6,FALSE)</f>
        <v>8.1600000000000006E-2</v>
      </c>
      <c r="AC85" s="301">
        <f t="shared" si="230"/>
        <v>20</v>
      </c>
      <c r="AD85" s="301">
        <v>80</v>
      </c>
      <c r="AE85" s="301">
        <v>5</v>
      </c>
      <c r="AF85" s="301">
        <v>8</v>
      </c>
      <c r="AG85" s="301">
        <f t="shared" si="217"/>
        <v>12</v>
      </c>
      <c r="AH85" s="574">
        <v>90</v>
      </c>
      <c r="AI85" s="300">
        <f>IF(T85="AIR",'Catalogue Aluminium'!$K$9,IF(T85="TRENCH",'Catalogue Aluminium'!$K$12,"NA"))</f>
        <v>0.89</v>
      </c>
      <c r="AJ85" s="299">
        <f>IF(T85="Air",(IF(U85="1C",'Catalogue Aluminium'!$L$9,'Catalogue Aluminium'!$M$9)),IF(T85="DUCT",(IF($U85="1C",'Catalogue Aluminium'!$L$10,'Catalogue Aluminium'!$M$10)),IF(T85="GROUND",(IF($U85="1C",'Catalogue Aluminium'!$L$11,'Catalogue Aluminium'!$M$11)),IF(T85="TRENCH",(IF($U85="1C",'Catalogue Aluminium'!$L$12,'Catalogue Aluminium'!$M$12))))))</f>
        <v>0.66</v>
      </c>
      <c r="AK85" s="300" t="str">
        <f>IF(T85="Air",'Catalogue Aluminium'!$N$9,IF(T85="GROUND",'Catalogue Aluminium'!$N$10,IF(T85="DUCT",'Catalogue Aluminium'!$N$11,IF(T85="TRENCH",'Catalogue Aluminium'!$N$12,"NA"))))</f>
        <v>NA</v>
      </c>
      <c r="AL85" s="300" t="str">
        <f>IF(T85="Air",(IF(U85="1C",'Catalogue Aluminium'!$O$9,'Catalogue Aluminium'!$P$9)),IF(T85="DUCT",(IF($U85="1C",'Catalogue Aluminium'!$O$10,'Catalogue Aluminium'!$P$10)),IF(T85="GROUND",(IF($U85="1C",'Catalogue Aluminium'!$O$11,'Catalogue Aluminium'!$P$11)),IF(T85="TRENCH",(IF($U85="1C",'Catalogue Aluminium'!$O$12,'Catalogue Aluminium'!$P$12))))))</f>
        <v>NA</v>
      </c>
      <c r="AM85" s="300" t="str">
        <f>IF(T85="AIR","NA",IF(T85="TRENCH","NA",IF(T85="DUCT",IF(U85="1C",VLOOKUP(V85,'Catalogue Aluminium'!$Q$9:$S$28,2,FALSE),VLOOKUP(V85,'Catalogue Aluminium'!$Q$9:$S$28,3)),IF(T85="GROUND",IF(U85="1C",VLOOKUP(V85,'Catalogue Aluminium'!$Q$9:$S$28,2,FALSE),VLOOKUP(V85,'Catalogue Aluminium'!$Q$9:$S$28,3))))))</f>
        <v>NA</v>
      </c>
      <c r="AN85" s="422">
        <f t="shared" si="218"/>
        <v>0.58740000000000003</v>
      </c>
      <c r="AO85" s="421">
        <f t="shared" si="219"/>
        <v>55.803000000000004</v>
      </c>
      <c r="AP85" s="594">
        <v>1</v>
      </c>
      <c r="AQ85" s="421" t="str">
        <f t="shared" si="221"/>
        <v>YES</v>
      </c>
      <c r="AR85" s="422">
        <f t="shared" si="222"/>
        <v>2.4668739644643609</v>
      </c>
      <c r="AS85" s="301" t="str">
        <f t="shared" si="223"/>
        <v>YES</v>
      </c>
      <c r="AT85" s="422" t="str">
        <f>IF(G85="MOTOR",(SQRT(3)*AH85*O85*((AA85*P85)+(AB85*SIN(ACOS(P85))))*100/(AP85*K85*1000)),"NA")</f>
        <v>NA</v>
      </c>
      <c r="AU85" s="301" t="str">
        <f t="shared" si="225"/>
        <v>NA</v>
      </c>
      <c r="AV85" s="424" t="str">
        <f t="shared" si="226"/>
        <v>1R x 0.6/1kV x 3C x 25 Sqmm</v>
      </c>
      <c r="AW85" s="424" t="str">
        <f t="shared" si="227"/>
        <v>1R x 0.6/1kV x 3C x 25 Sqmm</v>
      </c>
      <c r="AX85" s="301">
        <f>(IF(K85=400,(IF(U85="1C",(4*AH85*AP85),(AH85*AP85))),IF(K85=230,(AH85*AP85))))</f>
        <v>90</v>
      </c>
      <c r="AY85" s="575"/>
    </row>
    <row r="86" spans="1:51" ht="26.25" customHeight="1">
      <c r="A86" s="285">
        <f>1+A85</f>
        <v>55</v>
      </c>
      <c r="B86" s="285" t="s">
        <v>382</v>
      </c>
      <c r="C86" s="285" t="s">
        <v>344</v>
      </c>
      <c r="D86" s="244" t="s">
        <v>424</v>
      </c>
      <c r="E86" s="352" t="s">
        <v>410</v>
      </c>
      <c r="F86" s="369" t="s">
        <v>28</v>
      </c>
      <c r="G86" s="285" t="s">
        <v>298</v>
      </c>
      <c r="H86" s="304">
        <v>1</v>
      </c>
      <c r="I86" s="285" t="s">
        <v>299</v>
      </c>
      <c r="J86" s="285" t="s">
        <v>313</v>
      </c>
      <c r="K86" s="309">
        <v>230</v>
      </c>
      <c r="L86" s="294">
        <v>0.85</v>
      </c>
      <c r="M86" s="304">
        <v>0.95</v>
      </c>
      <c r="N86" s="287">
        <f t="shared" si="210"/>
        <v>5.3843047516489433</v>
      </c>
      <c r="O86" s="287">
        <f t="shared" si="211"/>
        <v>0</v>
      </c>
      <c r="P86" s="294" t="str">
        <f t="shared" si="212"/>
        <v>0.00</v>
      </c>
      <c r="Q86" s="304">
        <v>65</v>
      </c>
      <c r="R86" s="304">
        <v>0</v>
      </c>
      <c r="S86" s="304">
        <f t="shared" si="213"/>
        <v>0</v>
      </c>
      <c r="T86" s="294" t="s">
        <v>131</v>
      </c>
      <c r="U86" s="304" t="s">
        <v>302</v>
      </c>
      <c r="V86" s="294">
        <v>6</v>
      </c>
      <c r="W86" s="294" t="str">
        <f t="shared" si="214"/>
        <v>3C X 6</v>
      </c>
      <c r="X86" s="294" t="str">
        <f t="shared" si="215"/>
        <v>3C X 6</v>
      </c>
      <c r="Y86" s="294" t="s">
        <v>314</v>
      </c>
      <c r="Z86" s="288">
        <f>IF(T86="AIR",VLOOKUP(W86,'Catalogue Aluminium'!$B$9:$G$91,2,FALSE),IF(T86="GROUND",VLOOKUP(W86,'Catalogue Aluminium'!$B$9:$G$91,3,FALSE),IF(T86="DUCT",VLOOKUP(W86,'Catalogue Aluminium'!$B$9:$G$91,4,FALSE),IF(T86="TRENCH",VLOOKUP(W86,'Catalogue Aluminium'!$B$9:$G$91,2,FALSE)))))</f>
        <v>51</v>
      </c>
      <c r="AA86" s="295">
        <f>VLOOKUP(W86,'Catalogue Aluminium'!$B$9:$G$91,5,FALSE)</f>
        <v>3.94</v>
      </c>
      <c r="AB86" s="295">
        <f>VLOOKUP(W86,'Catalogue Aluminium'!$B$9:$G$91,6,FALSE)</f>
        <v>9.0200000000000002E-2</v>
      </c>
      <c r="AC86" s="294">
        <f>26+3</f>
        <v>29</v>
      </c>
      <c r="AD86" s="294">
        <v>80</v>
      </c>
      <c r="AE86" s="294">
        <v>5</v>
      </c>
      <c r="AF86" s="294">
        <v>8</v>
      </c>
      <c r="AG86" s="294">
        <f t="shared" si="217"/>
        <v>13</v>
      </c>
      <c r="AH86" s="311">
        <f t="shared" ref="AH86:AH92" si="232">SUM(AC86:AG86)</f>
        <v>135</v>
      </c>
      <c r="AI86" s="288">
        <f>IF(T86="AIR",'Catalogue Aluminium'!$K$9,IF(T86="TRENCH",'Catalogue Aluminium'!$K$12,"NA"))</f>
        <v>0.89</v>
      </c>
      <c r="AJ86" s="287">
        <f>IF(T86="Air",(IF(U86="1C",'Catalogue Aluminium'!$L$9,'Catalogue Aluminium'!$M$9)),IF(T86="DUCT",(IF($U86="1C",'Catalogue Aluminium'!$L$10,'Catalogue Aluminium'!$M$10)),IF(T86="GROUND",(IF($U86="1C",'Catalogue Aluminium'!$L$11,'Catalogue Aluminium'!$M$11)),IF(T86="TRENCH",(IF($U86="1C",'Catalogue Aluminium'!$L$12,'Catalogue Aluminium'!$M$12))))))</f>
        <v>0.66</v>
      </c>
      <c r="AK86" s="288" t="str">
        <f>IF(T86="Air",'Catalogue Aluminium'!$N$9,IF(T86="GROUND",'Catalogue Aluminium'!$N$10,IF(T86="DUCT",'Catalogue Aluminium'!$N$11,IF(T86="TRENCH",'Catalogue Aluminium'!$N$12,"NA"))))</f>
        <v>NA</v>
      </c>
      <c r="AL86" s="288" t="str">
        <f>IF(T86="Air",(IF(U86="1C",'Catalogue Aluminium'!$O$9,'Catalogue Aluminium'!$P$9)),IF(T86="DUCT",(IF($U86="1C",'Catalogue Aluminium'!$O$10,'Catalogue Aluminium'!$P$10)),IF(T86="GROUND",(IF($U86="1C",'Catalogue Aluminium'!$O$11,'Catalogue Aluminium'!$P$11)),IF(T86="TRENCH",(IF($U86="1C",'Catalogue Aluminium'!$O$12,'Catalogue Aluminium'!$P$12))))))</f>
        <v>NA</v>
      </c>
      <c r="AM86" s="288" t="str">
        <f>IF(T86="AIR","NA",IF(T86="TRENCH","NA",IF(T86="DUCT",IF(U86="1C",VLOOKUP(V86,'Catalogue Aluminium'!$Q$9:$S$28,2,FALSE),VLOOKUP(V86,'Catalogue Aluminium'!$Q$9:$S$28,3)),IF(T86="GROUND",IF(U86="1C",VLOOKUP(V86,'Catalogue Aluminium'!$Q$9:$S$28,2,FALSE),VLOOKUP(V86,'Catalogue Aluminium'!$Q$9:$S$28,3))))))</f>
        <v>NA</v>
      </c>
      <c r="AN86" s="312">
        <f t="shared" si="218"/>
        <v>0.58740000000000003</v>
      </c>
      <c r="AO86" s="304">
        <f t="shared" si="219"/>
        <v>29.957400000000003</v>
      </c>
      <c r="AP86" s="309">
        <f t="shared" si="220"/>
        <v>1</v>
      </c>
      <c r="AQ86" s="304" t="str">
        <f t="shared" si="221"/>
        <v>YES</v>
      </c>
      <c r="AR86" s="312">
        <f t="shared" si="222"/>
        <v>1.8592159299659248</v>
      </c>
      <c r="AS86" s="294" t="str">
        <f t="shared" si="223"/>
        <v>YES</v>
      </c>
      <c r="AT86" s="312" t="str">
        <f t="shared" si="224"/>
        <v>NA</v>
      </c>
      <c r="AU86" s="294" t="str">
        <f t="shared" si="225"/>
        <v>NA</v>
      </c>
      <c r="AV86" s="353" t="str">
        <f t="shared" si="226"/>
        <v>1R x 0.6/1kV x 3C x 6 Sqmm</v>
      </c>
      <c r="AW86" s="353" t="str">
        <f t="shared" si="227"/>
        <v>1R x 0.6/1kV x 3C x 6 Sqmm</v>
      </c>
      <c r="AX86" s="294">
        <f t="shared" si="228"/>
        <v>135</v>
      </c>
      <c r="AY86" s="354"/>
    </row>
    <row r="87" spans="1:51" ht="20.149999999999999" customHeight="1">
      <c r="A87" s="285">
        <f t="shared" si="229"/>
        <v>56</v>
      </c>
      <c r="B87" s="298" t="s">
        <v>1005</v>
      </c>
      <c r="C87" s="285" t="s">
        <v>344</v>
      </c>
      <c r="D87" s="244" t="s">
        <v>404</v>
      </c>
      <c r="E87" s="352" t="s">
        <v>310</v>
      </c>
      <c r="F87" s="285" t="s">
        <v>29</v>
      </c>
      <c r="G87" s="285" t="s">
        <v>298</v>
      </c>
      <c r="H87" s="304">
        <v>13</v>
      </c>
      <c r="I87" s="285" t="s">
        <v>299</v>
      </c>
      <c r="J87" s="285" t="s">
        <v>300</v>
      </c>
      <c r="K87" s="309">
        <v>400</v>
      </c>
      <c r="L87" s="294">
        <v>0.85</v>
      </c>
      <c r="M87" s="304">
        <v>0.95</v>
      </c>
      <c r="N87" s="287">
        <f t="shared" si="210"/>
        <v>23.237689387168508</v>
      </c>
      <c r="O87" s="287">
        <f t="shared" si="211"/>
        <v>0</v>
      </c>
      <c r="P87" s="294" t="str">
        <f t="shared" si="212"/>
        <v>0.00</v>
      </c>
      <c r="Q87" s="304">
        <v>65</v>
      </c>
      <c r="R87" s="304">
        <v>0</v>
      </c>
      <c r="S87" s="304">
        <f t="shared" si="213"/>
        <v>0</v>
      </c>
      <c r="T87" s="294" t="s">
        <v>131</v>
      </c>
      <c r="U87" s="304" t="s">
        <v>390</v>
      </c>
      <c r="V87" s="294">
        <v>70</v>
      </c>
      <c r="W87" s="294" t="str">
        <f t="shared" si="214"/>
        <v>3.5C X 70</v>
      </c>
      <c r="X87" s="294" t="str">
        <f t="shared" si="215"/>
        <v>3.5C X 70</v>
      </c>
      <c r="Y87" s="294" t="s">
        <v>314</v>
      </c>
      <c r="Z87" s="288">
        <f>IF(T87="AIR",VLOOKUP(W87,'Catalogue Aluminium'!$B$9:$G$91,2,FALSE),IF(T87="GROUND",VLOOKUP(W87,'Catalogue Aluminium'!$B$9:$G$91,3,FALSE),IF(T87="DUCT",VLOOKUP(W87,'Catalogue Aluminium'!$B$9:$G$91,4,FALSE),IF(T87="TRENCH",VLOOKUP(W87,'Catalogue Aluminium'!$B$9:$G$91,2,FALSE)))))</f>
        <v>177</v>
      </c>
      <c r="AA87" s="295">
        <f>VLOOKUP(W87,'Catalogue Aluminium'!$B$9:$G$91,5,FALSE)</f>
        <v>0.56699999999999995</v>
      </c>
      <c r="AB87" s="295">
        <f>VLOOKUP(W87,'Catalogue Aluminium'!$B$9:$G$91,6,FALSE)</f>
        <v>7.5200000000000003E-2</v>
      </c>
      <c r="AC87" s="294">
        <f t="shared" si="230"/>
        <v>20</v>
      </c>
      <c r="AD87" s="294">
        <f>40+50+38+50+17+(27+42+30+10)</f>
        <v>304</v>
      </c>
      <c r="AE87" s="294">
        <f t="shared" si="216"/>
        <v>38</v>
      </c>
      <c r="AF87" s="294">
        <v>8</v>
      </c>
      <c r="AG87" s="294">
        <f t="shared" si="217"/>
        <v>37</v>
      </c>
      <c r="AH87" s="311">
        <f t="shared" si="232"/>
        <v>407</v>
      </c>
      <c r="AI87" s="288">
        <f>IF(T87="AIR",'Catalogue Aluminium'!$K$9,IF(T87="TRENCH",'Catalogue Aluminium'!$K$12,"NA"))</f>
        <v>0.89</v>
      </c>
      <c r="AJ87" s="287">
        <f>IF(T87="Air",(IF(U87="1C",'Catalogue Aluminium'!$L$9,'Catalogue Aluminium'!$M$9)),IF(T87="DUCT",(IF($U87="1C",'Catalogue Aluminium'!$L$10,'Catalogue Aluminium'!$M$10)),IF(T87="GROUND",(IF($U87="1C",'Catalogue Aluminium'!$L$11,'Catalogue Aluminium'!$M$11)),IF(T87="TRENCH",(IF($U87="1C",'Catalogue Aluminium'!$L$12,'Catalogue Aluminium'!$M$12))))))</f>
        <v>0.66</v>
      </c>
      <c r="AK87" s="288" t="str">
        <f>IF(T87="Air",'Catalogue Aluminium'!$N$9,IF(T87="GROUND",'Catalogue Aluminium'!$N$10,IF(T87="DUCT",'Catalogue Aluminium'!$N$11,IF(T87="TRENCH",'Catalogue Aluminium'!$N$12,"NA"))))</f>
        <v>NA</v>
      </c>
      <c r="AL87" s="288" t="str">
        <f>IF(T87="Air",(IF(U87="1C",'Catalogue Aluminium'!$O$9,'Catalogue Aluminium'!$P$9)),IF(T87="DUCT",(IF($U87="1C",'Catalogue Aluminium'!$O$10,'Catalogue Aluminium'!$P$10)),IF(T87="GROUND",(IF($U87="1C",'Catalogue Aluminium'!$O$11,'Catalogue Aluminium'!$P$11)),IF(T87="TRENCH",(IF($U87="1C",'Catalogue Aluminium'!$O$12,'Catalogue Aluminium'!$P$12))))))</f>
        <v>NA</v>
      </c>
      <c r="AM87" s="288" t="str">
        <f>IF(T87="AIR","NA",IF(T87="TRENCH","NA",IF(T87="DUCT",IF(U87="1C",VLOOKUP(V87,'Catalogue Aluminium'!$Q$9:$S$28,2,FALSE),VLOOKUP(V87,'Catalogue Aluminium'!$Q$9:$S$28,3)),IF(T87="GROUND",IF(U87="1C",VLOOKUP(V87,'Catalogue Aluminium'!$Q$9:$S$28,2,FALSE),VLOOKUP(V87,'Catalogue Aluminium'!$Q$9:$S$28,3))))))</f>
        <v>NA</v>
      </c>
      <c r="AN87" s="312">
        <f t="shared" si="218"/>
        <v>0.58740000000000003</v>
      </c>
      <c r="AO87" s="304">
        <f t="shared" si="219"/>
        <v>103.96980000000001</v>
      </c>
      <c r="AP87" s="309">
        <f t="shared" si="220"/>
        <v>1</v>
      </c>
      <c r="AQ87" s="304" t="str">
        <f t="shared" si="221"/>
        <v>YES</v>
      </c>
      <c r="AR87" s="312">
        <f t="shared" si="222"/>
        <v>2.1359724327851399</v>
      </c>
      <c r="AS87" s="294" t="str">
        <f t="shared" si="223"/>
        <v>YES</v>
      </c>
      <c r="AT87" s="312" t="str">
        <f t="shared" si="224"/>
        <v>NA</v>
      </c>
      <c r="AU87" s="294" t="str">
        <f t="shared" si="225"/>
        <v>NA</v>
      </c>
      <c r="AV87" s="353" t="str">
        <f t="shared" si="226"/>
        <v>1R x 0.6/1kV x 3.5C x 70 Sqmm</v>
      </c>
      <c r="AW87" s="353" t="str">
        <f t="shared" si="227"/>
        <v>1R x 0.6/1kV x 3.5C x 70 Sqmm</v>
      </c>
      <c r="AX87" s="294">
        <f t="shared" si="228"/>
        <v>407</v>
      </c>
      <c r="AY87" s="354"/>
    </row>
    <row r="88" spans="1:51" ht="20.149999999999999" customHeight="1">
      <c r="A88" s="285">
        <f t="shared" si="229"/>
        <v>57</v>
      </c>
      <c r="B88" s="298" t="s">
        <v>1006</v>
      </c>
      <c r="C88" s="285" t="s">
        <v>344</v>
      </c>
      <c r="D88" s="244" t="s">
        <v>425</v>
      </c>
      <c r="E88" s="352" t="s">
        <v>310</v>
      </c>
      <c r="F88" s="285" t="s">
        <v>28</v>
      </c>
      <c r="G88" s="285" t="s">
        <v>298</v>
      </c>
      <c r="H88" s="304">
        <v>0.8</v>
      </c>
      <c r="I88" s="285" t="s">
        <v>299</v>
      </c>
      <c r="J88" s="285" t="s">
        <v>313</v>
      </c>
      <c r="K88" s="309">
        <v>230</v>
      </c>
      <c r="L88" s="294">
        <v>0.85</v>
      </c>
      <c r="M88" s="304">
        <v>0.95</v>
      </c>
      <c r="N88" s="287">
        <f t="shared" si="210"/>
        <v>4.3074438013191552</v>
      </c>
      <c r="O88" s="287">
        <f t="shared" si="211"/>
        <v>0</v>
      </c>
      <c r="P88" s="294" t="str">
        <f t="shared" si="212"/>
        <v>0.00</v>
      </c>
      <c r="Q88" s="304">
        <v>65</v>
      </c>
      <c r="R88" s="304">
        <v>0</v>
      </c>
      <c r="S88" s="304">
        <f t="shared" si="213"/>
        <v>0</v>
      </c>
      <c r="T88" s="294" t="s">
        <v>131</v>
      </c>
      <c r="U88" s="304" t="s">
        <v>302</v>
      </c>
      <c r="V88" s="294">
        <v>25</v>
      </c>
      <c r="W88" s="294" t="str">
        <f t="shared" si="214"/>
        <v>3C X 25</v>
      </c>
      <c r="X88" s="294" t="str">
        <f t="shared" si="215"/>
        <v>3C X 25</v>
      </c>
      <c r="Y88" s="294" t="s">
        <v>314</v>
      </c>
      <c r="Z88" s="288">
        <f>IF(T88="AIR",VLOOKUP(W88,'Catalogue Aluminium'!$B$9:$G$91,2,FALSE),IF(T88="GROUND",VLOOKUP(W88,'Catalogue Aluminium'!$B$9:$G$91,3,FALSE),IF(T88="DUCT",VLOOKUP(W88,'Catalogue Aluminium'!$B$9:$G$91,4,FALSE),IF(T88="TRENCH",VLOOKUP(W88,'Catalogue Aluminium'!$B$9:$G$91,2,FALSE)))))</f>
        <v>95</v>
      </c>
      <c r="AA88" s="295">
        <f>VLOOKUP(W88,'Catalogue Aluminium'!$B$9:$G$91,5,FALSE)</f>
        <v>1.54</v>
      </c>
      <c r="AB88" s="295">
        <f>VLOOKUP(W88,'Catalogue Aluminium'!$B$9:$G$91,6,FALSE)</f>
        <v>8.1600000000000006E-2</v>
      </c>
      <c r="AC88" s="294">
        <f>26+3</f>
        <v>29</v>
      </c>
      <c r="AD88" s="294">
        <f t="shared" ref="AD88" si="233">40+50+38+50+17+(27+42+30+20)</f>
        <v>314</v>
      </c>
      <c r="AE88" s="294">
        <f t="shared" si="216"/>
        <v>38</v>
      </c>
      <c r="AF88" s="294">
        <v>8</v>
      </c>
      <c r="AG88" s="294">
        <f t="shared" si="217"/>
        <v>39</v>
      </c>
      <c r="AH88" s="311">
        <f t="shared" si="232"/>
        <v>428</v>
      </c>
      <c r="AI88" s="288">
        <f>IF(T88="AIR",'Catalogue Aluminium'!$K$9,IF(T88="TRENCH",'Catalogue Aluminium'!$K$12,"NA"))</f>
        <v>0.89</v>
      </c>
      <c r="AJ88" s="287">
        <f>IF(T88="Air",(IF(U88="1C",'Catalogue Aluminium'!$L$9,'Catalogue Aluminium'!$M$9)),IF(T88="DUCT",(IF($U88="1C",'Catalogue Aluminium'!$L$10,'Catalogue Aluminium'!$M$10)),IF(T88="GROUND",(IF($U88="1C",'Catalogue Aluminium'!$L$11,'Catalogue Aluminium'!$M$11)),IF(T88="TRENCH",(IF($U88="1C",'Catalogue Aluminium'!$L$12,'Catalogue Aluminium'!$M$12))))))</f>
        <v>0.66</v>
      </c>
      <c r="AK88" s="288" t="str">
        <f>IF(T88="Air",'Catalogue Aluminium'!$N$9,IF(T88="GROUND",'Catalogue Aluminium'!$N$10,IF(T88="DUCT",'Catalogue Aluminium'!$N$11,IF(T88="TRENCH",'Catalogue Aluminium'!$N$12,"NA"))))</f>
        <v>NA</v>
      </c>
      <c r="AL88" s="288" t="str">
        <f>IF(T88="Air",(IF(U88="1C",'Catalogue Aluminium'!$O$9,'Catalogue Aluminium'!$P$9)),IF(T88="DUCT",(IF($U88="1C",'Catalogue Aluminium'!$O$10,'Catalogue Aluminium'!$P$10)),IF(T88="GROUND",(IF($U88="1C",'Catalogue Aluminium'!$O$11,'Catalogue Aluminium'!$P$11)),IF(T88="TRENCH",(IF($U88="1C",'Catalogue Aluminium'!$O$12,'Catalogue Aluminium'!$P$12))))))</f>
        <v>NA</v>
      </c>
      <c r="AM88" s="288" t="str">
        <f>IF(T88="AIR","NA",IF(T88="TRENCH","NA",IF(T88="DUCT",IF(U88="1C",VLOOKUP(V88,'Catalogue Aluminium'!$Q$9:$S$28,2,FALSE),VLOOKUP(V88,'Catalogue Aluminium'!$Q$9:$S$28,3)),IF(T88="GROUND",IF(U88="1C",VLOOKUP(V88,'Catalogue Aluminium'!$Q$9:$S$28,2,FALSE),VLOOKUP(V88,'Catalogue Aluminium'!$Q$9:$S$28,3))))))</f>
        <v>NA</v>
      </c>
      <c r="AN88" s="312">
        <f t="shared" si="218"/>
        <v>0.58740000000000003</v>
      </c>
      <c r="AO88" s="304">
        <f t="shared" si="219"/>
        <v>55.803000000000004</v>
      </c>
      <c r="AP88" s="309">
        <f t="shared" si="220"/>
        <v>1</v>
      </c>
      <c r="AQ88" s="304" t="str">
        <f t="shared" si="221"/>
        <v>YES</v>
      </c>
      <c r="AR88" s="312">
        <f t="shared" si="222"/>
        <v>1.8770169898502158</v>
      </c>
      <c r="AS88" s="294" t="str">
        <f t="shared" si="223"/>
        <v>YES</v>
      </c>
      <c r="AT88" s="312" t="str">
        <f t="shared" si="224"/>
        <v>NA</v>
      </c>
      <c r="AU88" s="294" t="str">
        <f t="shared" si="225"/>
        <v>NA</v>
      </c>
      <c r="AV88" s="353" t="str">
        <f t="shared" si="226"/>
        <v>1R x 0.6/1kV x 3C x 25 Sqmm</v>
      </c>
      <c r="AW88" s="353" t="str">
        <f t="shared" si="227"/>
        <v>1R x 0.6/1kV x 3C x 25 Sqmm</v>
      </c>
      <c r="AX88" s="294">
        <f t="shared" si="228"/>
        <v>428</v>
      </c>
      <c r="AY88" s="354"/>
    </row>
    <row r="89" spans="1:51" ht="20.149999999999999" customHeight="1">
      <c r="A89" s="285">
        <f t="shared" si="229"/>
        <v>58</v>
      </c>
      <c r="B89" s="298" t="s">
        <v>1007</v>
      </c>
      <c r="C89" s="285" t="s">
        <v>344</v>
      </c>
      <c r="D89" s="244" t="s">
        <v>411</v>
      </c>
      <c r="E89" s="352" t="s">
        <v>310</v>
      </c>
      <c r="F89" s="285" t="s">
        <v>29</v>
      </c>
      <c r="G89" s="285" t="s">
        <v>311</v>
      </c>
      <c r="H89" s="304">
        <v>1.1000000000000001</v>
      </c>
      <c r="I89" s="285" t="s">
        <v>299</v>
      </c>
      <c r="J89" s="285" t="s">
        <v>300</v>
      </c>
      <c r="K89" s="309">
        <v>400</v>
      </c>
      <c r="L89" s="294">
        <v>0.85</v>
      </c>
      <c r="M89" s="304">
        <v>0.95</v>
      </c>
      <c r="N89" s="287">
        <f t="shared" si="210"/>
        <v>1.9662660250681046</v>
      </c>
      <c r="O89" s="287">
        <f t="shared" si="211"/>
        <v>11.797596150408626</v>
      </c>
      <c r="P89" s="294">
        <f t="shared" si="212"/>
        <v>0.2</v>
      </c>
      <c r="Q89" s="304">
        <v>65</v>
      </c>
      <c r="R89" s="304">
        <v>0</v>
      </c>
      <c r="S89" s="304">
        <f t="shared" si="213"/>
        <v>0</v>
      </c>
      <c r="T89" s="294" t="s">
        <v>131</v>
      </c>
      <c r="U89" s="304" t="s">
        <v>302</v>
      </c>
      <c r="V89" s="294">
        <v>4</v>
      </c>
      <c r="W89" s="294" t="str">
        <f t="shared" si="214"/>
        <v>3C X 4</v>
      </c>
      <c r="X89" s="294" t="str">
        <f t="shared" si="215"/>
        <v>3C X 4+PE</v>
      </c>
      <c r="Y89" s="294" t="s">
        <v>314</v>
      </c>
      <c r="Z89" s="288">
        <f>IF(T89="AIR",VLOOKUP(W89,'Catalogue Aluminium'!$B$9:$G$91,2,FALSE),IF(T89="GROUND",VLOOKUP(W89,'Catalogue Aluminium'!$B$9:$G$91,3,FALSE),IF(T89="DUCT",VLOOKUP(W89,'Catalogue Aluminium'!$B$9:$G$91,4,FALSE),IF(T89="TRENCH",VLOOKUP(W89,'Catalogue Aluminium'!$B$9:$G$91,2,FALSE)))))</f>
        <v>38</v>
      </c>
      <c r="AA89" s="295">
        <f>VLOOKUP(W89,'Catalogue Aluminium'!$B$9:$G$91,5,FALSE)</f>
        <v>5.9</v>
      </c>
      <c r="AB89" s="295">
        <f>VLOOKUP(W89,'Catalogue Aluminium'!$B$9:$G$91,6,FALSE)</f>
        <v>9.4700000000000006E-2</v>
      </c>
      <c r="AC89" s="294">
        <f t="shared" si="230"/>
        <v>20</v>
      </c>
      <c r="AD89" s="294">
        <f>40+50+38+50+17+(27+42+30+15)</f>
        <v>309</v>
      </c>
      <c r="AE89" s="294">
        <f t="shared" si="216"/>
        <v>38</v>
      </c>
      <c r="AF89" s="294">
        <v>8</v>
      </c>
      <c r="AG89" s="294">
        <f t="shared" si="217"/>
        <v>38</v>
      </c>
      <c r="AH89" s="311">
        <f t="shared" si="232"/>
        <v>413</v>
      </c>
      <c r="AI89" s="288">
        <f>IF(T89="AIR",'Catalogue Aluminium'!$K$9,IF(T89="TRENCH",'Catalogue Aluminium'!$K$12,"NA"))</f>
        <v>0.89</v>
      </c>
      <c r="AJ89" s="287">
        <f>IF(T89="Air",(IF(U89="1C",'Catalogue Aluminium'!$L$9,'Catalogue Aluminium'!$M$9)),IF(T89="DUCT",(IF($U89="1C",'Catalogue Aluminium'!$L$10,'Catalogue Aluminium'!$M$10)),IF(T89="GROUND",(IF($U89="1C",'Catalogue Aluminium'!$L$11,'Catalogue Aluminium'!$M$11)),IF(T89="TRENCH",(IF($U89="1C",'Catalogue Aluminium'!$L$12,'Catalogue Aluminium'!$M$12))))))</f>
        <v>0.66</v>
      </c>
      <c r="AK89" s="288" t="str">
        <f>IF(T89="Air",'Catalogue Aluminium'!$N$9,IF(T89="GROUND",'Catalogue Aluminium'!$N$10,IF(T89="DUCT",'Catalogue Aluminium'!$N$11,IF(T89="TRENCH",'Catalogue Aluminium'!$N$12,"NA"))))</f>
        <v>NA</v>
      </c>
      <c r="AL89" s="288" t="str">
        <f>IF(T89="Air",(IF(U89="1C",'Catalogue Aluminium'!$O$9,'Catalogue Aluminium'!$P$9)),IF(T89="DUCT",(IF($U89="1C",'Catalogue Aluminium'!$O$10,'Catalogue Aluminium'!$P$10)),IF(T89="GROUND",(IF($U89="1C",'Catalogue Aluminium'!$O$11,'Catalogue Aluminium'!$P$11)),IF(T89="TRENCH",(IF($U89="1C",'Catalogue Aluminium'!$O$12,'Catalogue Aluminium'!$P$12))))))</f>
        <v>NA</v>
      </c>
      <c r="AM89" s="288" t="str">
        <f>IF(T89="AIR","NA",IF(T89="TRENCH","NA",IF(T89="DUCT",IF(U89="1C",VLOOKUP(V89,'Catalogue Aluminium'!$Q$9:$S$28,2,FALSE),VLOOKUP(V89,'Catalogue Aluminium'!$Q$9:$S$28,3)),IF(T89="GROUND",IF(U89="1C",VLOOKUP(V89,'Catalogue Aluminium'!$Q$9:$S$28,2,FALSE),VLOOKUP(V89,'Catalogue Aluminium'!$Q$9:$S$28,3))))))</f>
        <v>NA</v>
      </c>
      <c r="AN89" s="312">
        <f t="shared" si="218"/>
        <v>0.58740000000000003</v>
      </c>
      <c r="AO89" s="304">
        <f t="shared" si="219"/>
        <v>22.321200000000001</v>
      </c>
      <c r="AP89" s="309">
        <f t="shared" si="220"/>
        <v>1</v>
      </c>
      <c r="AQ89" s="304" t="str">
        <f t="shared" si="221"/>
        <v>YES</v>
      </c>
      <c r="AR89" s="312">
        <f t="shared" si="222"/>
        <v>1.7809948558301025</v>
      </c>
      <c r="AS89" s="294" t="str">
        <f t="shared" si="223"/>
        <v>YES</v>
      </c>
      <c r="AT89" s="312">
        <f t="shared" si="224"/>
        <v>2.685343406721219</v>
      </c>
      <c r="AU89" s="294" t="str">
        <f t="shared" si="225"/>
        <v>YES</v>
      </c>
      <c r="AV89" s="353" t="str">
        <f t="shared" si="226"/>
        <v>1R x 0.6/1kV x 3C x 4 Sqmm</v>
      </c>
      <c r="AW89" s="353" t="str">
        <f t="shared" si="227"/>
        <v>1R x 0.6/1kV x 3C x 4+PE Sqmm</v>
      </c>
      <c r="AX89" s="294">
        <f t="shared" si="228"/>
        <v>413</v>
      </c>
      <c r="AY89" s="354"/>
    </row>
    <row r="90" spans="1:51" ht="20.149999999999999" customHeight="1">
      <c r="A90" s="285">
        <f t="shared" si="229"/>
        <v>59</v>
      </c>
      <c r="B90" s="298" t="s">
        <v>1008</v>
      </c>
      <c r="C90" s="285" t="s">
        <v>344</v>
      </c>
      <c r="D90" s="244" t="s">
        <v>412</v>
      </c>
      <c r="E90" s="352" t="s">
        <v>318</v>
      </c>
      <c r="F90" s="285" t="s">
        <v>28</v>
      </c>
      <c r="G90" s="285" t="s">
        <v>298</v>
      </c>
      <c r="H90" s="304">
        <v>6</v>
      </c>
      <c r="I90" s="285" t="s">
        <v>299</v>
      </c>
      <c r="J90" s="285" t="s">
        <v>300</v>
      </c>
      <c r="K90" s="309">
        <v>400</v>
      </c>
      <c r="L90" s="294">
        <v>0.85</v>
      </c>
      <c r="M90" s="304">
        <v>0.95</v>
      </c>
      <c r="N90" s="287">
        <f t="shared" si="210"/>
        <v>10.725087409462388</v>
      </c>
      <c r="O90" s="287">
        <f t="shared" si="211"/>
        <v>0</v>
      </c>
      <c r="P90" s="294" t="str">
        <f t="shared" si="212"/>
        <v>0.00</v>
      </c>
      <c r="Q90" s="304">
        <v>65</v>
      </c>
      <c r="R90" s="304">
        <v>0</v>
      </c>
      <c r="S90" s="304">
        <f t="shared" si="213"/>
        <v>0</v>
      </c>
      <c r="T90" s="294" t="s">
        <v>131</v>
      </c>
      <c r="U90" s="304" t="s">
        <v>390</v>
      </c>
      <c r="V90" s="294">
        <v>25</v>
      </c>
      <c r="W90" s="294" t="str">
        <f t="shared" si="214"/>
        <v>3.5C X 25</v>
      </c>
      <c r="X90" s="294" t="str">
        <f t="shared" si="215"/>
        <v>3.5C X 25</v>
      </c>
      <c r="Y90" s="294" t="s">
        <v>314</v>
      </c>
      <c r="Z90" s="288">
        <f>IF(T90="AIR",VLOOKUP(W90,'Catalogue Aluminium'!$B$9:$G$91,2,FALSE),IF(T90="GROUND",VLOOKUP(W90,'Catalogue Aluminium'!$B$9:$G$91,3,FALSE),IF(T90="DUCT",VLOOKUP(W90,'Catalogue Aluminium'!$B$9:$G$91,4,FALSE),IF(T90="TRENCH",VLOOKUP(W90,'Catalogue Aluminium'!$B$9:$G$91,2,FALSE)))))</f>
        <v>95</v>
      </c>
      <c r="AA90" s="295">
        <f>VLOOKUP(W90,'Catalogue Aluminium'!$B$9:$G$91,5,FALSE)</f>
        <v>1.54</v>
      </c>
      <c r="AB90" s="295">
        <f>VLOOKUP(W90,'Catalogue Aluminium'!$B$9:$G$91,6,FALSE)</f>
        <v>8.1600000000000006E-2</v>
      </c>
      <c r="AC90" s="294">
        <f>26+3</f>
        <v>29</v>
      </c>
      <c r="AD90" s="294">
        <f>40+50+22+30</f>
        <v>142</v>
      </c>
      <c r="AE90" s="294">
        <f t="shared" si="216"/>
        <v>38</v>
      </c>
      <c r="AF90" s="294">
        <v>8</v>
      </c>
      <c r="AG90" s="294">
        <f t="shared" si="217"/>
        <v>22</v>
      </c>
      <c r="AH90" s="311">
        <f t="shared" si="232"/>
        <v>239</v>
      </c>
      <c r="AI90" s="288">
        <f>IF(T90="AIR",'Catalogue Aluminium'!$K$9,IF(T90="TRENCH",'Catalogue Aluminium'!$K$12,"NA"))</f>
        <v>0.89</v>
      </c>
      <c r="AJ90" s="287">
        <f>IF(T90="Air",(IF(U90="1C",'Catalogue Aluminium'!$L$9,'Catalogue Aluminium'!$M$9)),IF(T90="DUCT",(IF($U90="1C",'Catalogue Aluminium'!$L$10,'Catalogue Aluminium'!$M$10)),IF(T90="GROUND",(IF($U90="1C",'Catalogue Aluminium'!$L$11,'Catalogue Aluminium'!$M$11)),IF(T90="TRENCH",(IF($U90="1C",'Catalogue Aluminium'!$L$12,'Catalogue Aluminium'!$M$12))))))</f>
        <v>0.66</v>
      </c>
      <c r="AK90" s="288" t="str">
        <f>IF(T90="Air",'Catalogue Aluminium'!$N$9,IF(T90="GROUND",'Catalogue Aluminium'!$N$10,IF(T90="DUCT",'Catalogue Aluminium'!$N$11,IF(T90="TRENCH",'Catalogue Aluminium'!$N$12,"NA"))))</f>
        <v>NA</v>
      </c>
      <c r="AL90" s="288" t="str">
        <f>IF(T90="Air",(IF(U90="1C",'Catalogue Aluminium'!$O$9,'Catalogue Aluminium'!$P$9)),IF(T90="DUCT",(IF($U90="1C",'Catalogue Aluminium'!$O$10,'Catalogue Aluminium'!$P$10)),IF(T90="GROUND",(IF($U90="1C",'Catalogue Aluminium'!$O$11,'Catalogue Aluminium'!$P$11)),IF(T90="TRENCH",(IF($U90="1C",'Catalogue Aluminium'!$O$12,'Catalogue Aluminium'!$P$12))))))</f>
        <v>NA</v>
      </c>
      <c r="AM90" s="288" t="str">
        <f>IF(T90="AIR","NA",IF(T90="TRENCH","NA",IF(T90="DUCT",IF(U90="1C",VLOOKUP(V90,'Catalogue Aluminium'!$Q$9:$S$28,2,FALSE),VLOOKUP(V90,'Catalogue Aluminium'!$Q$9:$S$28,3)),IF(T90="GROUND",IF(U90="1C",VLOOKUP(V90,'Catalogue Aluminium'!$Q$9:$S$28,2,FALSE),VLOOKUP(V90,'Catalogue Aluminium'!$Q$9:$S$28,3))))))</f>
        <v>NA</v>
      </c>
      <c r="AN90" s="312">
        <f t="shared" si="218"/>
        <v>0.58740000000000003</v>
      </c>
      <c r="AO90" s="304">
        <f t="shared" si="219"/>
        <v>55.803000000000004</v>
      </c>
      <c r="AP90" s="309">
        <f t="shared" si="220"/>
        <v>1</v>
      </c>
      <c r="AQ90" s="304" t="str">
        <f t="shared" si="221"/>
        <v>YES</v>
      </c>
      <c r="AR90" s="312">
        <f t="shared" si="222"/>
        <v>1.5006223162105157</v>
      </c>
      <c r="AS90" s="294" t="str">
        <f t="shared" si="223"/>
        <v>YES</v>
      </c>
      <c r="AT90" s="312" t="str">
        <f t="shared" si="224"/>
        <v>NA</v>
      </c>
      <c r="AU90" s="294" t="str">
        <f t="shared" si="225"/>
        <v>NA</v>
      </c>
      <c r="AV90" s="353" t="str">
        <f t="shared" si="226"/>
        <v>1R x 0.6/1kV x 3.5C x 25 Sqmm</v>
      </c>
      <c r="AW90" s="353" t="str">
        <f t="shared" si="227"/>
        <v>1R x 0.6/1kV x 3.5C x 25 Sqmm</v>
      </c>
      <c r="AX90" s="294">
        <f t="shared" si="228"/>
        <v>239</v>
      </c>
      <c r="AY90" s="354"/>
    </row>
    <row r="91" spans="1:51" ht="20.149999999999999" customHeight="1">
      <c r="A91" s="285">
        <f t="shared" si="229"/>
        <v>60</v>
      </c>
      <c r="B91" s="298" t="s">
        <v>1009</v>
      </c>
      <c r="C91" s="285" t="s">
        <v>344</v>
      </c>
      <c r="D91" s="244" t="s">
        <v>414</v>
      </c>
      <c r="E91" s="352" t="s">
        <v>318</v>
      </c>
      <c r="F91" s="285" t="s">
        <v>29</v>
      </c>
      <c r="G91" s="285" t="s">
        <v>298</v>
      </c>
      <c r="H91" s="304">
        <v>3</v>
      </c>
      <c r="I91" s="285" t="s">
        <v>299</v>
      </c>
      <c r="J91" s="285" t="s">
        <v>300</v>
      </c>
      <c r="K91" s="309">
        <v>400</v>
      </c>
      <c r="L91" s="294">
        <v>0.85</v>
      </c>
      <c r="M91" s="304">
        <v>0.95</v>
      </c>
      <c r="N91" s="287">
        <f t="shared" si="210"/>
        <v>5.3625437047311939</v>
      </c>
      <c r="O91" s="287">
        <f t="shared" si="211"/>
        <v>0</v>
      </c>
      <c r="P91" s="294" t="str">
        <f t="shared" si="212"/>
        <v>0.00</v>
      </c>
      <c r="Q91" s="304">
        <v>65</v>
      </c>
      <c r="R91" s="304">
        <v>0</v>
      </c>
      <c r="S91" s="304">
        <f t="shared" si="213"/>
        <v>0</v>
      </c>
      <c r="T91" s="294" t="s">
        <v>131</v>
      </c>
      <c r="U91" s="304" t="s">
        <v>377</v>
      </c>
      <c r="V91" s="294">
        <v>6</v>
      </c>
      <c r="W91" s="294" t="str">
        <f t="shared" si="214"/>
        <v>4C X 6</v>
      </c>
      <c r="X91" s="294" t="str">
        <f t="shared" si="215"/>
        <v>4C X 6</v>
      </c>
      <c r="Y91" s="294" t="s">
        <v>314</v>
      </c>
      <c r="Z91" s="288">
        <f>IF(T91="AIR",VLOOKUP(W91,'Catalogue Aluminium'!$B$9:$G$91,2,FALSE),IF(T91="GROUND",VLOOKUP(W91,'Catalogue Aluminium'!$B$9:$G$91,3,FALSE),IF(T91="DUCT",VLOOKUP(W91,'Catalogue Aluminium'!$B$9:$G$91,4,FALSE),IF(T91="TRENCH",VLOOKUP(W91,'Catalogue Aluminium'!$B$9:$G$91,2,FALSE)))))</f>
        <v>51</v>
      </c>
      <c r="AA91" s="295">
        <f>VLOOKUP(W91,'Catalogue Aluminium'!$B$9:$G$91,5,FALSE)</f>
        <v>3.94</v>
      </c>
      <c r="AB91" s="295">
        <f>VLOOKUP(W91,'Catalogue Aluminium'!$B$9:$G$91,6,FALSE)</f>
        <v>9.0200000000000002E-2</v>
      </c>
      <c r="AC91" s="294">
        <f t="shared" si="230"/>
        <v>20</v>
      </c>
      <c r="AD91" s="294">
        <f t="shared" ref="AD91:AD93" si="234">40+50+22+30</f>
        <v>142</v>
      </c>
      <c r="AE91" s="294">
        <f t="shared" si="216"/>
        <v>38</v>
      </c>
      <c r="AF91" s="294">
        <v>8</v>
      </c>
      <c r="AG91" s="294">
        <f t="shared" si="217"/>
        <v>21</v>
      </c>
      <c r="AH91" s="311">
        <f t="shared" si="232"/>
        <v>229</v>
      </c>
      <c r="AI91" s="288">
        <f>IF(T91="AIR",'Catalogue Aluminium'!$K$9,IF(T91="TRENCH",'Catalogue Aluminium'!$K$12,"NA"))</f>
        <v>0.89</v>
      </c>
      <c r="AJ91" s="287">
        <f>IF(T91="Air",(IF(U91="1C",'Catalogue Aluminium'!$L$9,'Catalogue Aluminium'!$M$9)),IF(T91="DUCT",(IF($U91="1C",'Catalogue Aluminium'!$L$10,'Catalogue Aluminium'!$M$10)),IF(T91="GROUND",(IF($U91="1C",'Catalogue Aluminium'!$L$11,'Catalogue Aluminium'!$M$11)),IF(T91="TRENCH",(IF($U91="1C",'Catalogue Aluminium'!$L$12,'Catalogue Aluminium'!$M$12))))))</f>
        <v>0.66</v>
      </c>
      <c r="AK91" s="288" t="str">
        <f>IF(T91="Air",'Catalogue Aluminium'!$N$9,IF(T91="GROUND",'Catalogue Aluminium'!$N$10,IF(T91="DUCT",'Catalogue Aluminium'!$N$11,IF(T91="TRENCH",'Catalogue Aluminium'!$N$12,"NA"))))</f>
        <v>NA</v>
      </c>
      <c r="AL91" s="288" t="str">
        <f>IF(T91="Air",(IF(U91="1C",'Catalogue Aluminium'!$O$9,'Catalogue Aluminium'!$P$9)),IF(T91="DUCT",(IF($U91="1C",'Catalogue Aluminium'!$O$10,'Catalogue Aluminium'!$P$10)),IF(T91="GROUND",(IF($U91="1C",'Catalogue Aluminium'!$O$11,'Catalogue Aluminium'!$P$11)),IF(T91="TRENCH",(IF($U91="1C",'Catalogue Aluminium'!$O$12,'Catalogue Aluminium'!$P$12))))))</f>
        <v>NA</v>
      </c>
      <c r="AM91" s="288" t="str">
        <f>IF(T91="AIR","NA",IF(T91="TRENCH","NA",IF(T91="DUCT",IF(U91="1C",VLOOKUP(V91,'Catalogue Aluminium'!$Q$9:$S$28,2,FALSE),VLOOKUP(V91,'Catalogue Aluminium'!$Q$9:$S$28,3)),IF(T91="GROUND",IF(U91="1C",VLOOKUP(V91,'Catalogue Aluminium'!$Q$9:$S$28,2,FALSE),VLOOKUP(V91,'Catalogue Aluminium'!$Q$9:$S$28,3))))))</f>
        <v>NA</v>
      </c>
      <c r="AN91" s="312">
        <f t="shared" si="218"/>
        <v>0.58740000000000003</v>
      </c>
      <c r="AO91" s="304">
        <f t="shared" si="219"/>
        <v>29.957400000000003</v>
      </c>
      <c r="AP91" s="309">
        <f t="shared" si="220"/>
        <v>1</v>
      </c>
      <c r="AQ91" s="304" t="str">
        <f t="shared" si="221"/>
        <v>YES</v>
      </c>
      <c r="AR91" s="312">
        <f t="shared" si="222"/>
        <v>1.8060950488516976</v>
      </c>
      <c r="AS91" s="294" t="str">
        <f t="shared" si="223"/>
        <v>YES</v>
      </c>
      <c r="AT91" s="312" t="str">
        <f t="shared" si="224"/>
        <v>NA</v>
      </c>
      <c r="AU91" s="294" t="str">
        <f t="shared" si="225"/>
        <v>NA</v>
      </c>
      <c r="AV91" s="353" t="str">
        <f t="shared" si="226"/>
        <v>1R x 0.6/1kV x 4C x 6 Sqmm</v>
      </c>
      <c r="AW91" s="353" t="str">
        <f t="shared" si="227"/>
        <v>1R x 0.6/1kV x 4C x 6 Sqmm</v>
      </c>
      <c r="AX91" s="294">
        <f t="shared" si="228"/>
        <v>229</v>
      </c>
      <c r="AY91" s="354"/>
    </row>
    <row r="92" spans="1:51" ht="20.149999999999999" customHeight="1">
      <c r="A92" s="285">
        <f t="shared" si="229"/>
        <v>61</v>
      </c>
      <c r="B92" s="285" t="s">
        <v>382</v>
      </c>
      <c r="C92" s="285" t="s">
        <v>344</v>
      </c>
      <c r="D92" s="244" t="s">
        <v>415</v>
      </c>
      <c r="E92" s="352" t="s">
        <v>318</v>
      </c>
      <c r="F92" s="285" t="s">
        <v>28</v>
      </c>
      <c r="G92" s="285" t="s">
        <v>298</v>
      </c>
      <c r="H92" s="304">
        <v>16</v>
      </c>
      <c r="I92" s="285" t="s">
        <v>299</v>
      </c>
      <c r="J92" s="285" t="s">
        <v>300</v>
      </c>
      <c r="K92" s="309">
        <v>400</v>
      </c>
      <c r="L92" s="294">
        <v>0.85</v>
      </c>
      <c r="M92" s="304">
        <v>0.95</v>
      </c>
      <c r="N92" s="287">
        <f t="shared" si="210"/>
        <v>28.600233091899703</v>
      </c>
      <c r="O92" s="287">
        <f t="shared" si="211"/>
        <v>0</v>
      </c>
      <c r="P92" s="294" t="str">
        <f t="shared" si="212"/>
        <v>0.00</v>
      </c>
      <c r="Q92" s="304">
        <v>65</v>
      </c>
      <c r="R92" s="304">
        <v>0</v>
      </c>
      <c r="S92" s="304">
        <f t="shared" si="213"/>
        <v>0</v>
      </c>
      <c r="T92" s="294" t="s">
        <v>131</v>
      </c>
      <c r="U92" s="304" t="s">
        <v>390</v>
      </c>
      <c r="V92" s="294">
        <v>50</v>
      </c>
      <c r="W92" s="294" t="str">
        <f t="shared" si="214"/>
        <v>3.5C X 50</v>
      </c>
      <c r="X92" s="294" t="str">
        <f t="shared" si="215"/>
        <v>3.5C X 50</v>
      </c>
      <c r="Y92" s="294" t="s">
        <v>314</v>
      </c>
      <c r="Z92" s="288">
        <f>IF(T92="AIR",VLOOKUP(W92,'Catalogue Aluminium'!$B$9:$G$91,2,FALSE),IF(T92="GROUND",VLOOKUP(W92,'Catalogue Aluminium'!$B$9:$G$91,3,FALSE),IF(T92="DUCT",VLOOKUP(W92,'Catalogue Aluminium'!$B$9:$G$91,4,FALSE),IF(T92="TRENCH",VLOOKUP(W92,'Catalogue Aluminium'!$B$9:$G$91,2,FALSE)))))</f>
        <v>141</v>
      </c>
      <c r="AA92" s="295">
        <f>VLOOKUP(W92,'Catalogue Aluminium'!$B$9:$G$91,5,FALSE)</f>
        <v>0.82</v>
      </c>
      <c r="AB92" s="295">
        <f>VLOOKUP(W92,'Catalogue Aluminium'!$B$9:$G$91,6,FALSE)</f>
        <v>7.9200000000000007E-2</v>
      </c>
      <c r="AC92" s="294">
        <f>26+3</f>
        <v>29</v>
      </c>
      <c r="AD92" s="294">
        <f t="shared" si="234"/>
        <v>142</v>
      </c>
      <c r="AE92" s="294">
        <f t="shared" si="216"/>
        <v>38</v>
      </c>
      <c r="AF92" s="294">
        <v>8</v>
      </c>
      <c r="AG92" s="294">
        <f t="shared" si="217"/>
        <v>22</v>
      </c>
      <c r="AH92" s="311">
        <f t="shared" si="232"/>
        <v>239</v>
      </c>
      <c r="AI92" s="288">
        <f>IF(T92="AIR",'Catalogue Aluminium'!$K$9,IF(T92="TRENCH",'Catalogue Aluminium'!$K$12,"NA"))</f>
        <v>0.89</v>
      </c>
      <c r="AJ92" s="287">
        <f>IF(T92="Air",(IF(U92="1C",'Catalogue Aluminium'!$L$9,'Catalogue Aluminium'!$M$9)),IF(T92="DUCT",(IF($U92="1C",'Catalogue Aluminium'!$L$10,'Catalogue Aluminium'!$M$10)),IF(T92="GROUND",(IF($U92="1C",'Catalogue Aluminium'!$L$11,'Catalogue Aluminium'!$M$11)),IF(T92="TRENCH",(IF($U92="1C",'Catalogue Aluminium'!$L$12,'Catalogue Aluminium'!$M$12))))))</f>
        <v>0.66</v>
      </c>
      <c r="AK92" s="288" t="str">
        <f>IF(T92="Air",'Catalogue Aluminium'!$N$9,IF(T92="GROUND",'Catalogue Aluminium'!$N$10,IF(T92="DUCT",'Catalogue Aluminium'!$N$11,IF(T92="TRENCH",'Catalogue Aluminium'!$N$12,"NA"))))</f>
        <v>NA</v>
      </c>
      <c r="AL92" s="288" t="str">
        <f>IF(T92="Air",(IF(U92="1C",'Catalogue Aluminium'!$O$9,'Catalogue Aluminium'!$P$9)),IF(T92="DUCT",(IF($U92="1C",'Catalogue Aluminium'!$O$10,'Catalogue Aluminium'!$P$10)),IF(T92="GROUND",(IF($U92="1C",'Catalogue Aluminium'!$O$11,'Catalogue Aluminium'!$P$11)),IF(T92="TRENCH",(IF($U92="1C",'Catalogue Aluminium'!$O$12,'Catalogue Aluminium'!$P$12))))))</f>
        <v>NA</v>
      </c>
      <c r="AM92" s="288" t="str">
        <f>IF(T92="AIR","NA",IF(T92="TRENCH","NA",IF(T92="DUCT",IF(U92="1C",VLOOKUP(V92,'Catalogue Aluminium'!$Q$9:$S$28,2,FALSE),VLOOKUP(V92,'Catalogue Aluminium'!$Q$9:$S$28,3)),IF(T92="GROUND",IF(U92="1C",VLOOKUP(V92,'Catalogue Aluminium'!$Q$9:$S$28,2,FALSE),VLOOKUP(V92,'Catalogue Aluminium'!$Q$9:$S$28,3))))))</f>
        <v>NA</v>
      </c>
      <c r="AN92" s="312">
        <f t="shared" si="218"/>
        <v>0.58740000000000003</v>
      </c>
      <c r="AO92" s="304">
        <f t="shared" si="219"/>
        <v>82.823400000000007</v>
      </c>
      <c r="AP92" s="309">
        <f t="shared" si="220"/>
        <v>1</v>
      </c>
      <c r="AQ92" s="304" t="str">
        <f t="shared" si="221"/>
        <v>YES</v>
      </c>
      <c r="AR92" s="312">
        <f t="shared" si="222"/>
        <v>2.1864958921826458</v>
      </c>
      <c r="AS92" s="294" t="str">
        <f t="shared" si="223"/>
        <v>YES</v>
      </c>
      <c r="AT92" s="312" t="str">
        <f t="shared" si="224"/>
        <v>NA</v>
      </c>
      <c r="AU92" s="294" t="str">
        <f t="shared" si="225"/>
        <v>NA</v>
      </c>
      <c r="AV92" s="353" t="str">
        <f t="shared" si="226"/>
        <v>1R x 0.6/1kV x 3.5C x 50 Sqmm</v>
      </c>
      <c r="AW92" s="353" t="str">
        <f t="shared" si="227"/>
        <v>1R x 0.6/1kV x 3.5C x 50 Sqmm</v>
      </c>
      <c r="AX92" s="294">
        <f t="shared" si="228"/>
        <v>239</v>
      </c>
      <c r="AY92" s="354"/>
    </row>
    <row r="93" spans="1:51" s="576" customFormat="1" ht="20.149999999999999" customHeight="1">
      <c r="A93" s="298">
        <f t="shared" si="229"/>
        <v>62</v>
      </c>
      <c r="B93" s="298" t="s">
        <v>999</v>
      </c>
      <c r="C93" s="298" t="s">
        <v>344</v>
      </c>
      <c r="D93" s="546" t="s">
        <v>1000</v>
      </c>
      <c r="E93" s="418" t="s">
        <v>318</v>
      </c>
      <c r="F93" s="298" t="s">
        <v>28</v>
      </c>
      <c r="G93" s="298" t="s">
        <v>311</v>
      </c>
      <c r="H93" s="421">
        <v>5.25</v>
      </c>
      <c r="I93" s="298" t="s">
        <v>299</v>
      </c>
      <c r="J93" s="298" t="s">
        <v>300</v>
      </c>
      <c r="K93" s="423">
        <v>400</v>
      </c>
      <c r="L93" s="301">
        <v>0.85</v>
      </c>
      <c r="M93" s="421">
        <v>0.95</v>
      </c>
      <c r="N93" s="299">
        <f t="shared" ref="N93" si="235">IF(I93="kVA",IF(J93="3Ph",(H93*1000/(1.732*M93*K93)),(H93*1000/(M93*K93))),IF(I93="kW",IF(J93="3Ph",(H93*1000/(1.732*M93*K93*L93)),(H93*1000/(M93*K93*L93)))))</f>
        <v>9.3844514832795909</v>
      </c>
      <c r="O93" s="299">
        <f t="shared" ref="O93" si="236">IF(G93="MOTOR",(6*N93),IF(G93="VFD",(1*N93),0))</f>
        <v>56.306708899677545</v>
      </c>
      <c r="P93" s="301">
        <f t="shared" ref="P93" si="237">IF(G93="MOTOR",0.2,"0.00")</f>
        <v>0.2</v>
      </c>
      <c r="Q93" s="421">
        <v>65</v>
      </c>
      <c r="R93" s="421">
        <v>0</v>
      </c>
      <c r="S93" s="421">
        <f t="shared" ref="S93" si="238">(Q93*1000*SQRT(R93)/143)</f>
        <v>0</v>
      </c>
      <c r="T93" s="301" t="s">
        <v>131</v>
      </c>
      <c r="U93" s="421" t="s">
        <v>302</v>
      </c>
      <c r="V93" s="301">
        <v>16</v>
      </c>
      <c r="W93" s="301" t="str">
        <f t="shared" ref="W93" si="239">CONCATENATE(U93," X ",V93)</f>
        <v>3C X 16</v>
      </c>
      <c r="X93" s="301" t="str">
        <f t="shared" ref="X93" si="240">(IF(J93="1Ph",W93,IF(J93="3Ph",(IF(G93="MOTOR",(CONCATENATE(W93,"+PE")),W93)))))</f>
        <v>3C X 16+PE</v>
      </c>
      <c r="Y93" s="301" t="s">
        <v>314</v>
      </c>
      <c r="Z93" s="300">
        <f>IF(T93="AIR",VLOOKUP(W93,'Catalogue Aluminium'!$B$9:$G$91,2,FALSE),IF(T93="GROUND",VLOOKUP(W93,'Catalogue Aluminium'!$B$9:$G$91,3,FALSE),IF(T93="DUCT",VLOOKUP(W93,'Catalogue Aluminium'!$B$9:$G$91,4,FALSE),IF(T93="TRENCH",VLOOKUP(W93,'Catalogue Aluminium'!$B$9:$G$91,2,FALSE)))))</f>
        <v>70</v>
      </c>
      <c r="AA93" s="302">
        <f>VLOOKUP(W93,'Catalogue Aluminium'!$B$9:$G$91,5,FALSE)</f>
        <v>2.44</v>
      </c>
      <c r="AB93" s="302">
        <f>VLOOKUP(W93,'Catalogue Aluminium'!$B$9:$G$91,6,FALSE)</f>
        <v>8.1500000000000003E-2</v>
      </c>
      <c r="AC93" s="301">
        <f>26+3</f>
        <v>29</v>
      </c>
      <c r="AD93" s="301">
        <f t="shared" si="234"/>
        <v>142</v>
      </c>
      <c r="AE93" s="301">
        <f t="shared" si="216"/>
        <v>38</v>
      </c>
      <c r="AF93" s="301">
        <v>8</v>
      </c>
      <c r="AG93" s="301">
        <f t="shared" ref="AG93" si="241">ROUNDUP((SUM(AC93:AF93)*0.1),0)</f>
        <v>22</v>
      </c>
      <c r="AH93" s="574">
        <f t="shared" ref="AH93" si="242">SUM(AC93:AG93)</f>
        <v>239</v>
      </c>
      <c r="AI93" s="300">
        <f>IF(T93="AIR",'Catalogue Aluminium'!$K$9,IF(T93="TRENCH",'Catalogue Aluminium'!$K$12,"NA"))</f>
        <v>0.89</v>
      </c>
      <c r="AJ93" s="299">
        <f>IF(T93="Air",(IF(U93="1C",'Catalogue Aluminium'!$L$9,'Catalogue Aluminium'!$M$9)),IF(T93="DUCT",(IF($U93="1C",'Catalogue Aluminium'!$L$10,'Catalogue Aluminium'!$M$10)),IF(T93="GROUND",(IF($U93="1C",'Catalogue Aluminium'!$L$11,'Catalogue Aluminium'!$M$11)),IF(T93="TRENCH",(IF($U93="1C",'Catalogue Aluminium'!$L$12,'Catalogue Aluminium'!$M$12))))))</f>
        <v>0.66</v>
      </c>
      <c r="AK93" s="300" t="str">
        <f>IF(T93="Air",'Catalogue Aluminium'!$N$9,IF(T93="GROUND",'Catalogue Aluminium'!$N$10,IF(T93="DUCT",'Catalogue Aluminium'!$N$11,IF(T93="TRENCH",'Catalogue Aluminium'!$N$12,"NA"))))</f>
        <v>NA</v>
      </c>
      <c r="AL93" s="300" t="str">
        <f>IF(T93="Air",(IF(U93="1C",'Catalogue Aluminium'!$O$9,'Catalogue Aluminium'!$P$9)),IF(T93="DUCT",(IF($U93="1C",'Catalogue Aluminium'!$O$10,'Catalogue Aluminium'!$P$10)),IF(T93="GROUND",(IF($U93="1C",'Catalogue Aluminium'!$O$11,'Catalogue Aluminium'!$P$11)),IF(T93="TRENCH",(IF($U93="1C",'Catalogue Aluminium'!$O$12,'Catalogue Aluminium'!$P$12))))))</f>
        <v>NA</v>
      </c>
      <c r="AM93" s="300" t="str">
        <f>IF(T93="AIR","NA",IF(T93="TRENCH","NA",IF(T93="DUCT",IF(U93="1C",VLOOKUP(V93,'Catalogue Aluminium'!$Q$9:$S$28,2,FALSE),VLOOKUP(V93,'Catalogue Aluminium'!$Q$9:$S$28,3)),IF(T93="GROUND",IF(U93="1C",VLOOKUP(V93,'Catalogue Aluminium'!$Q$9:$S$28,2,FALSE),VLOOKUP(V93,'Catalogue Aluminium'!$Q$9:$S$28,3))))))</f>
        <v>NA</v>
      </c>
      <c r="AN93" s="422">
        <f t="shared" ref="AN93" si="243">IF(T93="AIR",AI93*AJ93,IF(T93="TRENCH",AI93*AJ93,IF(T93="DUCT",AJ93*AK93*AL93*AM93,IF(T93="GROUND",AJ93*AK93*AL93*AM93))))</f>
        <v>0.58740000000000003</v>
      </c>
      <c r="AO93" s="421">
        <f t="shared" ref="AO93" si="244">Z93*AN93</f>
        <v>41.118000000000002</v>
      </c>
      <c r="AP93" s="423">
        <f t="shared" ref="AP93" si="245">CEILING(((N93)/AO93),1)</f>
        <v>1</v>
      </c>
      <c r="AQ93" s="421" t="str">
        <f t="shared" ref="AQ93" si="246">IF(AO93*AP93&gt;=N93,"YES","NO")</f>
        <v>YES</v>
      </c>
      <c r="AR93" s="422">
        <f t="shared" ref="AR93" si="247">SQRT(3)*AH93*N93*((AA93*L93)+(AB93*SIN(ACOS(L93))))*100/(AP93*K93*1000)</f>
        <v>2.0559592386286725</v>
      </c>
      <c r="AS93" s="301" t="str">
        <f t="shared" ref="AS93" si="248">IF(G93="INCOMER",(IF(AR93&lt;=2,"YES","NO")),IF(G93="POWER",(IF(AR93&lt;=2.5,"YES","NO")),IF(G93="MOTOR",(IF(AR93&lt;=3,"YES","NO")))))</f>
        <v>YES</v>
      </c>
      <c r="AT93" s="422">
        <f t="shared" ref="AT93" si="249">IF(G93="MOTOR",(SQRT(3)*AH93*O93*((AA93*P93)+(AB93*SIN(ACOS(P93))))*100/(AP93*K93*1000)),"NA")</f>
        <v>3.3089856586798256</v>
      </c>
      <c r="AU93" s="301" t="str">
        <f t="shared" ref="AU93" si="250">IF(G93="MOTOR",IF(AT93&lt;=15,"YES","NO"),"NA")</f>
        <v>YES</v>
      </c>
      <c r="AV93" s="424" t="str">
        <f t="shared" ref="AV93" si="251">IF(U93="1C",CONCATENATE(AP93,"R x ",Y93,"kV x ",U93," x ",V93," Sqmm/Phase"),CONCATENATE(AP93,"R x ",0.6,"/1kV x ",U93," x ",V93," Sqmm"))</f>
        <v>1R x 0.6/1kV x 3C x 16 Sqmm</v>
      </c>
      <c r="AW93" s="424" t="str">
        <f t="shared" ref="AW93" si="252">IF(U93="1C",CONCATENATE(AP93,"R x ",Y93,"kV x ",U93," x ",V93," Sqmm/Phase"),CONCATENATE(AP93,"R x ",0.6,"/1kV x ",U93," x ",V93,(IF(G93="MOTOR","+PE",""))," Sqmm"))</f>
        <v>1R x 0.6/1kV x 3C x 16+PE Sqmm</v>
      </c>
      <c r="AX93" s="301">
        <f t="shared" ref="AX93" si="253">(IF(K93=400,(IF(U93="1C",(4*AH93*AP93),(AH93*AP93))),IF(K93=230,(AH93*AP93))))</f>
        <v>239</v>
      </c>
      <c r="AY93" s="575"/>
    </row>
    <row r="94" spans="1:51" s="70" customFormat="1" ht="29.25" customHeight="1">
      <c r="A94" s="273"/>
      <c r="B94" s="273"/>
      <c r="C94" s="273"/>
      <c r="D94" s="370" t="s">
        <v>426</v>
      </c>
      <c r="E94" s="358"/>
      <c r="F94" s="359"/>
      <c r="G94" s="273"/>
      <c r="H94" s="281"/>
      <c r="I94" s="273"/>
      <c r="J94" s="273"/>
      <c r="K94" s="280"/>
      <c r="L94" s="275"/>
      <c r="M94" s="281"/>
      <c r="N94" s="274"/>
      <c r="O94" s="274"/>
      <c r="P94" s="275"/>
      <c r="Q94" s="281"/>
      <c r="R94" s="281"/>
      <c r="S94" s="281"/>
      <c r="T94" s="275"/>
      <c r="U94" s="281"/>
      <c r="V94" s="275"/>
      <c r="W94" s="275"/>
      <c r="X94" s="275"/>
      <c r="Y94" s="275"/>
      <c r="Z94" s="276"/>
      <c r="AA94" s="277"/>
      <c r="AB94" s="277"/>
      <c r="AC94" s="277"/>
      <c r="AD94" s="277"/>
      <c r="AE94" s="277"/>
      <c r="AF94" s="277"/>
      <c r="AG94" s="277"/>
      <c r="AH94" s="279"/>
      <c r="AI94" s="276"/>
      <c r="AJ94" s="274"/>
      <c r="AK94" s="276"/>
      <c r="AL94" s="276"/>
      <c r="AM94" s="276"/>
      <c r="AN94" s="282"/>
      <c r="AO94" s="281"/>
      <c r="AP94" s="280"/>
      <c r="AQ94" s="281"/>
      <c r="AR94" s="282"/>
      <c r="AS94" s="275"/>
      <c r="AT94" s="282"/>
      <c r="AU94" s="282"/>
      <c r="AV94" s="283"/>
      <c r="AW94" s="283"/>
      <c r="AX94" s="275"/>
      <c r="AY94" s="284"/>
    </row>
    <row r="95" spans="1:51" ht="20.149999999999999" customHeight="1">
      <c r="A95" s="243">
        <f>1+A92</f>
        <v>62</v>
      </c>
      <c r="B95" s="243" t="s">
        <v>382</v>
      </c>
      <c r="C95" s="243" t="str">
        <f t="shared" ref="C95:C106" si="254">$D$6</f>
        <v>PMCC-1</v>
      </c>
      <c r="D95" s="244" t="s">
        <v>427</v>
      </c>
      <c r="E95" s="351" t="s">
        <v>310</v>
      </c>
      <c r="F95" s="243" t="s">
        <v>28</v>
      </c>
      <c r="G95" s="243" t="s">
        <v>298</v>
      </c>
      <c r="H95" s="256">
        <v>1</v>
      </c>
      <c r="I95" s="243" t="s">
        <v>299</v>
      </c>
      <c r="J95" s="243" t="s">
        <v>313</v>
      </c>
      <c r="K95" s="255">
        <v>230</v>
      </c>
      <c r="L95" s="249">
        <v>0.85</v>
      </c>
      <c r="M95" s="256">
        <v>0.95</v>
      </c>
      <c r="N95" s="248">
        <f t="shared" ref="N95:N106" si="255">IF(I95="kVA",IF(J95="3Ph",(H95*1000/(1.732*M95*K95)),(H95*1000/(M95*K95))),IF(I95="kW",IF(J95="3Ph",(H95*1000/(1.732*M95*K95*L95)),(H95*1000/(M95*K95*L95)))))</f>
        <v>5.3843047516489433</v>
      </c>
      <c r="O95" s="248">
        <f t="shared" si="211"/>
        <v>0</v>
      </c>
      <c r="P95" s="249" t="str">
        <f t="shared" ref="P95:P106" si="256">IF(G95="MOTOR",0.2,"0.00")</f>
        <v>0.00</v>
      </c>
      <c r="Q95" s="256">
        <v>65</v>
      </c>
      <c r="R95" s="256">
        <v>0</v>
      </c>
      <c r="S95" s="256">
        <f t="shared" ref="S95:S106" si="257">(Q95*1000*SQRT(R95)/143)</f>
        <v>0</v>
      </c>
      <c r="T95" s="249" t="s">
        <v>131</v>
      </c>
      <c r="U95" s="256" t="s">
        <v>302</v>
      </c>
      <c r="V95" s="249">
        <v>25</v>
      </c>
      <c r="W95" s="249" t="str">
        <f t="shared" ref="W95:W106" si="258">CONCATENATE(U95," X ",V95)</f>
        <v>3C X 25</v>
      </c>
      <c r="X95" s="249" t="str">
        <f t="shared" ref="X95:X106" si="259">(IF(J95="1Ph",W95,IF(J95="3Ph",(IF(G95="MOTOR",(CONCATENATE(W95,"+PE")),W95)))))</f>
        <v>3C X 25</v>
      </c>
      <c r="Y95" s="249" t="s">
        <v>314</v>
      </c>
      <c r="Z95" s="250">
        <f>IF(T95="AIR",VLOOKUP(W95,'Catalogue Aluminium'!$B$9:$G$91,2,FALSE),IF(T95="GROUND",VLOOKUP(W95,'Catalogue Aluminium'!$B$9:$G$91,3,FALSE),IF(T95="DUCT",VLOOKUP(W95,'Catalogue Aluminium'!$B$9:$G$91,4,FALSE),IF(T95="TRENCH",VLOOKUP(W95,'Catalogue Aluminium'!$B$9:$G$91,2,FALSE)))))</f>
        <v>95</v>
      </c>
      <c r="AA95" s="251">
        <f>VLOOKUP(W95,'Catalogue Aluminium'!$B$9:$G$91,5,FALSE)</f>
        <v>1.54</v>
      </c>
      <c r="AB95" s="251">
        <f>VLOOKUP(W95,'Catalogue Aluminium'!$B$9:$G$91,6,FALSE)</f>
        <v>8.1600000000000006E-2</v>
      </c>
      <c r="AC95" s="294">
        <f>26+3</f>
        <v>29</v>
      </c>
      <c r="AD95" s="294">
        <f>40+50+38+50+17+(27+42+19)</f>
        <v>283</v>
      </c>
      <c r="AE95" s="294">
        <f t="shared" ref="AE95:AE100" si="260">11+8+8+11</f>
        <v>38</v>
      </c>
      <c r="AF95" s="294">
        <v>8</v>
      </c>
      <c r="AG95" s="294">
        <f t="shared" ref="AG95:AG106" si="261">ROUNDUP((SUM(AC95:AF95)*0.1),0)</f>
        <v>36</v>
      </c>
      <c r="AH95" s="253">
        <f t="shared" ref="AH95:AH106" si="262">SUM(AC95:AG95)</f>
        <v>394</v>
      </c>
      <c r="AI95" s="250">
        <f>IF(T95="AIR",'Catalogue Aluminium'!$K$9,IF(T95="TRENCH",'Catalogue Aluminium'!$K$12,"NA"))</f>
        <v>0.89</v>
      </c>
      <c r="AJ95" s="248">
        <f>IF(T95="Air",(IF(U95="1C",'Catalogue Aluminium'!$L$9,'Catalogue Aluminium'!$M$9)),IF(T95="DUCT",(IF($U95="1C",'Catalogue Aluminium'!$L$10,'Catalogue Aluminium'!$M$10)),IF(T95="GROUND",(IF($U95="1C",'Catalogue Aluminium'!$L$11,'Catalogue Aluminium'!$M$11)),IF(T95="TRENCH",(IF($U95="1C",'Catalogue Aluminium'!$L$12,'Catalogue Aluminium'!$M$12))))))</f>
        <v>0.66</v>
      </c>
      <c r="AK95" s="250" t="str">
        <f>IF(T95="Air",'Catalogue Aluminium'!$N$9,IF(T95="GROUND",'Catalogue Aluminium'!$N$10,IF(T95="DUCT",'Catalogue Aluminium'!$N$11,IF(T95="TRENCH",'Catalogue Aluminium'!$N$12,"NA"))))</f>
        <v>NA</v>
      </c>
      <c r="AL95" s="250" t="str">
        <f>IF(T95="Air",(IF(U95="1C",'Catalogue Aluminium'!$O$9,'Catalogue Aluminium'!$P$9)),IF(T95="DUCT",(IF($U95="1C",'Catalogue Aluminium'!$O$10,'Catalogue Aluminium'!$P$10)),IF(T95="GROUND",(IF($U95="1C",'Catalogue Aluminium'!$O$11,'Catalogue Aluminium'!$P$11)),IF(T95="TRENCH",(IF($U95="1C",'Catalogue Aluminium'!$O$12,'Catalogue Aluminium'!$P$12))))))</f>
        <v>NA</v>
      </c>
      <c r="AM95" s="250" t="str">
        <f>IF(T95="AIR","NA",IF(T95="TRENCH","NA",IF(T95="DUCT",IF(U95="1C",VLOOKUP(V95,'Catalogue Aluminium'!$Q$9:$S$28,2,FALSE),VLOOKUP(V95,'Catalogue Aluminium'!$Q$9:$S$28,3)),IF(T95="GROUND",IF(U95="1C",VLOOKUP(V95,'Catalogue Aluminium'!$Q$9:$S$28,2,FALSE),VLOOKUP(V95,'Catalogue Aluminium'!$Q$9:$S$28,3))))))</f>
        <v>NA</v>
      </c>
      <c r="AN95" s="257">
        <f t="shared" ref="AN95:AN106" si="263">IF(T95="AIR",AI95*AJ95,IF(T95="TRENCH",AI95*AJ95,IF(T95="DUCT",AJ95*AK95*AL95*AM95,IF(T95="GROUND",AJ95*AK95*AL95*AM95))))</f>
        <v>0.58740000000000003</v>
      </c>
      <c r="AO95" s="256">
        <f t="shared" ref="AO95:AO106" si="264">Z95*AN95</f>
        <v>55.803000000000004</v>
      </c>
      <c r="AP95" s="255">
        <f t="shared" si="220"/>
        <v>1</v>
      </c>
      <c r="AQ95" s="256" t="str">
        <f t="shared" ref="AQ95:AQ106" si="265">IF(AO95*AP95&gt;=N95,"YES","NO")</f>
        <v>YES</v>
      </c>
      <c r="AR95" s="257">
        <f t="shared" ref="AR95:AR106" si="266">SQRT(3)*AH95*N95*((AA95*L95)+(AB95*SIN(ACOS(L95))))*100/(AP95*K95*1000)</f>
        <v>2.1598852044421291</v>
      </c>
      <c r="AS95" s="249" t="str">
        <f t="shared" ref="AS95:AS106" si="267">IF(G95="INCOMER",(IF(AR95&lt;=2,"YES","NO")),IF(G95="POWER",(IF(AR95&lt;=2.5,"YES","NO")),IF(G95="MOTOR",(IF(AR95&lt;=3,"YES","NO")))))</f>
        <v>YES</v>
      </c>
      <c r="AT95" s="257" t="str">
        <f t="shared" ref="AT95:AT106" si="268">IF(G95="MOTOR",(SQRT(3)*AH95*O95*((AA95*P95)+(AB95*SIN(ACOS(P95))))*100/(AP95*K95*1000)),"NA")</f>
        <v>NA</v>
      </c>
      <c r="AU95" s="249" t="str">
        <f t="shared" ref="AU95:AU106" si="269">IF(G95="MOTOR",IF(AT95&lt;=15,"YES","NO"),"NA")</f>
        <v>NA</v>
      </c>
      <c r="AV95" s="260" t="str">
        <f t="shared" ref="AV95:AV106" si="270">IF(U95="1C",CONCATENATE(AP95,"R x ",Y95,"kV x ",U95," x ",V95," Sqmm/Phase"),CONCATENATE(AP95,"R x ",0.6,"/1kV x ",U95," x ",V95," Sqmm"))</f>
        <v>1R x 0.6/1kV x 3C x 25 Sqmm</v>
      </c>
      <c r="AW95" s="260" t="str">
        <f t="shared" ref="AW95:AW106" si="271">IF(U95="1C",CONCATENATE(AP95,"R x ",Y95,"kV x ",U95," x ",V95," Sqmm/Phase"),CONCATENATE(AP95,"R x ",0.6,"/1kV x ",U95," x ",V95,(IF(G95="MOTOR","+PE",""))," Sqmm"))</f>
        <v>1R x 0.6/1kV x 3C x 25 Sqmm</v>
      </c>
      <c r="AX95" s="249">
        <f t="shared" ref="AX95:AX106" si="272">(IF(K95=400,(IF(U95="1C",(4*AH95*AP95),(AH95*AP95))),IF(K95=230,(AH95*AP95))))</f>
        <v>394</v>
      </c>
      <c r="AY95" s="261"/>
    </row>
    <row r="96" spans="1:51" ht="29.25" customHeight="1">
      <c r="A96" s="285">
        <f t="shared" ref="A96:A106" si="273">1+A95</f>
        <v>63</v>
      </c>
      <c r="B96" s="285" t="s">
        <v>428</v>
      </c>
      <c r="C96" s="285" t="str">
        <f t="shared" si="254"/>
        <v>PMCC-1</v>
      </c>
      <c r="D96" s="244" t="s">
        <v>429</v>
      </c>
      <c r="E96" s="352" t="s">
        <v>310</v>
      </c>
      <c r="F96" s="285" t="s">
        <v>29</v>
      </c>
      <c r="G96" s="285" t="s">
        <v>311</v>
      </c>
      <c r="H96" s="304">
        <v>0.75</v>
      </c>
      <c r="I96" s="285" t="s">
        <v>299</v>
      </c>
      <c r="J96" s="285" t="s">
        <v>300</v>
      </c>
      <c r="K96" s="309">
        <v>400</v>
      </c>
      <c r="L96" s="294">
        <v>0.85</v>
      </c>
      <c r="M96" s="304">
        <v>0.95</v>
      </c>
      <c r="N96" s="287">
        <f t="shared" si="255"/>
        <v>1.3406359261827985</v>
      </c>
      <c r="O96" s="287">
        <f t="shared" si="211"/>
        <v>8.0438155570967904</v>
      </c>
      <c r="P96" s="294">
        <f t="shared" si="256"/>
        <v>0.2</v>
      </c>
      <c r="Q96" s="304">
        <v>65</v>
      </c>
      <c r="R96" s="304">
        <v>0</v>
      </c>
      <c r="S96" s="304">
        <f t="shared" si="257"/>
        <v>0</v>
      </c>
      <c r="T96" s="294" t="s">
        <v>131</v>
      </c>
      <c r="U96" s="304" t="s">
        <v>302</v>
      </c>
      <c r="V96" s="294">
        <v>4</v>
      </c>
      <c r="W96" s="294" t="str">
        <f t="shared" si="258"/>
        <v>3C X 4</v>
      </c>
      <c r="X96" s="294" t="str">
        <f t="shared" si="259"/>
        <v>3C X 4+PE</v>
      </c>
      <c r="Y96" s="294" t="s">
        <v>314</v>
      </c>
      <c r="Z96" s="288">
        <f>IF(T96="AIR",VLOOKUP(W96,'Catalogue Aluminium'!$B$9:$G$91,2,FALSE),IF(T96="GROUND",VLOOKUP(W96,'Catalogue Aluminium'!$B$9:$G$91,3,FALSE),IF(T96="DUCT",VLOOKUP(W96,'Catalogue Aluminium'!$B$9:$G$91,4,FALSE),IF(T96="TRENCH",VLOOKUP(W96,'Catalogue Aluminium'!$B$9:$G$91,2,FALSE)))))</f>
        <v>38</v>
      </c>
      <c r="AA96" s="295">
        <f>VLOOKUP(W96,'Catalogue Aluminium'!$B$9:$G$91,5,FALSE)</f>
        <v>5.9</v>
      </c>
      <c r="AB96" s="295">
        <f>VLOOKUP(W96,'Catalogue Aluminium'!$B$9:$G$91,6,FALSE)</f>
        <v>9.4700000000000006E-2</v>
      </c>
      <c r="AC96" s="294">
        <f t="shared" ref="AC96" si="274">17+3</f>
        <v>20</v>
      </c>
      <c r="AD96" s="294">
        <f>40+50+38+50+17+(27+42+20)</f>
        <v>284</v>
      </c>
      <c r="AE96" s="294">
        <f t="shared" si="260"/>
        <v>38</v>
      </c>
      <c r="AF96" s="294">
        <v>8</v>
      </c>
      <c r="AG96" s="294">
        <f t="shared" si="261"/>
        <v>35</v>
      </c>
      <c r="AH96" s="311">
        <f t="shared" si="262"/>
        <v>385</v>
      </c>
      <c r="AI96" s="288">
        <f>IF(T96="AIR",'Catalogue Aluminium'!$K$9,IF(T96="TRENCH",'Catalogue Aluminium'!$K$12,"NA"))</f>
        <v>0.89</v>
      </c>
      <c r="AJ96" s="287">
        <f>IF(T96="Air",(IF(U96="1C",'Catalogue Aluminium'!$L$9,'Catalogue Aluminium'!$M$9)),IF(T96="DUCT",(IF($U96="1C",'Catalogue Aluminium'!$L$10,'Catalogue Aluminium'!$M$10)),IF(T96="GROUND",(IF($U96="1C",'Catalogue Aluminium'!$L$11,'Catalogue Aluminium'!$M$11)),IF(T96="TRENCH",(IF($U96="1C",'Catalogue Aluminium'!$L$12,'Catalogue Aluminium'!$M$12))))))</f>
        <v>0.66</v>
      </c>
      <c r="AK96" s="288" t="str">
        <f>IF(T96="Air",'Catalogue Aluminium'!$N$9,IF(T96="GROUND",'Catalogue Aluminium'!$N$10,IF(T96="DUCT",'Catalogue Aluminium'!$N$11,IF(T96="TRENCH",'Catalogue Aluminium'!$N$12,"NA"))))</f>
        <v>NA</v>
      </c>
      <c r="AL96" s="288" t="str">
        <f>IF(T96="Air",(IF(U96="1C",'Catalogue Aluminium'!$O$9,'Catalogue Aluminium'!$P$9)),IF(T96="DUCT",(IF($U96="1C",'Catalogue Aluminium'!$O$10,'Catalogue Aluminium'!$P$10)),IF(T96="GROUND",(IF($U96="1C",'Catalogue Aluminium'!$O$11,'Catalogue Aluminium'!$P$11)),IF(T96="TRENCH",(IF($U96="1C",'Catalogue Aluminium'!$O$12,'Catalogue Aluminium'!$P$12))))))</f>
        <v>NA</v>
      </c>
      <c r="AM96" s="288" t="str">
        <f>IF(T96="AIR","NA",IF(T96="TRENCH","NA",IF(T96="DUCT",IF(U96="1C",VLOOKUP(V96,'Catalogue Aluminium'!$Q$9:$S$28,2,FALSE),VLOOKUP(V96,'Catalogue Aluminium'!$Q$9:$S$28,3)),IF(T96="GROUND",IF(U96="1C",VLOOKUP(V96,'Catalogue Aluminium'!$Q$9:$S$28,2,FALSE),VLOOKUP(V96,'Catalogue Aluminium'!$Q$9:$S$28,3))))))</f>
        <v>NA</v>
      </c>
      <c r="AN96" s="312">
        <f t="shared" si="263"/>
        <v>0.58740000000000003</v>
      </c>
      <c r="AO96" s="304">
        <f t="shared" si="264"/>
        <v>22.321200000000001</v>
      </c>
      <c r="AP96" s="309">
        <f t="shared" si="220"/>
        <v>1</v>
      </c>
      <c r="AQ96" s="304" t="str">
        <f t="shared" si="265"/>
        <v>YES</v>
      </c>
      <c r="AR96" s="312">
        <f t="shared" si="266"/>
        <v>1.1319882558242176</v>
      </c>
      <c r="AS96" s="294" t="str">
        <f t="shared" si="267"/>
        <v>YES</v>
      </c>
      <c r="AT96" s="312">
        <f t="shared" si="268"/>
        <v>1.7067860635939951</v>
      </c>
      <c r="AU96" s="294" t="str">
        <f t="shared" si="269"/>
        <v>YES</v>
      </c>
      <c r="AV96" s="353" t="str">
        <f t="shared" si="270"/>
        <v>1R x 0.6/1kV x 3C x 4 Sqmm</v>
      </c>
      <c r="AW96" s="353" t="str">
        <f t="shared" si="271"/>
        <v>1R x 0.6/1kV x 3C x 4+PE Sqmm</v>
      </c>
      <c r="AX96" s="294">
        <f t="shared" si="272"/>
        <v>385</v>
      </c>
      <c r="AY96" s="354"/>
    </row>
    <row r="97" spans="1:51" ht="24.75" customHeight="1">
      <c r="A97" s="285">
        <f t="shared" si="273"/>
        <v>64</v>
      </c>
      <c r="B97" s="298" t="s">
        <v>1010</v>
      </c>
      <c r="C97" s="285" t="str">
        <f t="shared" si="254"/>
        <v>PMCC-1</v>
      </c>
      <c r="D97" s="244" t="s">
        <v>430</v>
      </c>
      <c r="E97" s="352" t="s">
        <v>310</v>
      </c>
      <c r="F97" s="285" t="s">
        <v>28</v>
      </c>
      <c r="G97" s="285" t="s">
        <v>311</v>
      </c>
      <c r="H97" s="304">
        <v>1.5</v>
      </c>
      <c r="I97" s="285" t="s">
        <v>299</v>
      </c>
      <c r="J97" s="285" t="s">
        <v>300</v>
      </c>
      <c r="K97" s="309">
        <v>400</v>
      </c>
      <c r="L97" s="294">
        <v>0.85</v>
      </c>
      <c r="M97" s="304">
        <v>0.95</v>
      </c>
      <c r="N97" s="287">
        <f t="shared" si="255"/>
        <v>2.681271852365597</v>
      </c>
      <c r="O97" s="287">
        <f t="shared" si="211"/>
        <v>16.087631114193581</v>
      </c>
      <c r="P97" s="294">
        <f t="shared" si="256"/>
        <v>0.2</v>
      </c>
      <c r="Q97" s="304">
        <v>65</v>
      </c>
      <c r="R97" s="304">
        <v>0</v>
      </c>
      <c r="S97" s="304">
        <f t="shared" si="257"/>
        <v>0</v>
      </c>
      <c r="T97" s="294" t="s">
        <v>131</v>
      </c>
      <c r="U97" s="304" t="s">
        <v>302</v>
      </c>
      <c r="V97" s="294">
        <v>4</v>
      </c>
      <c r="W97" s="294" t="str">
        <f t="shared" si="258"/>
        <v>3C X 4</v>
      </c>
      <c r="X97" s="294" t="str">
        <f t="shared" si="259"/>
        <v>3C X 4+PE</v>
      </c>
      <c r="Y97" s="294" t="s">
        <v>314</v>
      </c>
      <c r="Z97" s="288">
        <f>IF(T97="AIR",VLOOKUP(W97,'Catalogue Aluminium'!$B$9:$G$91,2,FALSE),IF(T97="GROUND",VLOOKUP(W97,'Catalogue Aluminium'!$B$9:$G$91,3,FALSE),IF(T97="DUCT",VLOOKUP(W97,'Catalogue Aluminium'!$B$9:$G$91,4,FALSE),IF(T97="TRENCH",VLOOKUP(W97,'Catalogue Aluminium'!$B$9:$G$91,2,FALSE)))))</f>
        <v>38</v>
      </c>
      <c r="AA97" s="295">
        <f>VLOOKUP(W97,'Catalogue Aluminium'!$B$9:$G$91,5,FALSE)</f>
        <v>5.9</v>
      </c>
      <c r="AB97" s="295">
        <f>VLOOKUP(W97,'Catalogue Aluminium'!$B$9:$G$91,6,FALSE)</f>
        <v>9.4700000000000006E-2</v>
      </c>
      <c r="AC97" s="294">
        <f t="shared" ref="AC97:AC105" si="275">26+3</f>
        <v>29</v>
      </c>
      <c r="AD97" s="294">
        <f>40+50+38+50+17+(27+42+21)</f>
        <v>285</v>
      </c>
      <c r="AE97" s="294">
        <f t="shared" si="260"/>
        <v>38</v>
      </c>
      <c r="AF97" s="294">
        <v>8</v>
      </c>
      <c r="AG97" s="294">
        <f t="shared" si="261"/>
        <v>36</v>
      </c>
      <c r="AH97" s="311">
        <f t="shared" si="262"/>
        <v>396</v>
      </c>
      <c r="AI97" s="288">
        <f>IF(T97="AIR",'Catalogue Aluminium'!$K$9,IF(T97="TRENCH",'Catalogue Aluminium'!$K$12,"NA"))</f>
        <v>0.89</v>
      </c>
      <c r="AJ97" s="287">
        <f>IF(T97="Air",(IF(U97="1C",'Catalogue Aluminium'!$L$9,'Catalogue Aluminium'!$M$9)),IF(T97="DUCT",(IF($U97="1C",'Catalogue Aluminium'!$L$10,'Catalogue Aluminium'!$M$10)),IF(T97="GROUND",(IF($U97="1C",'Catalogue Aluminium'!$L$11,'Catalogue Aluminium'!$M$11)),IF(T97="TRENCH",(IF($U97="1C",'Catalogue Aluminium'!$L$12,'Catalogue Aluminium'!$M$12))))))</f>
        <v>0.66</v>
      </c>
      <c r="AK97" s="288" t="str">
        <f>IF(T97="Air",'Catalogue Aluminium'!$N$9,IF(T97="GROUND",'Catalogue Aluminium'!$N$10,IF(T97="DUCT",'Catalogue Aluminium'!$N$11,IF(T97="TRENCH",'Catalogue Aluminium'!$N$12,"NA"))))</f>
        <v>NA</v>
      </c>
      <c r="AL97" s="288" t="str">
        <f>IF(T97="Air",(IF(U97="1C",'Catalogue Aluminium'!$O$9,'Catalogue Aluminium'!$P$9)),IF(T97="DUCT",(IF($U97="1C",'Catalogue Aluminium'!$O$10,'Catalogue Aluminium'!$P$10)),IF(T97="GROUND",(IF($U97="1C",'Catalogue Aluminium'!$O$11,'Catalogue Aluminium'!$P$11)),IF(T97="TRENCH",(IF($U97="1C",'Catalogue Aluminium'!$O$12,'Catalogue Aluminium'!$P$12))))))</f>
        <v>NA</v>
      </c>
      <c r="AM97" s="288" t="str">
        <f>IF(T97="AIR","NA",IF(T97="TRENCH","NA",IF(T97="DUCT",IF(U97="1C",VLOOKUP(V97,'Catalogue Aluminium'!$Q$9:$S$28,2,FALSE),VLOOKUP(V97,'Catalogue Aluminium'!$Q$9:$S$28,3)),IF(T97="GROUND",IF(U97="1C",VLOOKUP(V97,'Catalogue Aluminium'!$Q$9:$S$28,2,FALSE),VLOOKUP(V97,'Catalogue Aluminium'!$Q$9:$S$28,3))))))</f>
        <v>NA</v>
      </c>
      <c r="AN97" s="312">
        <f t="shared" si="263"/>
        <v>0.58740000000000003</v>
      </c>
      <c r="AO97" s="304">
        <f t="shared" si="264"/>
        <v>22.321200000000001</v>
      </c>
      <c r="AP97" s="309">
        <f t="shared" si="220"/>
        <v>1</v>
      </c>
      <c r="AQ97" s="304" t="str">
        <f t="shared" si="265"/>
        <v>YES</v>
      </c>
      <c r="AR97" s="312">
        <f t="shared" si="266"/>
        <v>2.3286615548383902</v>
      </c>
      <c r="AS97" s="294" t="str">
        <f t="shared" si="267"/>
        <v>YES</v>
      </c>
      <c r="AT97" s="312">
        <f t="shared" si="268"/>
        <v>3.5111027593933613</v>
      </c>
      <c r="AU97" s="294" t="str">
        <f t="shared" si="269"/>
        <v>YES</v>
      </c>
      <c r="AV97" s="353" t="str">
        <f t="shared" si="270"/>
        <v>1R x 0.6/1kV x 3C x 4 Sqmm</v>
      </c>
      <c r="AW97" s="353" t="str">
        <f t="shared" si="271"/>
        <v>1R x 0.6/1kV x 3C x 4+PE Sqmm</v>
      </c>
      <c r="AX97" s="294">
        <f t="shared" si="272"/>
        <v>396</v>
      </c>
      <c r="AY97" s="354"/>
    </row>
    <row r="98" spans="1:51" ht="24.75" customHeight="1">
      <c r="A98" s="285">
        <f t="shared" si="273"/>
        <v>65</v>
      </c>
      <c r="B98" s="298" t="s">
        <v>1011</v>
      </c>
      <c r="C98" s="285" t="str">
        <f t="shared" si="254"/>
        <v>PMCC-1</v>
      </c>
      <c r="D98" s="244" t="s">
        <v>430</v>
      </c>
      <c r="E98" s="352" t="s">
        <v>310</v>
      </c>
      <c r="F98" s="285" t="s">
        <v>29</v>
      </c>
      <c r="G98" s="285" t="s">
        <v>311</v>
      </c>
      <c r="H98" s="304">
        <v>1.5</v>
      </c>
      <c r="I98" s="285" t="s">
        <v>299</v>
      </c>
      <c r="J98" s="285" t="s">
        <v>300</v>
      </c>
      <c r="K98" s="309">
        <v>400</v>
      </c>
      <c r="L98" s="294">
        <v>0.85</v>
      </c>
      <c r="M98" s="304">
        <v>0.95</v>
      </c>
      <c r="N98" s="287">
        <f t="shared" si="255"/>
        <v>2.681271852365597</v>
      </c>
      <c r="O98" s="287">
        <f t="shared" si="211"/>
        <v>16.087631114193581</v>
      </c>
      <c r="P98" s="294">
        <f t="shared" si="256"/>
        <v>0.2</v>
      </c>
      <c r="Q98" s="304">
        <v>65</v>
      </c>
      <c r="R98" s="304">
        <v>0</v>
      </c>
      <c r="S98" s="304">
        <f t="shared" si="257"/>
        <v>0</v>
      </c>
      <c r="T98" s="294" t="s">
        <v>131</v>
      </c>
      <c r="U98" s="304" t="s">
        <v>302</v>
      </c>
      <c r="V98" s="294">
        <v>4</v>
      </c>
      <c r="W98" s="294" t="str">
        <f t="shared" si="258"/>
        <v>3C X 4</v>
      </c>
      <c r="X98" s="294" t="str">
        <f t="shared" si="259"/>
        <v>3C X 4+PE</v>
      </c>
      <c r="Y98" s="294" t="s">
        <v>314</v>
      </c>
      <c r="Z98" s="288">
        <f>IF(T98="AIR",VLOOKUP(W98,'Catalogue Aluminium'!$B$9:$G$91,2,FALSE),IF(T98="GROUND",VLOOKUP(W98,'Catalogue Aluminium'!$B$9:$G$91,3,FALSE),IF(T98="DUCT",VLOOKUP(W98,'Catalogue Aluminium'!$B$9:$G$91,4,FALSE),IF(T98="TRENCH",VLOOKUP(W98,'Catalogue Aluminium'!$B$9:$G$91,2,FALSE)))))</f>
        <v>38</v>
      </c>
      <c r="AA98" s="295">
        <f>VLOOKUP(W98,'Catalogue Aluminium'!$B$9:$G$91,5,FALSE)</f>
        <v>5.9</v>
      </c>
      <c r="AB98" s="295">
        <f>VLOOKUP(W98,'Catalogue Aluminium'!$B$9:$G$91,6,FALSE)</f>
        <v>9.4700000000000006E-2</v>
      </c>
      <c r="AC98" s="294">
        <f t="shared" ref="AC98" si="276">17+3</f>
        <v>20</v>
      </c>
      <c r="AD98" s="294">
        <f>40+50+38+50+17+(27+42+21)</f>
        <v>285</v>
      </c>
      <c r="AE98" s="294">
        <f t="shared" si="260"/>
        <v>38</v>
      </c>
      <c r="AF98" s="294">
        <v>8</v>
      </c>
      <c r="AG98" s="294">
        <f t="shared" si="261"/>
        <v>36</v>
      </c>
      <c r="AH98" s="311">
        <f t="shared" si="262"/>
        <v>387</v>
      </c>
      <c r="AI98" s="288">
        <f>IF(T98="AIR",'Catalogue Aluminium'!$K$9,IF(T98="TRENCH",'Catalogue Aluminium'!$K$12,"NA"))</f>
        <v>0.89</v>
      </c>
      <c r="AJ98" s="287">
        <f>IF(T98="Air",(IF(U98="1C",'Catalogue Aluminium'!$L$9,'Catalogue Aluminium'!$M$9)),IF(T98="DUCT",(IF($U98="1C",'Catalogue Aluminium'!$L$10,'Catalogue Aluminium'!$M$10)),IF(T98="GROUND",(IF($U98="1C",'Catalogue Aluminium'!$L$11,'Catalogue Aluminium'!$M$11)),IF(T98="TRENCH",(IF($U98="1C",'Catalogue Aluminium'!$L$12,'Catalogue Aluminium'!$M$12))))))</f>
        <v>0.66</v>
      </c>
      <c r="AK98" s="288" t="str">
        <f>IF(T98="Air",'Catalogue Aluminium'!$N$9,IF(T98="GROUND",'Catalogue Aluminium'!$N$10,IF(T98="DUCT",'Catalogue Aluminium'!$N$11,IF(T98="TRENCH",'Catalogue Aluminium'!$N$12,"NA"))))</f>
        <v>NA</v>
      </c>
      <c r="AL98" s="288" t="str">
        <f>IF(T98="Air",(IF(U98="1C",'Catalogue Aluminium'!$O$9,'Catalogue Aluminium'!$P$9)),IF(T98="DUCT",(IF($U98="1C",'Catalogue Aluminium'!$O$10,'Catalogue Aluminium'!$P$10)),IF(T98="GROUND",(IF($U98="1C",'Catalogue Aluminium'!$O$11,'Catalogue Aluminium'!$P$11)),IF(T98="TRENCH",(IF($U98="1C",'Catalogue Aluminium'!$O$12,'Catalogue Aluminium'!$P$12))))))</f>
        <v>NA</v>
      </c>
      <c r="AM98" s="288" t="str">
        <f>IF(T98="AIR","NA",IF(T98="TRENCH","NA",IF(T98="DUCT",IF(U98="1C",VLOOKUP(V98,'Catalogue Aluminium'!$Q$9:$S$28,2,FALSE),VLOOKUP(V98,'Catalogue Aluminium'!$Q$9:$S$28,3)),IF(T98="GROUND",IF(U98="1C",VLOOKUP(V98,'Catalogue Aluminium'!$Q$9:$S$28,2,FALSE),VLOOKUP(V98,'Catalogue Aluminium'!$Q$9:$S$28,3))))))</f>
        <v>NA</v>
      </c>
      <c r="AN98" s="312">
        <f t="shared" si="263"/>
        <v>0.58740000000000003</v>
      </c>
      <c r="AO98" s="304">
        <f t="shared" si="264"/>
        <v>22.321200000000001</v>
      </c>
      <c r="AP98" s="309">
        <f t="shared" si="220"/>
        <v>1</v>
      </c>
      <c r="AQ98" s="304" t="str">
        <f t="shared" si="265"/>
        <v>YES</v>
      </c>
      <c r="AR98" s="312">
        <f t="shared" si="266"/>
        <v>2.2757374285920626</v>
      </c>
      <c r="AS98" s="294" t="str">
        <f t="shared" si="267"/>
        <v>YES</v>
      </c>
      <c r="AT98" s="312">
        <f t="shared" si="268"/>
        <v>3.4313049694071478</v>
      </c>
      <c r="AU98" s="294" t="str">
        <f t="shared" si="269"/>
        <v>YES</v>
      </c>
      <c r="AV98" s="353" t="str">
        <f t="shared" si="270"/>
        <v>1R x 0.6/1kV x 3C x 4 Sqmm</v>
      </c>
      <c r="AW98" s="353" t="str">
        <f t="shared" si="271"/>
        <v>1R x 0.6/1kV x 3C x 4+PE Sqmm</v>
      </c>
      <c r="AX98" s="294">
        <f t="shared" si="272"/>
        <v>387</v>
      </c>
      <c r="AY98" s="354"/>
    </row>
    <row r="99" spans="1:51" ht="20.149999999999999" customHeight="1">
      <c r="A99" s="285">
        <f t="shared" si="273"/>
        <v>66</v>
      </c>
      <c r="B99" s="285" t="s">
        <v>431</v>
      </c>
      <c r="C99" s="285" t="str">
        <f t="shared" si="254"/>
        <v>PMCC-1</v>
      </c>
      <c r="D99" s="244" t="s">
        <v>432</v>
      </c>
      <c r="E99" s="352" t="s">
        <v>310</v>
      </c>
      <c r="F99" s="285" t="s">
        <v>28</v>
      </c>
      <c r="G99" s="285" t="s">
        <v>298</v>
      </c>
      <c r="H99" s="304">
        <v>1</v>
      </c>
      <c r="I99" s="285" t="s">
        <v>299</v>
      </c>
      <c r="J99" s="285" t="s">
        <v>300</v>
      </c>
      <c r="K99" s="309">
        <v>400</v>
      </c>
      <c r="L99" s="294">
        <v>0.85</v>
      </c>
      <c r="M99" s="304">
        <v>0.95</v>
      </c>
      <c r="N99" s="287">
        <f t="shared" si="255"/>
        <v>1.7875145682437314</v>
      </c>
      <c r="O99" s="287">
        <f t="shared" si="211"/>
        <v>0</v>
      </c>
      <c r="P99" s="294" t="str">
        <f t="shared" si="256"/>
        <v>0.00</v>
      </c>
      <c r="Q99" s="304">
        <v>65</v>
      </c>
      <c r="R99" s="304">
        <v>0</v>
      </c>
      <c r="S99" s="304">
        <f t="shared" si="257"/>
        <v>0</v>
      </c>
      <c r="T99" s="294" t="s">
        <v>131</v>
      </c>
      <c r="U99" s="304" t="s">
        <v>377</v>
      </c>
      <c r="V99" s="294">
        <v>4</v>
      </c>
      <c r="W99" s="294" t="str">
        <f t="shared" si="258"/>
        <v>4C X 4</v>
      </c>
      <c r="X99" s="294" t="str">
        <f t="shared" si="259"/>
        <v>4C X 4</v>
      </c>
      <c r="Y99" s="294" t="s">
        <v>314</v>
      </c>
      <c r="Z99" s="288">
        <f>IF(T99="AIR",VLOOKUP(W99,'Catalogue Aluminium'!$B$9:$G$91,2,FALSE),IF(T99="GROUND",VLOOKUP(W99,'Catalogue Aluminium'!$B$9:$G$91,3,FALSE),IF(T99="DUCT",VLOOKUP(W99,'Catalogue Aluminium'!$B$9:$G$91,4,FALSE),IF(T99="TRENCH",VLOOKUP(W99,'Catalogue Aluminium'!$B$9:$G$91,2,FALSE)))))</f>
        <v>38</v>
      </c>
      <c r="AA99" s="295">
        <f>VLOOKUP(W99,'Catalogue Aluminium'!$B$9:$G$91,5,FALSE)</f>
        <v>5.9</v>
      </c>
      <c r="AB99" s="295">
        <f>VLOOKUP(W99,'Catalogue Aluminium'!$B$9:$G$91,6,FALSE)</f>
        <v>9.4700000000000006E-2</v>
      </c>
      <c r="AC99" s="294">
        <f t="shared" si="275"/>
        <v>29</v>
      </c>
      <c r="AD99" s="294">
        <f>40+50+38+50+17+(27+42+23)</f>
        <v>287</v>
      </c>
      <c r="AE99" s="294">
        <f t="shared" si="260"/>
        <v>38</v>
      </c>
      <c r="AF99" s="294">
        <v>8</v>
      </c>
      <c r="AG99" s="294">
        <f t="shared" si="261"/>
        <v>37</v>
      </c>
      <c r="AH99" s="311">
        <f t="shared" si="262"/>
        <v>399</v>
      </c>
      <c r="AI99" s="288">
        <f>IF(T99="AIR",'Catalogue Aluminium'!$K$9,IF(T99="TRENCH",'Catalogue Aluminium'!$K$12,"NA"))</f>
        <v>0.89</v>
      </c>
      <c r="AJ99" s="287">
        <f>IF(T99="Air",(IF(U99="1C",'Catalogue Aluminium'!$L$9,'Catalogue Aluminium'!$M$9)),IF(T99="DUCT",(IF($U99="1C",'Catalogue Aluminium'!$L$10,'Catalogue Aluminium'!$M$10)),IF(T99="GROUND",(IF($U99="1C",'Catalogue Aluminium'!$L$11,'Catalogue Aluminium'!$M$11)),IF(T99="TRENCH",(IF($U99="1C",'Catalogue Aluminium'!$L$12,'Catalogue Aluminium'!$M$12))))))</f>
        <v>0.66</v>
      </c>
      <c r="AK99" s="288" t="str">
        <f>IF(T99="Air",'Catalogue Aluminium'!$N$9,IF(T99="GROUND",'Catalogue Aluminium'!$N$10,IF(T99="DUCT",'Catalogue Aluminium'!$N$11,IF(T99="TRENCH",'Catalogue Aluminium'!$N$12,"NA"))))</f>
        <v>NA</v>
      </c>
      <c r="AL99" s="288" t="str">
        <f>IF(T99="Air",(IF(U99="1C",'Catalogue Aluminium'!$O$9,'Catalogue Aluminium'!$P$9)),IF(T99="DUCT",(IF($U99="1C",'Catalogue Aluminium'!$O$10,'Catalogue Aluminium'!$P$10)),IF(T99="GROUND",(IF($U99="1C",'Catalogue Aluminium'!$O$11,'Catalogue Aluminium'!$P$11)),IF(T99="TRENCH",(IF($U99="1C",'Catalogue Aluminium'!$O$12,'Catalogue Aluminium'!$P$12))))))</f>
        <v>NA</v>
      </c>
      <c r="AM99" s="288" t="str">
        <f>IF(T99="AIR","NA",IF(T99="TRENCH","NA",IF(T99="DUCT",IF(U99="1C",VLOOKUP(V99,'Catalogue Aluminium'!$Q$9:$S$28,2,FALSE),VLOOKUP(V99,'Catalogue Aluminium'!$Q$9:$S$28,3)),IF(T99="GROUND",IF(U99="1C",VLOOKUP(V99,'Catalogue Aluminium'!$Q$9:$S$28,2,FALSE),VLOOKUP(V99,'Catalogue Aluminium'!$Q$9:$S$28,3))))))</f>
        <v>NA</v>
      </c>
      <c r="AN99" s="312">
        <f t="shared" si="263"/>
        <v>0.58740000000000003</v>
      </c>
      <c r="AO99" s="304">
        <f t="shared" si="264"/>
        <v>22.321200000000001</v>
      </c>
      <c r="AP99" s="309">
        <f t="shared" si="220"/>
        <v>1</v>
      </c>
      <c r="AQ99" s="304" t="str">
        <f t="shared" si="265"/>
        <v>YES</v>
      </c>
      <c r="AR99" s="312">
        <f t="shared" si="266"/>
        <v>1.5642019535025549</v>
      </c>
      <c r="AS99" s="294" t="str">
        <f t="shared" si="267"/>
        <v>YES</v>
      </c>
      <c r="AT99" s="312" t="str">
        <f t="shared" si="268"/>
        <v>NA</v>
      </c>
      <c r="AU99" s="294" t="str">
        <f t="shared" si="269"/>
        <v>NA</v>
      </c>
      <c r="AV99" s="353" t="str">
        <f t="shared" si="270"/>
        <v>1R x 0.6/1kV x 4C x 4 Sqmm</v>
      </c>
      <c r="AW99" s="353" t="str">
        <f t="shared" si="271"/>
        <v>1R x 0.6/1kV x 4C x 4 Sqmm</v>
      </c>
      <c r="AX99" s="294">
        <f t="shared" si="272"/>
        <v>399</v>
      </c>
      <c r="AY99" s="354"/>
    </row>
    <row r="100" spans="1:51" ht="20.149999999999999" customHeight="1">
      <c r="A100" s="285">
        <f t="shared" si="273"/>
        <v>67</v>
      </c>
      <c r="B100" s="285" t="s">
        <v>433</v>
      </c>
      <c r="C100" s="285" t="str">
        <f t="shared" si="254"/>
        <v>PMCC-1</v>
      </c>
      <c r="D100" s="244" t="s">
        <v>432</v>
      </c>
      <c r="E100" s="352" t="s">
        <v>310</v>
      </c>
      <c r="F100" s="285" t="s">
        <v>29</v>
      </c>
      <c r="G100" s="285" t="s">
        <v>298</v>
      </c>
      <c r="H100" s="304">
        <v>1</v>
      </c>
      <c r="I100" s="285" t="s">
        <v>299</v>
      </c>
      <c r="J100" s="285" t="s">
        <v>300</v>
      </c>
      <c r="K100" s="309">
        <v>400</v>
      </c>
      <c r="L100" s="294">
        <v>0.85</v>
      </c>
      <c r="M100" s="304">
        <v>0.95</v>
      </c>
      <c r="N100" s="287">
        <f t="shared" si="255"/>
        <v>1.7875145682437314</v>
      </c>
      <c r="O100" s="287">
        <f t="shared" si="211"/>
        <v>0</v>
      </c>
      <c r="P100" s="294" t="str">
        <f t="shared" si="256"/>
        <v>0.00</v>
      </c>
      <c r="Q100" s="304">
        <v>65</v>
      </c>
      <c r="R100" s="304">
        <v>0</v>
      </c>
      <c r="S100" s="304">
        <f t="shared" si="257"/>
        <v>0</v>
      </c>
      <c r="T100" s="294" t="s">
        <v>131</v>
      </c>
      <c r="U100" s="304" t="s">
        <v>377</v>
      </c>
      <c r="V100" s="294">
        <v>4</v>
      </c>
      <c r="W100" s="294" t="str">
        <f t="shared" si="258"/>
        <v>4C X 4</v>
      </c>
      <c r="X100" s="294" t="str">
        <f t="shared" si="259"/>
        <v>4C X 4</v>
      </c>
      <c r="Y100" s="294" t="s">
        <v>314</v>
      </c>
      <c r="Z100" s="288">
        <f>IF(T100="AIR",VLOOKUP(W100,'Catalogue Aluminium'!$B$9:$G$91,2,FALSE),IF(T100="GROUND",VLOOKUP(W100,'Catalogue Aluminium'!$B$9:$G$91,3,FALSE),IF(T100="DUCT",VLOOKUP(W100,'Catalogue Aluminium'!$B$9:$G$91,4,FALSE),IF(T100="TRENCH",VLOOKUP(W100,'Catalogue Aluminium'!$B$9:$G$91,2,FALSE)))))</f>
        <v>38</v>
      </c>
      <c r="AA100" s="295">
        <f>VLOOKUP(W100,'Catalogue Aluminium'!$B$9:$G$91,5,FALSE)</f>
        <v>5.9</v>
      </c>
      <c r="AB100" s="295">
        <f>VLOOKUP(W100,'Catalogue Aluminium'!$B$9:$G$91,6,FALSE)</f>
        <v>9.4700000000000006E-2</v>
      </c>
      <c r="AC100" s="294">
        <f t="shared" ref="AC100:AC106" si="277">17+3</f>
        <v>20</v>
      </c>
      <c r="AD100" s="294">
        <f t="shared" ref="AD100" si="278">40+50+38+50+17+(27+42+23)</f>
        <v>287</v>
      </c>
      <c r="AE100" s="294">
        <f t="shared" si="260"/>
        <v>38</v>
      </c>
      <c r="AF100" s="294">
        <v>8</v>
      </c>
      <c r="AG100" s="294">
        <f t="shared" si="261"/>
        <v>36</v>
      </c>
      <c r="AH100" s="311">
        <f t="shared" si="262"/>
        <v>389</v>
      </c>
      <c r="AI100" s="288">
        <f>IF(T100="AIR",'Catalogue Aluminium'!$K$9,IF(T100="TRENCH",'Catalogue Aluminium'!$K$12,"NA"))</f>
        <v>0.89</v>
      </c>
      <c r="AJ100" s="287">
        <f>IF(T100="Air",(IF(U100="1C",'Catalogue Aluminium'!$L$9,'Catalogue Aluminium'!$M$9)),IF(T100="DUCT",(IF($U100="1C",'Catalogue Aluminium'!$L$10,'Catalogue Aluminium'!$M$10)),IF(T100="GROUND",(IF($U100="1C",'Catalogue Aluminium'!$L$11,'Catalogue Aluminium'!$M$11)),IF(T100="TRENCH",(IF($U100="1C",'Catalogue Aluminium'!$L$12,'Catalogue Aluminium'!$M$12))))))</f>
        <v>0.66</v>
      </c>
      <c r="AK100" s="288" t="str">
        <f>IF(T100="Air",'Catalogue Aluminium'!$N$9,IF(T100="GROUND",'Catalogue Aluminium'!$N$10,IF(T100="DUCT",'Catalogue Aluminium'!$N$11,IF(T100="TRENCH",'Catalogue Aluminium'!$N$12,"NA"))))</f>
        <v>NA</v>
      </c>
      <c r="AL100" s="288" t="str">
        <f>IF(T100="Air",(IF(U100="1C",'Catalogue Aluminium'!$O$9,'Catalogue Aluminium'!$P$9)),IF(T100="DUCT",(IF($U100="1C",'Catalogue Aluminium'!$O$10,'Catalogue Aluminium'!$P$10)),IF(T100="GROUND",(IF($U100="1C",'Catalogue Aluminium'!$O$11,'Catalogue Aluminium'!$P$11)),IF(T100="TRENCH",(IF($U100="1C",'Catalogue Aluminium'!$O$12,'Catalogue Aluminium'!$P$12))))))</f>
        <v>NA</v>
      </c>
      <c r="AM100" s="288" t="str">
        <f>IF(T100="AIR","NA",IF(T100="TRENCH","NA",IF(T100="DUCT",IF(U100="1C",VLOOKUP(V100,'Catalogue Aluminium'!$Q$9:$S$28,2,FALSE),VLOOKUP(V100,'Catalogue Aluminium'!$Q$9:$S$28,3)),IF(T100="GROUND",IF(U100="1C",VLOOKUP(V100,'Catalogue Aluminium'!$Q$9:$S$28,2,FALSE),VLOOKUP(V100,'Catalogue Aluminium'!$Q$9:$S$28,3))))))</f>
        <v>NA</v>
      </c>
      <c r="AN100" s="312">
        <f t="shared" si="263"/>
        <v>0.58740000000000003</v>
      </c>
      <c r="AO100" s="304">
        <f t="shared" si="264"/>
        <v>22.321200000000001</v>
      </c>
      <c r="AP100" s="309">
        <f t="shared" si="220"/>
        <v>1</v>
      </c>
      <c r="AQ100" s="304" t="str">
        <f t="shared" si="265"/>
        <v>YES</v>
      </c>
      <c r="AR100" s="312">
        <f t="shared" si="266"/>
        <v>1.5249988970237947</v>
      </c>
      <c r="AS100" s="294" t="str">
        <f t="shared" si="267"/>
        <v>YES</v>
      </c>
      <c r="AT100" s="312" t="str">
        <f t="shared" si="268"/>
        <v>NA</v>
      </c>
      <c r="AU100" s="294" t="str">
        <f t="shared" si="269"/>
        <v>NA</v>
      </c>
      <c r="AV100" s="353" t="str">
        <f t="shared" si="270"/>
        <v>1R x 0.6/1kV x 4C x 4 Sqmm</v>
      </c>
      <c r="AW100" s="353" t="str">
        <f t="shared" si="271"/>
        <v>1R x 0.6/1kV x 4C x 4 Sqmm</v>
      </c>
      <c r="AX100" s="294">
        <f t="shared" si="272"/>
        <v>389</v>
      </c>
      <c r="AY100" s="354"/>
    </row>
    <row r="101" spans="1:51" ht="20.149999999999999" customHeight="1">
      <c r="A101" s="285">
        <f t="shared" si="273"/>
        <v>68</v>
      </c>
      <c r="B101" s="285" t="s">
        <v>434</v>
      </c>
      <c r="C101" s="285" t="str">
        <f t="shared" si="254"/>
        <v>PMCC-1</v>
      </c>
      <c r="D101" s="546" t="s">
        <v>1012</v>
      </c>
      <c r="E101" s="352" t="s">
        <v>410</v>
      </c>
      <c r="F101" s="285" t="s">
        <v>29</v>
      </c>
      <c r="G101" s="285" t="s">
        <v>298</v>
      </c>
      <c r="H101" s="304">
        <v>0.6</v>
      </c>
      <c r="I101" s="285" t="s">
        <v>299</v>
      </c>
      <c r="J101" s="285" t="s">
        <v>313</v>
      </c>
      <c r="K101" s="309">
        <v>230</v>
      </c>
      <c r="L101" s="294">
        <v>0.85</v>
      </c>
      <c r="M101" s="304">
        <v>0.95</v>
      </c>
      <c r="N101" s="287">
        <f t="shared" si="255"/>
        <v>3.2305828509893662</v>
      </c>
      <c r="O101" s="287">
        <f t="shared" si="211"/>
        <v>0</v>
      </c>
      <c r="P101" s="294" t="str">
        <f t="shared" si="256"/>
        <v>0.00</v>
      </c>
      <c r="Q101" s="304">
        <v>65</v>
      </c>
      <c r="R101" s="304">
        <v>0</v>
      </c>
      <c r="S101" s="304">
        <f t="shared" si="257"/>
        <v>0</v>
      </c>
      <c r="T101" s="294" t="s">
        <v>131</v>
      </c>
      <c r="U101" s="304" t="s">
        <v>302</v>
      </c>
      <c r="V101" s="294">
        <v>4</v>
      </c>
      <c r="W101" s="294" t="str">
        <f t="shared" si="258"/>
        <v>3C X 4</v>
      </c>
      <c r="X101" s="294" t="str">
        <f t="shared" si="259"/>
        <v>3C X 4</v>
      </c>
      <c r="Y101" s="294" t="s">
        <v>314</v>
      </c>
      <c r="Z101" s="288">
        <f>IF(T101="AIR",VLOOKUP(W101,'Catalogue Aluminium'!$B$9:$G$91,2,FALSE),IF(T101="GROUND",VLOOKUP(W101,'Catalogue Aluminium'!$B$9:$G$91,3,FALSE),IF(T101="DUCT",VLOOKUP(W101,'Catalogue Aluminium'!$B$9:$G$91,4,FALSE),IF(T101="TRENCH",VLOOKUP(W101,'Catalogue Aluminium'!$B$9:$G$91,2,FALSE)))))</f>
        <v>38</v>
      </c>
      <c r="AA101" s="295">
        <f>VLOOKUP(W101,'Catalogue Aluminium'!$B$9:$G$91,5,FALSE)</f>
        <v>5.9</v>
      </c>
      <c r="AB101" s="295">
        <f>VLOOKUP(W101,'Catalogue Aluminium'!$B$9:$G$91,6,FALSE)</f>
        <v>9.4700000000000006E-2</v>
      </c>
      <c r="AC101" s="294">
        <f t="shared" si="277"/>
        <v>20</v>
      </c>
      <c r="AD101" s="294">
        <v>85</v>
      </c>
      <c r="AE101" s="294">
        <f>10</f>
        <v>10</v>
      </c>
      <c r="AF101" s="294">
        <v>8</v>
      </c>
      <c r="AG101" s="294">
        <f t="shared" si="261"/>
        <v>13</v>
      </c>
      <c r="AH101" s="311">
        <f t="shared" si="262"/>
        <v>136</v>
      </c>
      <c r="AI101" s="288">
        <f>IF(T101="AIR",'Catalogue Aluminium'!$K$9,IF(T101="TRENCH",'Catalogue Aluminium'!$K$12,"NA"))</f>
        <v>0.89</v>
      </c>
      <c r="AJ101" s="287">
        <f>IF(T101="Air",(IF(U101="1C",'Catalogue Aluminium'!$L$9,'Catalogue Aluminium'!$M$9)),IF(T101="DUCT",(IF($U101="1C",'Catalogue Aluminium'!$L$10,'Catalogue Aluminium'!$M$10)),IF(T101="GROUND",(IF($U101="1C",'Catalogue Aluminium'!$L$11,'Catalogue Aluminium'!$M$11)),IF(T101="TRENCH",(IF($U101="1C",'Catalogue Aluminium'!$L$12,'Catalogue Aluminium'!$M$12))))))</f>
        <v>0.66</v>
      </c>
      <c r="AK101" s="288" t="str">
        <f>IF(T101="Air",'Catalogue Aluminium'!$N$9,IF(T101="GROUND",'Catalogue Aluminium'!$N$10,IF(T101="DUCT",'Catalogue Aluminium'!$N$11,IF(T101="TRENCH",'Catalogue Aluminium'!$N$12,"NA"))))</f>
        <v>NA</v>
      </c>
      <c r="AL101" s="288" t="str">
        <f>IF(T101="Air",(IF(U101="1C",'Catalogue Aluminium'!$O$9,'Catalogue Aluminium'!$P$9)),IF(T101="DUCT",(IF($U101="1C",'Catalogue Aluminium'!$O$10,'Catalogue Aluminium'!$P$10)),IF(T101="GROUND",(IF($U101="1C",'Catalogue Aluminium'!$O$11,'Catalogue Aluminium'!$P$11)),IF(T101="TRENCH",(IF($U101="1C",'Catalogue Aluminium'!$O$12,'Catalogue Aluminium'!$P$12))))))</f>
        <v>NA</v>
      </c>
      <c r="AM101" s="288" t="str">
        <f>IF(T101="AIR","NA",IF(T101="TRENCH","NA",IF(T101="DUCT",IF(U101="1C",VLOOKUP(V101,'Catalogue Aluminium'!$Q$9:$S$28,2,FALSE),VLOOKUP(V101,'Catalogue Aluminium'!$Q$9:$S$28,3)),IF(T101="GROUND",IF(U101="1C",VLOOKUP(V101,'Catalogue Aluminium'!$Q$9:$S$28,2,FALSE),VLOOKUP(V101,'Catalogue Aluminium'!$Q$9:$S$28,3))))))</f>
        <v>NA</v>
      </c>
      <c r="AN101" s="312">
        <f t="shared" si="263"/>
        <v>0.58740000000000003</v>
      </c>
      <c r="AO101" s="304">
        <f t="shared" si="264"/>
        <v>22.321200000000001</v>
      </c>
      <c r="AP101" s="309">
        <f t="shared" si="220"/>
        <v>1</v>
      </c>
      <c r="AQ101" s="304" t="str">
        <f t="shared" si="265"/>
        <v>YES</v>
      </c>
      <c r="AR101" s="312">
        <f t="shared" si="266"/>
        <v>1.6758003828539993</v>
      </c>
      <c r="AS101" s="294" t="str">
        <f t="shared" si="267"/>
        <v>YES</v>
      </c>
      <c r="AT101" s="312" t="str">
        <f t="shared" si="268"/>
        <v>NA</v>
      </c>
      <c r="AU101" s="294" t="str">
        <f t="shared" si="269"/>
        <v>NA</v>
      </c>
      <c r="AV101" s="353" t="str">
        <f t="shared" si="270"/>
        <v>1R x 0.6/1kV x 3C x 4 Sqmm</v>
      </c>
      <c r="AW101" s="353" t="str">
        <f t="shared" si="271"/>
        <v>1R x 0.6/1kV x 3C x 4 Sqmm</v>
      </c>
      <c r="AX101" s="294">
        <f t="shared" si="272"/>
        <v>136</v>
      </c>
      <c r="AY101" s="354"/>
    </row>
    <row r="102" spans="1:51" ht="20.149999999999999" customHeight="1">
      <c r="A102" s="285">
        <f t="shared" si="273"/>
        <v>69</v>
      </c>
      <c r="B102" s="285" t="s">
        <v>435</v>
      </c>
      <c r="C102" s="285" t="str">
        <f t="shared" si="254"/>
        <v>PMCC-1</v>
      </c>
      <c r="D102" s="546" t="s">
        <v>1013</v>
      </c>
      <c r="E102" s="352" t="s">
        <v>410</v>
      </c>
      <c r="F102" s="285" t="s">
        <v>29</v>
      </c>
      <c r="G102" s="285" t="s">
        <v>298</v>
      </c>
      <c r="H102" s="304">
        <v>0.9</v>
      </c>
      <c r="I102" s="285" t="s">
        <v>299</v>
      </c>
      <c r="J102" s="285" t="s">
        <v>313</v>
      </c>
      <c r="K102" s="309">
        <v>230</v>
      </c>
      <c r="L102" s="294">
        <v>0.85</v>
      </c>
      <c r="M102" s="304">
        <v>0.95</v>
      </c>
      <c r="N102" s="287">
        <f t="shared" si="255"/>
        <v>4.8458742764840492</v>
      </c>
      <c r="O102" s="287">
        <f t="shared" si="211"/>
        <v>0</v>
      </c>
      <c r="P102" s="294" t="str">
        <f t="shared" si="256"/>
        <v>0.00</v>
      </c>
      <c r="Q102" s="304">
        <v>65</v>
      </c>
      <c r="R102" s="304">
        <v>0</v>
      </c>
      <c r="S102" s="304">
        <f t="shared" si="257"/>
        <v>0</v>
      </c>
      <c r="T102" s="294" t="s">
        <v>131</v>
      </c>
      <c r="U102" s="304" t="s">
        <v>302</v>
      </c>
      <c r="V102" s="294">
        <v>6</v>
      </c>
      <c r="W102" s="294" t="str">
        <f t="shared" si="258"/>
        <v>3C X 6</v>
      </c>
      <c r="X102" s="294" t="str">
        <f t="shared" si="259"/>
        <v>3C X 6</v>
      </c>
      <c r="Y102" s="294" t="s">
        <v>314</v>
      </c>
      <c r="Z102" s="288">
        <f>IF(T102="AIR",VLOOKUP(W102,'Catalogue Aluminium'!$B$9:$G$91,2,FALSE),IF(T102="GROUND",VLOOKUP(W102,'Catalogue Aluminium'!$B$9:$G$91,3,FALSE),IF(T102="DUCT",VLOOKUP(W102,'Catalogue Aluminium'!$B$9:$G$91,4,FALSE),IF(T102="TRENCH",VLOOKUP(W102,'Catalogue Aluminium'!$B$9:$G$91,2,FALSE)))))</f>
        <v>51</v>
      </c>
      <c r="AA102" s="295">
        <f>VLOOKUP(W102,'Catalogue Aluminium'!$B$9:$G$91,5,FALSE)</f>
        <v>3.94</v>
      </c>
      <c r="AB102" s="295">
        <f>VLOOKUP(W102,'Catalogue Aluminium'!$B$9:$G$91,6,FALSE)</f>
        <v>9.0200000000000002E-2</v>
      </c>
      <c r="AC102" s="294">
        <f t="shared" si="277"/>
        <v>20</v>
      </c>
      <c r="AD102" s="294">
        <v>85</v>
      </c>
      <c r="AE102" s="294">
        <f>10</f>
        <v>10</v>
      </c>
      <c r="AF102" s="294">
        <v>8</v>
      </c>
      <c r="AG102" s="294">
        <f t="shared" si="261"/>
        <v>13</v>
      </c>
      <c r="AH102" s="311">
        <f t="shared" si="262"/>
        <v>136</v>
      </c>
      <c r="AI102" s="288">
        <f>IF(T102="AIR",'Catalogue Aluminium'!$K$9,IF(T102="TRENCH",'Catalogue Aluminium'!$K$12,"NA"))</f>
        <v>0.89</v>
      </c>
      <c r="AJ102" s="287">
        <f>IF(T102="Air",(IF(U102="1C",'Catalogue Aluminium'!$L$9,'Catalogue Aluminium'!$M$9)),IF(T102="DUCT",(IF($U102="1C",'Catalogue Aluminium'!$L$10,'Catalogue Aluminium'!$M$10)),IF(T102="GROUND",(IF($U102="1C",'Catalogue Aluminium'!$L$11,'Catalogue Aluminium'!$M$11)),IF(T102="TRENCH",(IF($U102="1C",'Catalogue Aluminium'!$L$12,'Catalogue Aluminium'!$M$12))))))</f>
        <v>0.66</v>
      </c>
      <c r="AK102" s="288" t="str">
        <f>IF(T102="Air",'Catalogue Aluminium'!$N$9,IF(T102="GROUND",'Catalogue Aluminium'!$N$10,IF(T102="DUCT",'Catalogue Aluminium'!$N$11,IF(T102="TRENCH",'Catalogue Aluminium'!$N$12,"NA"))))</f>
        <v>NA</v>
      </c>
      <c r="AL102" s="288" t="str">
        <f>IF(T102="Air",(IF(U102="1C",'Catalogue Aluminium'!$O$9,'Catalogue Aluminium'!$P$9)),IF(T102="DUCT",(IF($U102="1C",'Catalogue Aluminium'!$O$10,'Catalogue Aluminium'!$P$10)),IF(T102="GROUND",(IF($U102="1C",'Catalogue Aluminium'!$O$11,'Catalogue Aluminium'!$P$11)),IF(T102="TRENCH",(IF($U102="1C",'Catalogue Aluminium'!$O$12,'Catalogue Aluminium'!$P$12))))))</f>
        <v>NA</v>
      </c>
      <c r="AM102" s="288" t="str">
        <f>IF(T102="AIR","NA",IF(T102="TRENCH","NA",IF(T102="DUCT",IF(U102="1C",VLOOKUP(V102,'Catalogue Aluminium'!$Q$9:$S$28,2,FALSE),VLOOKUP(V102,'Catalogue Aluminium'!$Q$9:$S$28,3)),IF(T102="GROUND",IF(U102="1C",VLOOKUP(V102,'Catalogue Aluminium'!$Q$9:$S$28,2,FALSE),VLOOKUP(V102,'Catalogue Aluminium'!$Q$9:$S$28,3))))))</f>
        <v>NA</v>
      </c>
      <c r="AN102" s="312">
        <f t="shared" si="263"/>
        <v>0.58740000000000003</v>
      </c>
      <c r="AO102" s="304">
        <f t="shared" si="264"/>
        <v>29.957400000000003</v>
      </c>
      <c r="AP102" s="309">
        <f t="shared" si="220"/>
        <v>1</v>
      </c>
      <c r="AQ102" s="304" t="str">
        <f t="shared" si="265"/>
        <v>YES</v>
      </c>
      <c r="AR102" s="312">
        <f t="shared" si="266"/>
        <v>1.6856891098357716</v>
      </c>
      <c r="AS102" s="294" t="str">
        <f t="shared" si="267"/>
        <v>YES</v>
      </c>
      <c r="AT102" s="312" t="str">
        <f t="shared" si="268"/>
        <v>NA</v>
      </c>
      <c r="AU102" s="294" t="str">
        <f t="shared" si="269"/>
        <v>NA</v>
      </c>
      <c r="AV102" s="353" t="str">
        <f t="shared" si="270"/>
        <v>1R x 0.6/1kV x 3C x 6 Sqmm</v>
      </c>
      <c r="AW102" s="353" t="str">
        <f t="shared" si="271"/>
        <v>1R x 0.6/1kV x 3C x 6 Sqmm</v>
      </c>
      <c r="AX102" s="294">
        <f t="shared" si="272"/>
        <v>136</v>
      </c>
      <c r="AY102" s="354"/>
    </row>
    <row r="103" spans="1:51" ht="20.149999999999999" customHeight="1">
      <c r="A103" s="285">
        <f t="shared" si="273"/>
        <v>70</v>
      </c>
      <c r="B103" s="285" t="s">
        <v>436</v>
      </c>
      <c r="C103" s="285" t="str">
        <f t="shared" si="254"/>
        <v>PMCC-1</v>
      </c>
      <c r="D103" s="546" t="s">
        <v>1014</v>
      </c>
      <c r="E103" s="352" t="s">
        <v>410</v>
      </c>
      <c r="F103" s="285" t="s">
        <v>28</v>
      </c>
      <c r="G103" s="285" t="s">
        <v>298</v>
      </c>
      <c r="H103" s="304">
        <v>1.1000000000000001</v>
      </c>
      <c r="I103" s="285" t="s">
        <v>299</v>
      </c>
      <c r="J103" s="285" t="s">
        <v>313</v>
      </c>
      <c r="K103" s="309">
        <v>230</v>
      </c>
      <c r="L103" s="294">
        <v>0.85</v>
      </c>
      <c r="M103" s="304">
        <v>0.95</v>
      </c>
      <c r="N103" s="287">
        <f t="shared" si="255"/>
        <v>5.9227352268138382</v>
      </c>
      <c r="O103" s="287">
        <f t="shared" si="211"/>
        <v>0</v>
      </c>
      <c r="P103" s="294" t="str">
        <f t="shared" si="256"/>
        <v>0.00</v>
      </c>
      <c r="Q103" s="304">
        <v>65</v>
      </c>
      <c r="R103" s="304">
        <v>0</v>
      </c>
      <c r="S103" s="304">
        <f t="shared" si="257"/>
        <v>0</v>
      </c>
      <c r="T103" s="294" t="s">
        <v>131</v>
      </c>
      <c r="U103" s="304" t="s">
        <v>302</v>
      </c>
      <c r="V103" s="294">
        <v>6</v>
      </c>
      <c r="W103" s="294" t="str">
        <f t="shared" si="258"/>
        <v>3C X 6</v>
      </c>
      <c r="X103" s="294" t="str">
        <f t="shared" si="259"/>
        <v>3C X 6</v>
      </c>
      <c r="Y103" s="294" t="s">
        <v>314</v>
      </c>
      <c r="Z103" s="288">
        <f>IF(T103="AIR",VLOOKUP(W103,'Catalogue Aluminium'!$B$9:$G$91,2,FALSE),IF(T103="GROUND",VLOOKUP(W103,'Catalogue Aluminium'!$B$9:$G$91,3,FALSE),IF(T103="DUCT",VLOOKUP(W103,'Catalogue Aluminium'!$B$9:$G$91,4,FALSE),IF(T103="TRENCH",VLOOKUP(W103,'Catalogue Aluminium'!$B$9:$G$91,2,FALSE)))))</f>
        <v>51</v>
      </c>
      <c r="AA103" s="295">
        <f>VLOOKUP(W103,'Catalogue Aluminium'!$B$9:$G$91,5,FALSE)</f>
        <v>3.94</v>
      </c>
      <c r="AB103" s="295">
        <f>VLOOKUP(W103,'Catalogue Aluminium'!$B$9:$G$91,6,FALSE)</f>
        <v>9.0200000000000002E-2</v>
      </c>
      <c r="AC103" s="294">
        <f t="shared" si="275"/>
        <v>29</v>
      </c>
      <c r="AD103" s="294">
        <v>85</v>
      </c>
      <c r="AE103" s="294">
        <f>10</f>
        <v>10</v>
      </c>
      <c r="AF103" s="294">
        <v>8</v>
      </c>
      <c r="AG103" s="294">
        <f t="shared" si="261"/>
        <v>14</v>
      </c>
      <c r="AH103" s="311">
        <f t="shared" si="262"/>
        <v>146</v>
      </c>
      <c r="AI103" s="288">
        <f>IF(T103="AIR",'Catalogue Aluminium'!$K$9,IF(T103="TRENCH",'Catalogue Aluminium'!$K$12,"NA"))</f>
        <v>0.89</v>
      </c>
      <c r="AJ103" s="287">
        <f>IF(T103="Air",(IF(U103="1C",'Catalogue Aluminium'!$L$9,'Catalogue Aluminium'!$M$9)),IF(T103="DUCT",(IF($U103="1C",'Catalogue Aluminium'!$L$10,'Catalogue Aluminium'!$M$10)),IF(T103="GROUND",(IF($U103="1C",'Catalogue Aluminium'!$L$11,'Catalogue Aluminium'!$M$11)),IF(T103="TRENCH",(IF($U103="1C",'Catalogue Aluminium'!$L$12,'Catalogue Aluminium'!$M$12))))))</f>
        <v>0.66</v>
      </c>
      <c r="AK103" s="288" t="str">
        <f>IF(T103="Air",'Catalogue Aluminium'!$N$9,IF(T103="GROUND",'Catalogue Aluminium'!$N$10,IF(T103="DUCT",'Catalogue Aluminium'!$N$11,IF(T103="TRENCH",'Catalogue Aluminium'!$N$12,"NA"))))</f>
        <v>NA</v>
      </c>
      <c r="AL103" s="288" t="str">
        <f>IF(T103="Air",(IF(U103="1C",'Catalogue Aluminium'!$O$9,'Catalogue Aluminium'!$P$9)),IF(T103="DUCT",(IF($U103="1C",'Catalogue Aluminium'!$O$10,'Catalogue Aluminium'!$P$10)),IF(T103="GROUND",(IF($U103="1C",'Catalogue Aluminium'!$O$11,'Catalogue Aluminium'!$P$11)),IF(T103="TRENCH",(IF($U103="1C",'Catalogue Aluminium'!$O$12,'Catalogue Aluminium'!$P$12))))))</f>
        <v>NA</v>
      </c>
      <c r="AM103" s="288" t="str">
        <f>IF(T103="AIR","NA",IF(T103="TRENCH","NA",IF(T103="DUCT",IF(U103="1C",VLOOKUP(V103,'Catalogue Aluminium'!$Q$9:$S$28,2,FALSE),VLOOKUP(V103,'Catalogue Aluminium'!$Q$9:$S$28,3)),IF(T103="GROUND",IF(U103="1C",VLOOKUP(V103,'Catalogue Aluminium'!$Q$9:$S$28,2,FALSE),VLOOKUP(V103,'Catalogue Aluminium'!$Q$9:$S$28,3))))))</f>
        <v>NA</v>
      </c>
      <c r="AN103" s="312">
        <f t="shared" si="263"/>
        <v>0.58740000000000003</v>
      </c>
      <c r="AO103" s="304">
        <f t="shared" si="264"/>
        <v>29.957400000000003</v>
      </c>
      <c r="AP103" s="309">
        <f t="shared" si="220"/>
        <v>1</v>
      </c>
      <c r="AQ103" s="304" t="str">
        <f t="shared" si="265"/>
        <v>YES</v>
      </c>
      <c r="AR103" s="312">
        <f t="shared" si="266"/>
        <v>2.2117783581668702</v>
      </c>
      <c r="AS103" s="294" t="str">
        <f t="shared" si="267"/>
        <v>YES</v>
      </c>
      <c r="AT103" s="312" t="str">
        <f t="shared" si="268"/>
        <v>NA</v>
      </c>
      <c r="AU103" s="294" t="str">
        <f t="shared" si="269"/>
        <v>NA</v>
      </c>
      <c r="AV103" s="353" t="str">
        <f t="shared" si="270"/>
        <v>1R x 0.6/1kV x 3C x 6 Sqmm</v>
      </c>
      <c r="AW103" s="353" t="str">
        <f t="shared" si="271"/>
        <v>1R x 0.6/1kV x 3C x 6 Sqmm</v>
      </c>
      <c r="AX103" s="294">
        <f t="shared" si="272"/>
        <v>146</v>
      </c>
      <c r="AY103" s="354"/>
    </row>
    <row r="104" spans="1:51" ht="20.149999999999999" customHeight="1">
      <c r="A104" s="285">
        <f t="shared" si="273"/>
        <v>71</v>
      </c>
      <c r="B104" s="285" t="s">
        <v>435</v>
      </c>
      <c r="C104" s="368" t="str">
        <f t="shared" si="254"/>
        <v>PMCC-1</v>
      </c>
      <c r="D104" s="244" t="s">
        <v>437</v>
      </c>
      <c r="E104" s="352" t="s">
        <v>410</v>
      </c>
      <c r="F104" s="285" t="s">
        <v>29</v>
      </c>
      <c r="G104" s="285" t="s">
        <v>298</v>
      </c>
      <c r="H104" s="366">
        <v>1.8</v>
      </c>
      <c r="I104" s="285" t="s">
        <v>299</v>
      </c>
      <c r="J104" s="285" t="s">
        <v>313</v>
      </c>
      <c r="K104" s="309">
        <v>230</v>
      </c>
      <c r="L104" s="294">
        <v>0.85</v>
      </c>
      <c r="M104" s="304">
        <v>0.95</v>
      </c>
      <c r="N104" s="287">
        <f t="shared" si="255"/>
        <v>9.6917485529680985</v>
      </c>
      <c r="O104" s="287">
        <f t="shared" si="211"/>
        <v>0</v>
      </c>
      <c r="P104" s="294" t="str">
        <f t="shared" si="256"/>
        <v>0.00</v>
      </c>
      <c r="Q104" s="304">
        <v>65</v>
      </c>
      <c r="R104" s="304">
        <v>0</v>
      </c>
      <c r="S104" s="304">
        <f t="shared" si="257"/>
        <v>0</v>
      </c>
      <c r="T104" s="294" t="s">
        <v>131</v>
      </c>
      <c r="U104" s="304" t="s">
        <v>302</v>
      </c>
      <c r="V104" s="294">
        <v>16</v>
      </c>
      <c r="W104" s="294" t="str">
        <f t="shared" si="258"/>
        <v>3C X 16</v>
      </c>
      <c r="X104" s="294" t="str">
        <f t="shared" si="259"/>
        <v>3C X 16</v>
      </c>
      <c r="Y104" s="294" t="s">
        <v>314</v>
      </c>
      <c r="Z104" s="288">
        <f>IF(T104="AIR",VLOOKUP(W104,'Catalogue Aluminium'!$B$9:$G$91,2,FALSE),IF(T104="GROUND",VLOOKUP(W104,'Catalogue Aluminium'!$B$9:$G$91,3,FALSE),IF(T104="DUCT",VLOOKUP(W104,'Catalogue Aluminium'!$B$9:$G$91,4,FALSE),IF(T104="TRENCH",VLOOKUP(W104,'Catalogue Aluminium'!$B$9:$G$91,2,FALSE)))))</f>
        <v>70</v>
      </c>
      <c r="AA104" s="295">
        <f>VLOOKUP(W104,'Catalogue Aluminium'!$B$9:$G$91,5,FALSE)</f>
        <v>2.44</v>
      </c>
      <c r="AB104" s="295">
        <f>VLOOKUP(W104,'Catalogue Aluminium'!$B$9:$G$91,6,FALSE)</f>
        <v>8.1500000000000003E-2</v>
      </c>
      <c r="AC104" s="294">
        <f t="shared" si="277"/>
        <v>20</v>
      </c>
      <c r="AD104" s="294">
        <v>85</v>
      </c>
      <c r="AE104" s="294">
        <f>10</f>
        <v>10</v>
      </c>
      <c r="AF104" s="294">
        <v>8</v>
      </c>
      <c r="AG104" s="294">
        <f t="shared" si="261"/>
        <v>13</v>
      </c>
      <c r="AH104" s="311">
        <f t="shared" si="262"/>
        <v>136</v>
      </c>
      <c r="AI104" s="288">
        <f>IF(T104="AIR",'Catalogue Aluminium'!$K$9,IF(T104="TRENCH",'Catalogue Aluminium'!$K$12,"NA"))</f>
        <v>0.89</v>
      </c>
      <c r="AJ104" s="287">
        <f>IF(T104="Air",(IF(U104="1C",'Catalogue Aluminium'!$L$9,'Catalogue Aluminium'!$M$9)),IF(T104="DUCT",(IF($U104="1C",'Catalogue Aluminium'!$L$10,'Catalogue Aluminium'!$M$10)),IF(T104="GROUND",(IF($U104="1C",'Catalogue Aluminium'!$L$11,'Catalogue Aluminium'!$M$11)),IF(T104="TRENCH",(IF($U104="1C",'Catalogue Aluminium'!$L$12,'Catalogue Aluminium'!$M$12))))))</f>
        <v>0.66</v>
      </c>
      <c r="AK104" s="288" t="str">
        <f>IF(T104="Air",'Catalogue Aluminium'!$N$9,IF(T104="GROUND",'Catalogue Aluminium'!$N$10,IF(T104="DUCT",'Catalogue Aluminium'!$N$11,IF(T104="TRENCH",'Catalogue Aluminium'!$N$12,"NA"))))</f>
        <v>NA</v>
      </c>
      <c r="AL104" s="288" t="str">
        <f>IF(T104="Air",(IF(U104="1C",'Catalogue Aluminium'!$O$9,'Catalogue Aluminium'!$P$9)),IF(T104="DUCT",(IF($U104="1C",'Catalogue Aluminium'!$O$10,'Catalogue Aluminium'!$P$10)),IF(T104="GROUND",(IF($U104="1C",'Catalogue Aluminium'!$O$11,'Catalogue Aluminium'!$P$11)),IF(T104="TRENCH",(IF($U104="1C",'Catalogue Aluminium'!$O$12,'Catalogue Aluminium'!$P$12))))))</f>
        <v>NA</v>
      </c>
      <c r="AM104" s="288" t="str">
        <f>IF(T104="AIR","NA",IF(T104="TRENCH","NA",IF(T104="DUCT",IF(U104="1C",VLOOKUP(V104,'Catalogue Aluminium'!$Q$9:$S$28,2,FALSE),VLOOKUP(V104,'Catalogue Aluminium'!$Q$9:$S$28,3)),IF(T104="GROUND",IF(U104="1C",VLOOKUP(V104,'Catalogue Aluminium'!$Q$9:$S$28,2,FALSE),VLOOKUP(V104,'Catalogue Aluminium'!$Q$9:$S$28,3))))))</f>
        <v>NA</v>
      </c>
      <c r="AN104" s="312">
        <f t="shared" si="263"/>
        <v>0.58740000000000003</v>
      </c>
      <c r="AO104" s="304">
        <f t="shared" si="264"/>
        <v>41.118000000000002</v>
      </c>
      <c r="AP104" s="309">
        <f t="shared" si="220"/>
        <v>1</v>
      </c>
      <c r="AQ104" s="304" t="str">
        <f t="shared" si="265"/>
        <v>YES</v>
      </c>
      <c r="AR104" s="312">
        <f t="shared" si="266"/>
        <v>2.1012653910800023</v>
      </c>
      <c r="AS104" s="294" t="str">
        <f t="shared" si="267"/>
        <v>YES</v>
      </c>
      <c r="AT104" s="312" t="str">
        <f t="shared" si="268"/>
        <v>NA</v>
      </c>
      <c r="AU104" s="294" t="str">
        <f t="shared" si="269"/>
        <v>NA</v>
      </c>
      <c r="AV104" s="353" t="str">
        <f t="shared" si="270"/>
        <v>1R x 0.6/1kV x 3C x 16 Sqmm</v>
      </c>
      <c r="AW104" s="353" t="str">
        <f t="shared" si="271"/>
        <v>1R x 0.6/1kV x 3C x 16 Sqmm</v>
      </c>
      <c r="AX104" s="294">
        <f t="shared" si="272"/>
        <v>136</v>
      </c>
      <c r="AY104" s="354"/>
    </row>
    <row r="105" spans="1:51" ht="19.5" customHeight="1">
      <c r="A105" s="285">
        <f t="shared" si="273"/>
        <v>72</v>
      </c>
      <c r="B105" s="285" t="s">
        <v>436</v>
      </c>
      <c r="C105" s="368" t="str">
        <f t="shared" si="254"/>
        <v>PMCC-1</v>
      </c>
      <c r="D105" s="244" t="s">
        <v>438</v>
      </c>
      <c r="E105" s="352" t="s">
        <v>410</v>
      </c>
      <c r="F105" s="285" t="s">
        <v>28</v>
      </c>
      <c r="G105" s="285" t="s">
        <v>298</v>
      </c>
      <c r="H105" s="366">
        <v>2.2000000000000002</v>
      </c>
      <c r="I105" s="285" t="s">
        <v>299</v>
      </c>
      <c r="J105" s="285" t="s">
        <v>313</v>
      </c>
      <c r="K105" s="309">
        <v>230</v>
      </c>
      <c r="L105" s="294">
        <v>0.85</v>
      </c>
      <c r="M105" s="304">
        <v>0.95</v>
      </c>
      <c r="N105" s="287">
        <f t="shared" si="255"/>
        <v>11.845470453627676</v>
      </c>
      <c r="O105" s="287">
        <f t="shared" si="211"/>
        <v>0</v>
      </c>
      <c r="P105" s="294" t="str">
        <f t="shared" si="256"/>
        <v>0.00</v>
      </c>
      <c r="Q105" s="304">
        <v>65</v>
      </c>
      <c r="R105" s="304">
        <v>0</v>
      </c>
      <c r="S105" s="304">
        <f t="shared" si="257"/>
        <v>0</v>
      </c>
      <c r="T105" s="294" t="s">
        <v>131</v>
      </c>
      <c r="U105" s="304" t="s">
        <v>302</v>
      </c>
      <c r="V105" s="294">
        <v>25</v>
      </c>
      <c r="W105" s="294" t="str">
        <f t="shared" si="258"/>
        <v>3C X 25</v>
      </c>
      <c r="X105" s="294" t="str">
        <f t="shared" si="259"/>
        <v>3C X 25</v>
      </c>
      <c r="Y105" s="294" t="s">
        <v>314</v>
      </c>
      <c r="Z105" s="288">
        <f>IF(T105="AIR",VLOOKUP(W105,'Catalogue Aluminium'!$B$9:$G$91,2,FALSE),IF(T105="GROUND",VLOOKUP(W105,'Catalogue Aluminium'!$B$9:$G$91,3,FALSE),IF(T105="DUCT",VLOOKUP(W105,'Catalogue Aluminium'!$B$9:$G$91,4,FALSE),IF(T105="TRENCH",VLOOKUP(W105,'Catalogue Aluminium'!$B$9:$G$91,2,FALSE)))))</f>
        <v>95</v>
      </c>
      <c r="AA105" s="295">
        <f>VLOOKUP(W105,'Catalogue Aluminium'!$B$9:$G$91,5,FALSE)</f>
        <v>1.54</v>
      </c>
      <c r="AB105" s="295">
        <f>VLOOKUP(W105,'Catalogue Aluminium'!$B$9:$G$91,6,FALSE)</f>
        <v>8.1600000000000006E-2</v>
      </c>
      <c r="AC105" s="294">
        <f t="shared" si="275"/>
        <v>29</v>
      </c>
      <c r="AD105" s="294">
        <v>85</v>
      </c>
      <c r="AE105" s="294">
        <f>10</f>
        <v>10</v>
      </c>
      <c r="AF105" s="294">
        <v>8</v>
      </c>
      <c r="AG105" s="294">
        <f t="shared" si="261"/>
        <v>14</v>
      </c>
      <c r="AH105" s="311">
        <f t="shared" si="262"/>
        <v>146</v>
      </c>
      <c r="AI105" s="288">
        <f>IF(T105="AIR",'Catalogue Aluminium'!$K$9,IF(T105="TRENCH",'Catalogue Aluminium'!$K$12,"NA"))</f>
        <v>0.89</v>
      </c>
      <c r="AJ105" s="287">
        <f>IF(T105="Air",(IF(U105="1C",'Catalogue Aluminium'!$L$9,'Catalogue Aluminium'!$M$9)),IF(T105="DUCT",(IF($U105="1C",'Catalogue Aluminium'!$L$10,'Catalogue Aluminium'!$M$10)),IF(T105="GROUND",(IF($U105="1C",'Catalogue Aluminium'!$L$11,'Catalogue Aluminium'!$M$11)),IF(T105="TRENCH",(IF($U105="1C",'Catalogue Aluminium'!$L$12,'Catalogue Aluminium'!$M$12))))))</f>
        <v>0.66</v>
      </c>
      <c r="AK105" s="288" t="str">
        <f>IF(T105="Air",'Catalogue Aluminium'!$N$9,IF(T105="GROUND",'Catalogue Aluminium'!$N$10,IF(T105="DUCT",'Catalogue Aluminium'!$N$11,IF(T105="TRENCH",'Catalogue Aluminium'!$N$12,"NA"))))</f>
        <v>NA</v>
      </c>
      <c r="AL105" s="288" t="str">
        <f>IF(T105="Air",(IF(U105="1C",'Catalogue Aluminium'!$O$9,'Catalogue Aluminium'!$P$9)),IF(T105="DUCT",(IF($U105="1C",'Catalogue Aluminium'!$O$10,'Catalogue Aluminium'!$P$10)),IF(T105="GROUND",(IF($U105="1C",'Catalogue Aluminium'!$O$11,'Catalogue Aluminium'!$P$11)),IF(T105="TRENCH",(IF($U105="1C",'Catalogue Aluminium'!$O$12,'Catalogue Aluminium'!$P$12))))))</f>
        <v>NA</v>
      </c>
      <c r="AM105" s="288" t="str">
        <f>IF(T105="AIR","NA",IF(T105="TRENCH","NA",IF(T105="DUCT",IF(U105="1C",VLOOKUP(V105,'Catalogue Aluminium'!$Q$9:$S$28,2,FALSE),VLOOKUP(V105,'Catalogue Aluminium'!$Q$9:$S$28,3)),IF(T105="GROUND",IF(U105="1C",VLOOKUP(V105,'Catalogue Aluminium'!$Q$9:$S$28,2,FALSE),VLOOKUP(V105,'Catalogue Aluminium'!$Q$9:$S$28,3))))))</f>
        <v>NA</v>
      </c>
      <c r="AN105" s="312">
        <f t="shared" si="263"/>
        <v>0.58740000000000003</v>
      </c>
      <c r="AO105" s="304">
        <f t="shared" si="264"/>
        <v>55.803000000000004</v>
      </c>
      <c r="AP105" s="309">
        <f t="shared" si="220"/>
        <v>1</v>
      </c>
      <c r="AQ105" s="304" t="str">
        <f t="shared" si="265"/>
        <v>YES</v>
      </c>
      <c r="AR105" s="312">
        <f t="shared" si="266"/>
        <v>1.7607998164132281</v>
      </c>
      <c r="AS105" s="294" t="str">
        <f t="shared" si="267"/>
        <v>YES</v>
      </c>
      <c r="AT105" s="312" t="str">
        <f t="shared" si="268"/>
        <v>NA</v>
      </c>
      <c r="AU105" s="294" t="str">
        <f t="shared" si="269"/>
        <v>NA</v>
      </c>
      <c r="AV105" s="353" t="str">
        <f t="shared" si="270"/>
        <v>1R x 0.6/1kV x 3C x 25 Sqmm</v>
      </c>
      <c r="AW105" s="353" t="str">
        <f t="shared" si="271"/>
        <v>1R x 0.6/1kV x 3C x 25 Sqmm</v>
      </c>
      <c r="AX105" s="294">
        <f t="shared" si="272"/>
        <v>146</v>
      </c>
      <c r="AY105" s="354"/>
    </row>
    <row r="106" spans="1:51" ht="19.5" customHeight="1">
      <c r="A106" s="285">
        <f t="shared" si="273"/>
        <v>73</v>
      </c>
      <c r="B106" s="285" t="s">
        <v>382</v>
      </c>
      <c r="C106" s="368" t="str">
        <f t="shared" si="254"/>
        <v>PMCC-1</v>
      </c>
      <c r="D106" s="244" t="s">
        <v>439</v>
      </c>
      <c r="E106" s="352" t="s">
        <v>410</v>
      </c>
      <c r="F106" s="285" t="s">
        <v>29</v>
      </c>
      <c r="G106" s="285" t="s">
        <v>298</v>
      </c>
      <c r="H106" s="366">
        <v>0.5</v>
      </c>
      <c r="I106" s="285" t="s">
        <v>299</v>
      </c>
      <c r="J106" s="285" t="s">
        <v>313</v>
      </c>
      <c r="K106" s="309">
        <v>230</v>
      </c>
      <c r="L106" s="294">
        <v>0.85</v>
      </c>
      <c r="M106" s="304">
        <v>0.95</v>
      </c>
      <c r="N106" s="287">
        <f t="shared" si="255"/>
        <v>2.6921523758244716</v>
      </c>
      <c r="O106" s="287">
        <f t="shared" si="211"/>
        <v>0</v>
      </c>
      <c r="P106" s="294" t="str">
        <f t="shared" si="256"/>
        <v>0.00</v>
      </c>
      <c r="Q106" s="304">
        <v>65</v>
      </c>
      <c r="R106" s="304">
        <v>0</v>
      </c>
      <c r="S106" s="304">
        <f t="shared" si="257"/>
        <v>0</v>
      </c>
      <c r="T106" s="294" t="s">
        <v>131</v>
      </c>
      <c r="U106" s="304" t="s">
        <v>302</v>
      </c>
      <c r="V106" s="294">
        <v>4</v>
      </c>
      <c r="W106" s="294" t="str">
        <f t="shared" si="258"/>
        <v>3C X 4</v>
      </c>
      <c r="X106" s="294" t="str">
        <f t="shared" si="259"/>
        <v>3C X 4</v>
      </c>
      <c r="Y106" s="294" t="s">
        <v>314</v>
      </c>
      <c r="Z106" s="288">
        <f>IF(T106="AIR",VLOOKUP(W106,'Catalogue Aluminium'!$B$9:$G$91,2,FALSE),IF(T106="GROUND",VLOOKUP(W106,'Catalogue Aluminium'!$B$9:$G$91,3,FALSE),IF(T106="DUCT",VLOOKUP(W106,'Catalogue Aluminium'!$B$9:$G$91,4,FALSE),IF(T106="TRENCH",VLOOKUP(W106,'Catalogue Aluminium'!$B$9:$G$91,2,FALSE)))))</f>
        <v>38</v>
      </c>
      <c r="AA106" s="295">
        <f>VLOOKUP(W106,'Catalogue Aluminium'!$B$9:$G$91,5,FALSE)</f>
        <v>5.9</v>
      </c>
      <c r="AB106" s="295">
        <f>VLOOKUP(W106,'Catalogue Aluminium'!$B$9:$G$91,6,FALSE)</f>
        <v>9.4700000000000006E-2</v>
      </c>
      <c r="AC106" s="294">
        <f t="shared" si="277"/>
        <v>20</v>
      </c>
      <c r="AD106" s="294">
        <v>85</v>
      </c>
      <c r="AE106" s="294">
        <f>10</f>
        <v>10</v>
      </c>
      <c r="AF106" s="294">
        <v>8</v>
      </c>
      <c r="AG106" s="294">
        <f t="shared" si="261"/>
        <v>13</v>
      </c>
      <c r="AH106" s="311">
        <f t="shared" si="262"/>
        <v>136</v>
      </c>
      <c r="AI106" s="288">
        <f>IF(T106="AIR",'Catalogue Aluminium'!$K$9,IF(T106="TRENCH",'Catalogue Aluminium'!$K$12,"NA"))</f>
        <v>0.89</v>
      </c>
      <c r="AJ106" s="287">
        <f>IF(T106="Air",(IF(U106="1C",'Catalogue Aluminium'!$L$9,'Catalogue Aluminium'!$M$9)),IF(T106="DUCT",(IF($U106="1C",'Catalogue Aluminium'!$L$10,'Catalogue Aluminium'!$M$10)),IF(T106="GROUND",(IF($U106="1C",'Catalogue Aluminium'!$L$11,'Catalogue Aluminium'!$M$11)),IF(T106="TRENCH",(IF($U106="1C",'Catalogue Aluminium'!$L$12,'Catalogue Aluminium'!$M$12))))))</f>
        <v>0.66</v>
      </c>
      <c r="AK106" s="288" t="str">
        <f>IF(T106="Air",'Catalogue Aluminium'!$N$9,IF(T106="GROUND",'Catalogue Aluminium'!$N$10,IF(T106="DUCT",'Catalogue Aluminium'!$N$11,IF(T106="TRENCH",'Catalogue Aluminium'!$N$12,"NA"))))</f>
        <v>NA</v>
      </c>
      <c r="AL106" s="288" t="str">
        <f>IF(T106="Air",(IF(U106="1C",'Catalogue Aluminium'!$O$9,'Catalogue Aluminium'!$P$9)),IF(T106="DUCT",(IF($U106="1C",'Catalogue Aluminium'!$O$10,'Catalogue Aluminium'!$P$10)),IF(T106="GROUND",(IF($U106="1C",'Catalogue Aluminium'!$O$11,'Catalogue Aluminium'!$P$11)),IF(T106="TRENCH",(IF($U106="1C",'Catalogue Aluminium'!$O$12,'Catalogue Aluminium'!$P$12))))))</f>
        <v>NA</v>
      </c>
      <c r="AM106" s="288" t="str">
        <f>IF(T106="AIR","NA",IF(T106="TRENCH","NA",IF(T106="DUCT",IF(U106="1C",VLOOKUP(V106,'Catalogue Aluminium'!$Q$9:$S$28,2,FALSE),VLOOKUP(V106,'Catalogue Aluminium'!$Q$9:$S$28,3)),IF(T106="GROUND",IF(U106="1C",VLOOKUP(V106,'Catalogue Aluminium'!$Q$9:$S$28,2,FALSE),VLOOKUP(V106,'Catalogue Aluminium'!$Q$9:$S$28,3))))))</f>
        <v>NA</v>
      </c>
      <c r="AN106" s="312">
        <f t="shared" si="263"/>
        <v>0.58740000000000003</v>
      </c>
      <c r="AO106" s="304">
        <f t="shared" si="264"/>
        <v>22.321200000000001</v>
      </c>
      <c r="AP106" s="309">
        <f t="shared" si="220"/>
        <v>1</v>
      </c>
      <c r="AQ106" s="304" t="str">
        <f t="shared" si="265"/>
        <v>YES</v>
      </c>
      <c r="AR106" s="312">
        <f t="shared" si="266"/>
        <v>1.3965003190449996</v>
      </c>
      <c r="AS106" s="294" t="str">
        <f t="shared" si="267"/>
        <v>YES</v>
      </c>
      <c r="AT106" s="312" t="str">
        <f t="shared" si="268"/>
        <v>NA</v>
      </c>
      <c r="AU106" s="294" t="str">
        <f t="shared" si="269"/>
        <v>NA</v>
      </c>
      <c r="AV106" s="353" t="str">
        <f t="shared" si="270"/>
        <v>1R x 0.6/1kV x 3C x 4 Sqmm</v>
      </c>
      <c r="AW106" s="353" t="str">
        <f t="shared" si="271"/>
        <v>1R x 0.6/1kV x 3C x 4 Sqmm</v>
      </c>
      <c r="AX106" s="294">
        <f t="shared" si="272"/>
        <v>136</v>
      </c>
      <c r="AY106" s="354"/>
    </row>
    <row r="107" spans="1:51" s="70" customFormat="1" ht="19.5" customHeight="1">
      <c r="A107" s="273"/>
      <c r="B107" s="273"/>
      <c r="C107" s="273"/>
      <c r="D107" s="357" t="s">
        <v>440</v>
      </c>
      <c r="E107" s="358"/>
      <c r="F107" s="359"/>
      <c r="G107" s="273"/>
      <c r="H107" s="281"/>
      <c r="I107" s="273"/>
      <c r="J107" s="273"/>
      <c r="K107" s="280"/>
      <c r="L107" s="275"/>
      <c r="M107" s="281"/>
      <c r="N107" s="274"/>
      <c r="O107" s="274"/>
      <c r="P107" s="275"/>
      <c r="Q107" s="281"/>
      <c r="R107" s="281"/>
      <c r="S107" s="281"/>
      <c r="T107" s="275"/>
      <c r="U107" s="281"/>
      <c r="V107" s="275"/>
      <c r="W107" s="275"/>
      <c r="X107" s="275"/>
      <c r="Y107" s="275"/>
      <c r="Z107" s="276"/>
      <c r="AA107" s="277"/>
      <c r="AB107" s="277"/>
      <c r="AC107" s="277"/>
      <c r="AD107" s="277"/>
      <c r="AE107" s="277"/>
      <c r="AF107" s="277"/>
      <c r="AG107" s="277"/>
      <c r="AH107" s="277"/>
      <c r="AI107" s="276"/>
      <c r="AJ107" s="274"/>
      <c r="AK107" s="276"/>
      <c r="AL107" s="276"/>
      <c r="AM107" s="276"/>
      <c r="AN107" s="282"/>
      <c r="AO107" s="281"/>
      <c r="AP107" s="280"/>
      <c r="AQ107" s="281"/>
      <c r="AR107" s="282"/>
      <c r="AS107" s="275"/>
      <c r="AT107" s="282"/>
      <c r="AU107" s="282"/>
      <c r="AV107" s="283"/>
      <c r="AW107" s="283"/>
      <c r="AX107" s="275"/>
      <c r="AY107" s="284"/>
    </row>
    <row r="108" spans="1:51" s="75" customFormat="1" ht="20.149999999999999" hidden="1" customHeight="1">
      <c r="A108" s="262" t="s">
        <v>303</v>
      </c>
      <c r="B108" s="262" t="s">
        <v>382</v>
      </c>
      <c r="C108" s="262" t="str">
        <f t="shared" ref="C108:C113" si="279">$D$6</f>
        <v>PMCC-1</v>
      </c>
      <c r="D108" s="290" t="s">
        <v>441</v>
      </c>
      <c r="E108" s="346" t="s">
        <v>310</v>
      </c>
      <c r="F108" s="262" t="s">
        <v>29</v>
      </c>
      <c r="G108" s="262" t="s">
        <v>311</v>
      </c>
      <c r="H108" s="258">
        <v>6</v>
      </c>
      <c r="I108" s="262" t="s">
        <v>299</v>
      </c>
      <c r="J108" s="262" t="s">
        <v>300</v>
      </c>
      <c r="K108" s="259">
        <v>400</v>
      </c>
      <c r="L108" s="264">
        <v>0.82</v>
      </c>
      <c r="M108" s="258">
        <v>0.89599999999999991</v>
      </c>
      <c r="N108" s="263">
        <f t="shared" ref="N108:N125" si="280">IF(I108="kVA",IF(J108="3Ph",(H108*1000/(1.732*M108*K108)),(H108*1000/(M108*K108))),IF(I108="kW",IF(J108="3Ph",(H108*1000/(1.732*M108*K108*L108)),(H108*1000/(M108*K108*L108)))))</f>
        <v>11.78749466890908</v>
      </c>
      <c r="O108" s="263">
        <f t="shared" si="211"/>
        <v>70.724968013454486</v>
      </c>
      <c r="P108" s="264">
        <f t="shared" ref="P108:P125" si="281">IF(G108="MOTOR",0.2,"0.00")</f>
        <v>0.2</v>
      </c>
      <c r="Q108" s="258">
        <v>65</v>
      </c>
      <c r="R108" s="258">
        <v>0</v>
      </c>
      <c r="S108" s="258">
        <f t="shared" ref="S108:S125" si="282">(Q108*1000*SQRT(R108)/143)</f>
        <v>0</v>
      </c>
      <c r="T108" s="264" t="s">
        <v>131</v>
      </c>
      <c r="U108" s="258" t="s">
        <v>302</v>
      </c>
      <c r="V108" s="264">
        <v>25</v>
      </c>
      <c r="W108" s="264" t="str">
        <f t="shared" ref="W108:W125" si="283">CONCATENATE(U108," X ",V108)</f>
        <v>3C X 25</v>
      </c>
      <c r="X108" s="264" t="str">
        <f t="shared" ref="X108:X125" si="284">(IF(J108="1Ph",W108,IF(J108="3Ph",(IF(G108="MOTOR",(CONCATENATE(W108,"+PE")),W108)))))</f>
        <v>3C X 25+PE</v>
      </c>
      <c r="Y108" s="264" t="s">
        <v>314</v>
      </c>
      <c r="Z108" s="265">
        <f>IF(T108="AIR",VLOOKUP(W108,'Catalogue Aluminium'!$B$9:$G$91,2,FALSE),IF(T108="GROUND",VLOOKUP(W108,'Catalogue Aluminium'!$B$9:$G$91,3,FALSE),IF(T108="DUCT",VLOOKUP(W108,'Catalogue Aluminium'!$B$9:$G$91,4,FALSE),IF(T108="TRENCH",VLOOKUP(W108,'Catalogue Aluminium'!$B$9:$G$91,2,FALSE)))))</f>
        <v>95</v>
      </c>
      <c r="AA108" s="266">
        <f>VLOOKUP(W108,'Catalogue Aluminium'!$B$9:$G$91,5,FALSE)</f>
        <v>1.54</v>
      </c>
      <c r="AB108" s="266">
        <f>VLOOKUP(W108,'Catalogue Aluminium'!$B$9:$G$91,6,FALSE)</f>
        <v>8.1600000000000006E-2</v>
      </c>
      <c r="AC108" s="264">
        <f>35+3</f>
        <v>38</v>
      </c>
      <c r="AD108" s="264">
        <f>11+34+48+35+30+11+24+(15+3+26)</f>
        <v>237</v>
      </c>
      <c r="AE108" s="322">
        <f t="shared" ref="AE108:AE122" si="285">11+8+8+11</f>
        <v>38</v>
      </c>
      <c r="AF108" s="264">
        <v>8</v>
      </c>
      <c r="AG108" s="264">
        <f t="shared" ref="AG108:AG125" si="286">ROUNDUP((SUM(AC108:AF108)*0.1),0)</f>
        <v>33</v>
      </c>
      <c r="AH108" s="267"/>
      <c r="AI108" s="265">
        <f>IF(T108="AIR",'Catalogue Aluminium'!$K$9,IF(T108="TRENCH",'Catalogue Aluminium'!$K$12,"NA"))</f>
        <v>0.89</v>
      </c>
      <c r="AJ108" s="263">
        <f>IF(T108="Air",(IF(U108="1C",'Catalogue Aluminium'!$L$9,'Catalogue Aluminium'!$M$9)),IF(T108="DUCT",(IF($U108="1C",'Catalogue Aluminium'!$L$10,'Catalogue Aluminium'!$M$10)),IF(T108="GROUND",(IF($U108="1C",'Catalogue Aluminium'!$L$11,'Catalogue Aluminium'!$M$11)),IF(T108="TRENCH",(IF($U108="1C",'Catalogue Aluminium'!$L$12,'Catalogue Aluminium'!$M$12))))))</f>
        <v>0.66</v>
      </c>
      <c r="AK108" s="265" t="str">
        <f>IF(T108="Air",'Catalogue Aluminium'!$N$9,IF(T108="GROUND",'Catalogue Aluminium'!$N$10,IF(T108="DUCT",'Catalogue Aluminium'!$N$11,IF(T108="TRENCH",'Catalogue Aluminium'!$N$12,"NA"))))</f>
        <v>NA</v>
      </c>
      <c r="AL108" s="265" t="str">
        <f>IF(T108="Air",(IF(U108="1C",'Catalogue Aluminium'!$O$9,'Catalogue Aluminium'!$P$9)),IF(T108="DUCT",(IF($U108="1C",'Catalogue Aluminium'!$O$10,'Catalogue Aluminium'!$P$10)),IF(T108="GROUND",(IF($U108="1C",'Catalogue Aluminium'!$O$11,'Catalogue Aluminium'!$P$11)),IF(T108="TRENCH",(IF($U108="1C",'Catalogue Aluminium'!$O$12,'Catalogue Aluminium'!$P$12))))))</f>
        <v>NA</v>
      </c>
      <c r="AM108" s="265" t="str">
        <f>IF(T108="AIR","NA",IF(T108="TRENCH","NA",IF(T108="DUCT",IF(U108="1C",VLOOKUP(V108,'Catalogue Aluminium'!$Q$9:$S$28,2,FALSE),VLOOKUP(V108,'Catalogue Aluminium'!$Q$9:$S$28,3)),IF(T108="GROUND",IF(U108="1C",VLOOKUP(V108,'Catalogue Aluminium'!$Q$9:$S$28,2,FALSE),VLOOKUP(V108,'Catalogue Aluminium'!$Q$9:$S$28,3))))))</f>
        <v>NA</v>
      </c>
      <c r="AN108" s="268">
        <f t="shared" ref="AN108:AN125" si="287">IF(T108="AIR",AI108*AJ108,IF(T108="TRENCH",AI108*AJ108,IF(T108="DUCT",AJ108*AK108*AL108*AM108,IF(T108="GROUND",AJ108*AK108*AL108*AM108))))</f>
        <v>0.58740000000000003</v>
      </c>
      <c r="AO108" s="258">
        <f t="shared" ref="AO108:AO125" si="288">Z108*AN108</f>
        <v>55.803000000000004</v>
      </c>
      <c r="AP108" s="259">
        <f t="shared" si="220"/>
        <v>1</v>
      </c>
      <c r="AQ108" s="258" t="str">
        <f t="shared" ref="AQ108:AQ125" si="289">IF(AO108*AP108&gt;=N108,"YES","NO")</f>
        <v>YES</v>
      </c>
      <c r="AR108" s="268">
        <f t="shared" ref="AR108:AR125" si="290">SQRT(3)*AH108*N108*((AA108*L108)+(AB108*SIN(ACOS(L108))))*100/(AP108*K108*1000)</f>
        <v>0</v>
      </c>
      <c r="AS108" s="349" t="str">
        <f t="shared" ref="AS108:AS125" si="291">IF(G108="INCOMER",(IF(AR108&lt;=2,"YES","NO")),IF(G108="POWER",(IF(AR108&lt;=2.5,"YES","NO")),IF(G108="MOTOR",(IF(AR108&lt;=3,"YES","NO")))))</f>
        <v>YES</v>
      </c>
      <c r="AT108" s="350">
        <f>IF(G108="MOTOR",(SQRT(3)*AH108*O108*((AA108*P108)+(AB108*SIN(ACOS(P108))))*100/(AP108*K108*1000)),"NA")</f>
        <v>0</v>
      </c>
      <c r="AU108" s="264" t="str">
        <f t="shared" ref="AU108:AU125" si="292">IF(G108="MOTOR",IF(AT108&lt;=15,"YES","NO"),"NA")</f>
        <v>YES</v>
      </c>
      <c r="AV108" s="269" t="str">
        <f t="shared" ref="AV108:AV125" si="293">IF(U108="1C",CONCATENATE(AP108,"R x ",Y108,"kV x ",U108," x ",V108," Sqmm/Phase"),CONCATENATE(AP108,"R x ",0.6,"/1kV x ",U108," x ",V108," Sqmm"))</f>
        <v>1R x 0.6/1kV x 3C x 25 Sqmm</v>
      </c>
      <c r="AW108" s="269" t="str">
        <f t="shared" ref="AW108:AW125" si="294">IF(U108="1C",CONCATENATE(AP108,"R x ",Y108,"kV x ",U108," x ",V108," Sqmm/Phase"),CONCATENATE(AP108,"R x ",0.6,"/1kV x ",U108," x ",V108,(IF(G108="MOTOR","+PE",""))," Sqmm"))</f>
        <v>1R x 0.6/1kV x 3C x 25+PE Sqmm</v>
      </c>
      <c r="AX108" s="264"/>
      <c r="AY108" s="270"/>
    </row>
    <row r="109" spans="1:51" s="75" customFormat="1" ht="20.149999999999999" hidden="1" customHeight="1">
      <c r="A109" s="262" t="s">
        <v>303</v>
      </c>
      <c r="B109" s="262" t="s">
        <v>382</v>
      </c>
      <c r="C109" s="262" t="str">
        <f t="shared" si="279"/>
        <v>PMCC-1</v>
      </c>
      <c r="D109" s="290" t="s">
        <v>442</v>
      </c>
      <c r="E109" s="346" t="s">
        <v>310</v>
      </c>
      <c r="F109" s="262" t="s">
        <v>28</v>
      </c>
      <c r="G109" s="262" t="s">
        <v>311</v>
      </c>
      <c r="H109" s="258">
        <v>4</v>
      </c>
      <c r="I109" s="262" t="s">
        <v>299</v>
      </c>
      <c r="J109" s="262" t="s">
        <v>300</v>
      </c>
      <c r="K109" s="259">
        <v>400</v>
      </c>
      <c r="L109" s="264">
        <v>0.79</v>
      </c>
      <c r="M109" s="258">
        <v>0.8859999999999999</v>
      </c>
      <c r="N109" s="263">
        <f t="shared" si="280"/>
        <v>8.2488099771798318</v>
      </c>
      <c r="O109" s="263">
        <f t="shared" si="211"/>
        <v>49.492859863078991</v>
      </c>
      <c r="P109" s="264">
        <f t="shared" si="281"/>
        <v>0.2</v>
      </c>
      <c r="Q109" s="258">
        <v>65</v>
      </c>
      <c r="R109" s="258">
        <v>0</v>
      </c>
      <c r="S109" s="258">
        <f t="shared" si="282"/>
        <v>0</v>
      </c>
      <c r="T109" s="264" t="s">
        <v>131</v>
      </c>
      <c r="U109" s="258" t="s">
        <v>302</v>
      </c>
      <c r="V109" s="264">
        <v>16</v>
      </c>
      <c r="W109" s="264" t="str">
        <f t="shared" si="283"/>
        <v>3C X 16</v>
      </c>
      <c r="X109" s="264" t="str">
        <f t="shared" si="284"/>
        <v>3C X 16+PE</v>
      </c>
      <c r="Y109" s="264" t="s">
        <v>314</v>
      </c>
      <c r="Z109" s="265">
        <f>IF(T109="AIR",VLOOKUP(W109,'Catalogue Aluminium'!$B$9:$G$91,2,FALSE),IF(T109="GROUND",VLOOKUP(W109,'Catalogue Aluminium'!$B$9:$G$91,3,FALSE),IF(T109="DUCT",VLOOKUP(W109,'Catalogue Aluminium'!$B$9:$G$91,4,FALSE),IF(T109="TRENCH",VLOOKUP(W109,'Catalogue Aluminium'!$B$9:$G$91,2,FALSE)))))</f>
        <v>70</v>
      </c>
      <c r="AA109" s="266">
        <f>VLOOKUP(W109,'Catalogue Aluminium'!$B$9:$G$91,5,FALSE)</f>
        <v>2.44</v>
      </c>
      <c r="AB109" s="266">
        <f>VLOOKUP(W109,'Catalogue Aluminium'!$B$9:$G$91,6,FALSE)</f>
        <v>8.1500000000000003E-2</v>
      </c>
      <c r="AC109" s="264">
        <f>26+3</f>
        <v>29</v>
      </c>
      <c r="AD109" s="264">
        <f t="shared" ref="AD109:AD110" si="295">11+34+48+35+30+11+24+(15+3+26)</f>
        <v>237</v>
      </c>
      <c r="AE109" s="322">
        <f t="shared" si="285"/>
        <v>38</v>
      </c>
      <c r="AF109" s="264">
        <v>8</v>
      </c>
      <c r="AG109" s="264">
        <f t="shared" si="286"/>
        <v>32</v>
      </c>
      <c r="AH109" s="267"/>
      <c r="AI109" s="265">
        <f>IF(T109="AIR",'Catalogue Aluminium'!$K$9,IF(T109="TRENCH",'Catalogue Aluminium'!$K$12,"NA"))</f>
        <v>0.89</v>
      </c>
      <c r="AJ109" s="263">
        <f>IF(T109="Air",(IF(U109="1C",'Catalogue Aluminium'!$L$9,'Catalogue Aluminium'!$M$9)),IF(T109="DUCT",(IF($U109="1C",'Catalogue Aluminium'!$L$10,'Catalogue Aluminium'!$M$10)),IF(T109="GROUND",(IF($U109="1C",'Catalogue Aluminium'!$L$11,'Catalogue Aluminium'!$M$11)),IF(T109="TRENCH",(IF($U109="1C",'Catalogue Aluminium'!$L$12,'Catalogue Aluminium'!$M$12))))))</f>
        <v>0.66</v>
      </c>
      <c r="AK109" s="265" t="str">
        <f>IF(T109="Air",'Catalogue Aluminium'!$N$9,IF(T109="GROUND",'Catalogue Aluminium'!$N$10,IF(T109="DUCT",'Catalogue Aluminium'!$N$11,IF(T109="TRENCH",'Catalogue Aluminium'!$N$12,"NA"))))</f>
        <v>NA</v>
      </c>
      <c r="AL109" s="265" t="str">
        <f>IF(T109="Air",(IF(U109="1C",'Catalogue Aluminium'!$O$9,'Catalogue Aluminium'!$P$9)),IF(T109="DUCT",(IF($U109="1C",'Catalogue Aluminium'!$O$10,'Catalogue Aluminium'!$P$10)),IF(T109="GROUND",(IF($U109="1C",'Catalogue Aluminium'!$O$11,'Catalogue Aluminium'!$P$11)),IF(T109="TRENCH",(IF($U109="1C",'Catalogue Aluminium'!$O$12,'Catalogue Aluminium'!$P$12))))))</f>
        <v>NA</v>
      </c>
      <c r="AM109" s="265" t="str">
        <f>IF(T109="AIR","NA",IF(T109="TRENCH","NA",IF(T109="DUCT",IF(U109="1C",VLOOKUP(V109,'Catalogue Aluminium'!$Q$9:$S$28,2,FALSE),VLOOKUP(V109,'Catalogue Aluminium'!$Q$9:$S$28,3)),IF(T109="GROUND",IF(U109="1C",VLOOKUP(V109,'Catalogue Aluminium'!$Q$9:$S$28,2,FALSE),VLOOKUP(V109,'Catalogue Aluminium'!$Q$9:$S$28,3))))))</f>
        <v>NA</v>
      </c>
      <c r="AN109" s="268">
        <f t="shared" si="287"/>
        <v>0.58740000000000003</v>
      </c>
      <c r="AO109" s="258">
        <f t="shared" si="288"/>
        <v>41.118000000000002</v>
      </c>
      <c r="AP109" s="259">
        <f t="shared" si="220"/>
        <v>1</v>
      </c>
      <c r="AQ109" s="258" t="str">
        <f t="shared" si="289"/>
        <v>YES</v>
      </c>
      <c r="AR109" s="268">
        <f t="shared" si="290"/>
        <v>0</v>
      </c>
      <c r="AS109" s="349" t="str">
        <f t="shared" si="291"/>
        <v>YES</v>
      </c>
      <c r="AT109" s="350">
        <f>IF(G109="MOTOR",(SQRT(3)*AH109*O109*((AA109*P109)+(AB109*SIN(ACOS(P109))))*100/(AP109*K109*1000)),"NA")</f>
        <v>0</v>
      </c>
      <c r="AU109" s="264" t="str">
        <f t="shared" si="292"/>
        <v>YES</v>
      </c>
      <c r="AV109" s="269" t="str">
        <f t="shared" si="293"/>
        <v>1R x 0.6/1kV x 3C x 16 Sqmm</v>
      </c>
      <c r="AW109" s="269" t="str">
        <f t="shared" si="294"/>
        <v>1R x 0.6/1kV x 3C x 16+PE Sqmm</v>
      </c>
      <c r="AX109" s="264"/>
      <c r="AY109" s="270"/>
    </row>
    <row r="110" spans="1:51" s="75" customFormat="1" ht="20.149999999999999" hidden="1" customHeight="1">
      <c r="A110" s="262" t="s">
        <v>303</v>
      </c>
      <c r="B110" s="262" t="s">
        <v>382</v>
      </c>
      <c r="C110" s="262" t="str">
        <f t="shared" si="279"/>
        <v>PMCC-1</v>
      </c>
      <c r="D110" s="290" t="s">
        <v>443</v>
      </c>
      <c r="E110" s="346" t="s">
        <v>310</v>
      </c>
      <c r="F110" s="262" t="s">
        <v>28</v>
      </c>
      <c r="G110" s="262" t="s">
        <v>298</v>
      </c>
      <c r="H110" s="258">
        <v>2</v>
      </c>
      <c r="I110" s="262" t="s">
        <v>299</v>
      </c>
      <c r="J110" s="262" t="s">
        <v>300</v>
      </c>
      <c r="K110" s="259">
        <v>400</v>
      </c>
      <c r="L110" s="264">
        <v>0.75</v>
      </c>
      <c r="M110" s="258">
        <v>0.85299999999999998</v>
      </c>
      <c r="N110" s="263">
        <f t="shared" si="280"/>
        <v>4.5124439667270435</v>
      </c>
      <c r="O110" s="263">
        <f t="shared" si="211"/>
        <v>0</v>
      </c>
      <c r="P110" s="264" t="str">
        <f t="shared" si="281"/>
        <v>0.00</v>
      </c>
      <c r="Q110" s="258">
        <v>65</v>
      </c>
      <c r="R110" s="258">
        <v>0</v>
      </c>
      <c r="S110" s="258">
        <f t="shared" si="282"/>
        <v>0</v>
      </c>
      <c r="T110" s="264" t="s">
        <v>131</v>
      </c>
      <c r="U110" s="258" t="s">
        <v>377</v>
      </c>
      <c r="V110" s="371">
        <v>6</v>
      </c>
      <c r="W110" s="264" t="str">
        <f t="shared" si="283"/>
        <v>4C X 6</v>
      </c>
      <c r="X110" s="264" t="str">
        <f t="shared" si="284"/>
        <v>4C X 6</v>
      </c>
      <c r="Y110" s="264" t="s">
        <v>314</v>
      </c>
      <c r="Z110" s="265">
        <f>IF(T110="AIR",VLOOKUP(W110,'Catalogue Aluminium'!$B$9:$G$91,2,FALSE),IF(T110="GROUND",VLOOKUP(W110,'Catalogue Aluminium'!$B$9:$G$91,3,FALSE),IF(T110="DUCT",VLOOKUP(W110,'Catalogue Aluminium'!$B$9:$G$91,4,FALSE),IF(T110="TRENCH",VLOOKUP(W110,'Catalogue Aluminium'!$B$9:$G$91,2,FALSE)))))</f>
        <v>51</v>
      </c>
      <c r="AA110" s="266">
        <f>VLOOKUP(W110,'Catalogue Aluminium'!$B$9:$G$91,5,FALSE)</f>
        <v>3.94</v>
      </c>
      <c r="AB110" s="266">
        <f>VLOOKUP(W110,'Catalogue Aluminium'!$B$9:$G$91,6,FALSE)</f>
        <v>9.0200000000000002E-2</v>
      </c>
      <c r="AC110" s="264">
        <f>26+3</f>
        <v>29</v>
      </c>
      <c r="AD110" s="264">
        <f t="shared" si="295"/>
        <v>237</v>
      </c>
      <c r="AE110" s="322">
        <f t="shared" si="285"/>
        <v>38</v>
      </c>
      <c r="AF110" s="264">
        <v>8</v>
      </c>
      <c r="AG110" s="264">
        <f t="shared" si="286"/>
        <v>32</v>
      </c>
      <c r="AH110" s="267"/>
      <c r="AI110" s="265">
        <f>IF(T110="AIR",'Catalogue Aluminium'!$K$9,IF(T110="TRENCH",'Catalogue Aluminium'!$K$12,"NA"))</f>
        <v>0.89</v>
      </c>
      <c r="AJ110" s="263">
        <f>IF(T110="Air",(IF(U110="1C",'Catalogue Aluminium'!$L$9,'Catalogue Aluminium'!$M$9)),IF(T110="DUCT",(IF($U110="1C",'Catalogue Aluminium'!$L$10,'Catalogue Aluminium'!$M$10)),IF(T110="GROUND",(IF($U110="1C",'Catalogue Aluminium'!$L$11,'Catalogue Aluminium'!$M$11)),IF(T110="TRENCH",(IF($U110="1C",'Catalogue Aluminium'!$L$12,'Catalogue Aluminium'!$M$12))))))</f>
        <v>0.66</v>
      </c>
      <c r="AK110" s="265" t="str">
        <f>IF(T110="Air",'Catalogue Aluminium'!$N$9,IF(T110="GROUND",'Catalogue Aluminium'!$N$10,IF(T110="DUCT",'Catalogue Aluminium'!$N$11,IF(T110="TRENCH",'Catalogue Aluminium'!$N$12,"NA"))))</f>
        <v>NA</v>
      </c>
      <c r="AL110" s="265" t="str">
        <f>IF(T110="Air",(IF(U110="1C",'Catalogue Aluminium'!$O$9,'Catalogue Aluminium'!$P$9)),IF(T110="DUCT",(IF($U110="1C",'Catalogue Aluminium'!$O$10,'Catalogue Aluminium'!$P$10)),IF(T110="GROUND",(IF($U110="1C",'Catalogue Aluminium'!$O$11,'Catalogue Aluminium'!$P$11)),IF(T110="TRENCH",(IF($U110="1C",'Catalogue Aluminium'!$O$12,'Catalogue Aluminium'!$P$12))))))</f>
        <v>NA</v>
      </c>
      <c r="AM110" s="265" t="str">
        <f>IF(T110="AIR","NA",IF(T110="TRENCH","NA",IF(T110="DUCT",IF(U110="1C",VLOOKUP(V110,'Catalogue Aluminium'!$Q$9:$S$28,2,FALSE),VLOOKUP(V110,'Catalogue Aluminium'!$Q$9:$S$28,3)),IF(T110="GROUND",IF(U110="1C",VLOOKUP(V110,'Catalogue Aluminium'!$Q$9:$S$28,2,FALSE),VLOOKUP(V110,'Catalogue Aluminium'!$Q$9:$S$28,3))))))</f>
        <v>NA</v>
      </c>
      <c r="AN110" s="268">
        <f t="shared" si="287"/>
        <v>0.58740000000000003</v>
      </c>
      <c r="AO110" s="258">
        <f t="shared" si="288"/>
        <v>29.957400000000003</v>
      </c>
      <c r="AP110" s="259">
        <f t="shared" si="220"/>
        <v>1</v>
      </c>
      <c r="AQ110" s="258" t="str">
        <f t="shared" si="289"/>
        <v>YES</v>
      </c>
      <c r="AR110" s="268">
        <f t="shared" si="290"/>
        <v>0</v>
      </c>
      <c r="AS110" s="349" t="str">
        <f t="shared" si="291"/>
        <v>YES</v>
      </c>
      <c r="AT110" s="268" t="str">
        <f>IF(G110="MOTOR",(SQRT(3)*AH110*O110*((AA110*L110)+(AB110*SIN(ACOS(L110))))*100/(AP110*K110*1000)),"NA")</f>
        <v>NA</v>
      </c>
      <c r="AU110" s="264" t="str">
        <f t="shared" si="292"/>
        <v>NA</v>
      </c>
      <c r="AV110" s="269" t="str">
        <f t="shared" si="293"/>
        <v>1R x 0.6/1kV x 4C x 6 Sqmm</v>
      </c>
      <c r="AW110" s="269" t="str">
        <f t="shared" si="294"/>
        <v>1R x 0.6/1kV x 4C x 6 Sqmm</v>
      </c>
      <c r="AX110" s="264"/>
      <c r="AY110" s="270"/>
    </row>
    <row r="111" spans="1:51" s="75" customFormat="1" ht="20.149999999999999" hidden="1" customHeight="1">
      <c r="A111" s="262" t="s">
        <v>303</v>
      </c>
      <c r="B111" s="262" t="s">
        <v>382</v>
      </c>
      <c r="C111" s="262" t="str">
        <f t="shared" si="279"/>
        <v>PMCC-1</v>
      </c>
      <c r="D111" s="290" t="s">
        <v>444</v>
      </c>
      <c r="E111" s="346" t="s">
        <v>310</v>
      </c>
      <c r="F111" s="262" t="s">
        <v>29</v>
      </c>
      <c r="G111" s="262" t="s">
        <v>298</v>
      </c>
      <c r="H111" s="258">
        <v>6</v>
      </c>
      <c r="I111" s="262" t="s">
        <v>299</v>
      </c>
      <c r="J111" s="262" t="s">
        <v>300</v>
      </c>
      <c r="K111" s="259">
        <v>400</v>
      </c>
      <c r="L111" s="264">
        <v>0.85</v>
      </c>
      <c r="M111" s="258">
        <v>0.95</v>
      </c>
      <c r="N111" s="263">
        <f t="shared" si="280"/>
        <v>10.725087409462388</v>
      </c>
      <c r="O111" s="263">
        <f t="shared" si="211"/>
        <v>0</v>
      </c>
      <c r="P111" s="264" t="str">
        <f t="shared" si="281"/>
        <v>0.00</v>
      </c>
      <c r="Q111" s="258">
        <v>65</v>
      </c>
      <c r="R111" s="258">
        <v>0</v>
      </c>
      <c r="S111" s="258">
        <f t="shared" si="282"/>
        <v>0</v>
      </c>
      <c r="T111" s="264" t="s">
        <v>131</v>
      </c>
      <c r="U111" s="258" t="s">
        <v>390</v>
      </c>
      <c r="V111" s="264">
        <v>25</v>
      </c>
      <c r="W111" s="264" t="str">
        <f t="shared" si="283"/>
        <v>3.5C X 25</v>
      </c>
      <c r="X111" s="264" t="str">
        <f t="shared" si="284"/>
        <v>3.5C X 25</v>
      </c>
      <c r="Y111" s="264" t="s">
        <v>314</v>
      </c>
      <c r="Z111" s="265">
        <f>IF(T111="AIR",VLOOKUP(W111,'Catalogue Aluminium'!$B$9:$G$91,2,FALSE),IF(T111="GROUND",VLOOKUP(W111,'Catalogue Aluminium'!$B$9:$G$91,3,FALSE),IF(T111="DUCT",VLOOKUP(W111,'Catalogue Aluminium'!$B$9:$G$91,4,FALSE),IF(T111="TRENCH",VLOOKUP(W111,'Catalogue Aluminium'!$B$9:$G$91,2,FALSE)))))</f>
        <v>95</v>
      </c>
      <c r="AA111" s="266">
        <f>VLOOKUP(W111,'Catalogue Aluminium'!$B$9:$G$91,5,FALSE)</f>
        <v>1.54</v>
      </c>
      <c r="AB111" s="266">
        <f>VLOOKUP(W111,'Catalogue Aluminium'!$B$9:$G$91,6,FALSE)</f>
        <v>8.1600000000000006E-2</v>
      </c>
      <c r="AC111" s="264">
        <f>35+3</f>
        <v>38</v>
      </c>
      <c r="AD111" s="264">
        <f>11+34+48+35+30+11+24+(15+18+3+26)</f>
        <v>255</v>
      </c>
      <c r="AE111" s="322">
        <f t="shared" si="285"/>
        <v>38</v>
      </c>
      <c r="AF111" s="264">
        <v>8</v>
      </c>
      <c r="AG111" s="264">
        <f t="shared" si="286"/>
        <v>34</v>
      </c>
      <c r="AH111" s="267"/>
      <c r="AI111" s="265">
        <f>IF(T111="AIR",'Catalogue Aluminium'!$K$9,IF(T111="TRENCH",'Catalogue Aluminium'!$K$12,"NA"))</f>
        <v>0.89</v>
      </c>
      <c r="AJ111" s="263">
        <f>IF(T111="Air",(IF(U111="1C",'Catalogue Aluminium'!$L$9,'Catalogue Aluminium'!$M$9)),IF(T111="DUCT",(IF($U111="1C",'Catalogue Aluminium'!$L$10,'Catalogue Aluminium'!$M$10)),IF(T111="GROUND",(IF($U111="1C",'Catalogue Aluminium'!$L$11,'Catalogue Aluminium'!$M$11)),IF(T111="TRENCH",(IF($U111="1C",'Catalogue Aluminium'!$L$12,'Catalogue Aluminium'!$M$12))))))</f>
        <v>0.66</v>
      </c>
      <c r="AK111" s="265" t="str">
        <f>IF(T111="Air",'Catalogue Aluminium'!$N$9,IF(T111="GROUND",'Catalogue Aluminium'!$N$10,IF(T111="DUCT",'Catalogue Aluminium'!$N$11,IF(T111="TRENCH",'Catalogue Aluminium'!$N$12,"NA"))))</f>
        <v>NA</v>
      </c>
      <c r="AL111" s="265" t="str">
        <f>IF(T111="Air",(IF(U111="1C",'Catalogue Aluminium'!$O$9,'Catalogue Aluminium'!$P$9)),IF(T111="DUCT",(IF($U111="1C",'Catalogue Aluminium'!$O$10,'Catalogue Aluminium'!$P$10)),IF(T111="GROUND",(IF($U111="1C",'Catalogue Aluminium'!$O$11,'Catalogue Aluminium'!$P$11)),IF(T111="TRENCH",(IF($U111="1C",'Catalogue Aluminium'!$O$12,'Catalogue Aluminium'!$P$12))))))</f>
        <v>NA</v>
      </c>
      <c r="AM111" s="265" t="str">
        <f>IF(T111="AIR","NA",IF(T111="TRENCH","NA",IF(T111="DUCT",IF(U111="1C",VLOOKUP(V111,'Catalogue Aluminium'!$Q$9:$S$28,2,FALSE),VLOOKUP(V111,'Catalogue Aluminium'!$Q$9:$S$28,3)),IF(T111="GROUND",IF(U111="1C",VLOOKUP(V111,'Catalogue Aluminium'!$Q$9:$S$28,2,FALSE),VLOOKUP(V111,'Catalogue Aluminium'!$Q$9:$S$28,3))))))</f>
        <v>NA</v>
      </c>
      <c r="AN111" s="268">
        <f t="shared" si="287"/>
        <v>0.58740000000000003</v>
      </c>
      <c r="AO111" s="258">
        <f t="shared" si="288"/>
        <v>55.803000000000004</v>
      </c>
      <c r="AP111" s="259">
        <f t="shared" si="220"/>
        <v>1</v>
      </c>
      <c r="AQ111" s="258" t="str">
        <f t="shared" si="289"/>
        <v>YES</v>
      </c>
      <c r="AR111" s="268">
        <f t="shared" si="290"/>
        <v>0</v>
      </c>
      <c r="AS111" s="349" t="str">
        <f t="shared" si="291"/>
        <v>YES</v>
      </c>
      <c r="AT111" s="268" t="str">
        <f>IF(G111="MOTOR",(SQRT(3)*AH111*O111*((AA111*L111)+(AB111*SIN(ACOS(L111))))*100/(AP111*K111*1000)),"NA")</f>
        <v>NA</v>
      </c>
      <c r="AU111" s="264" t="str">
        <f t="shared" si="292"/>
        <v>NA</v>
      </c>
      <c r="AV111" s="269" t="str">
        <f t="shared" si="293"/>
        <v>1R x 0.6/1kV x 3.5C x 25 Sqmm</v>
      </c>
      <c r="AW111" s="269" t="str">
        <f t="shared" si="294"/>
        <v>1R x 0.6/1kV x 3.5C x 25 Sqmm</v>
      </c>
      <c r="AX111" s="264"/>
      <c r="AY111" s="270"/>
    </row>
    <row r="112" spans="1:51" s="75" customFormat="1" ht="20.149999999999999" hidden="1" customHeight="1">
      <c r="A112" s="262" t="s">
        <v>303</v>
      </c>
      <c r="B112" s="262" t="s">
        <v>382</v>
      </c>
      <c r="C112" s="262" t="str">
        <f t="shared" si="279"/>
        <v>PMCC-1</v>
      </c>
      <c r="D112" s="290" t="s">
        <v>445</v>
      </c>
      <c r="E112" s="346" t="s">
        <v>310</v>
      </c>
      <c r="F112" s="262" t="s">
        <v>29</v>
      </c>
      <c r="G112" s="262" t="s">
        <v>311</v>
      </c>
      <c r="H112" s="258">
        <v>4</v>
      </c>
      <c r="I112" s="262" t="s">
        <v>299</v>
      </c>
      <c r="J112" s="262" t="s">
        <v>300</v>
      </c>
      <c r="K112" s="259">
        <v>400</v>
      </c>
      <c r="L112" s="264">
        <v>0.85</v>
      </c>
      <c r="M112" s="258">
        <v>0.95</v>
      </c>
      <c r="N112" s="263">
        <f t="shared" si="280"/>
        <v>7.1500582729749258</v>
      </c>
      <c r="O112" s="263">
        <f t="shared" si="211"/>
        <v>42.900349637849558</v>
      </c>
      <c r="P112" s="264">
        <f t="shared" si="281"/>
        <v>0.2</v>
      </c>
      <c r="Q112" s="258">
        <v>65</v>
      </c>
      <c r="R112" s="258">
        <v>0</v>
      </c>
      <c r="S112" s="258">
        <f t="shared" si="282"/>
        <v>0</v>
      </c>
      <c r="T112" s="264" t="s">
        <v>131</v>
      </c>
      <c r="U112" s="258" t="s">
        <v>302</v>
      </c>
      <c r="V112" s="264">
        <v>16</v>
      </c>
      <c r="W112" s="264" t="str">
        <f t="shared" si="283"/>
        <v>3C X 16</v>
      </c>
      <c r="X112" s="264" t="str">
        <f t="shared" si="284"/>
        <v>3C X 16+PE</v>
      </c>
      <c r="Y112" s="264" t="s">
        <v>314</v>
      </c>
      <c r="Z112" s="265">
        <f>IF(T112="AIR",VLOOKUP(W112,'Catalogue Aluminium'!$B$9:$G$91,2,FALSE),IF(T112="GROUND",VLOOKUP(W112,'Catalogue Aluminium'!$B$9:$G$91,3,FALSE),IF(T112="DUCT",VLOOKUP(W112,'Catalogue Aluminium'!$B$9:$G$91,4,FALSE),IF(T112="TRENCH",VLOOKUP(W112,'Catalogue Aluminium'!$B$9:$G$91,2,FALSE)))))</f>
        <v>70</v>
      </c>
      <c r="AA112" s="266">
        <f>VLOOKUP(W112,'Catalogue Aluminium'!$B$9:$G$91,5,FALSE)</f>
        <v>2.44</v>
      </c>
      <c r="AB112" s="266">
        <f>VLOOKUP(W112,'Catalogue Aluminium'!$B$9:$G$91,6,FALSE)</f>
        <v>8.1500000000000003E-2</v>
      </c>
      <c r="AC112" s="264">
        <f>35+3</f>
        <v>38</v>
      </c>
      <c r="AD112" s="264">
        <f t="shared" ref="AD112:AD113" si="296">11+34+48+35+30+11+24+(15+18+3+26)</f>
        <v>255</v>
      </c>
      <c r="AE112" s="322">
        <f t="shared" si="285"/>
        <v>38</v>
      </c>
      <c r="AF112" s="264">
        <v>8</v>
      </c>
      <c r="AG112" s="264">
        <f t="shared" si="286"/>
        <v>34</v>
      </c>
      <c r="AH112" s="267"/>
      <c r="AI112" s="265">
        <f>IF(T112="AIR",'Catalogue Aluminium'!$K$9,IF(T112="TRENCH",'Catalogue Aluminium'!$K$12,"NA"))</f>
        <v>0.89</v>
      </c>
      <c r="AJ112" s="263">
        <f>IF(T112="Air",(IF(U112="1C",'Catalogue Aluminium'!$L$9,'Catalogue Aluminium'!$M$9)),IF(T112="DUCT",(IF($U112="1C",'Catalogue Aluminium'!$L$10,'Catalogue Aluminium'!$M$10)),IF(T112="GROUND",(IF($U112="1C",'Catalogue Aluminium'!$L$11,'Catalogue Aluminium'!$M$11)),IF(T112="TRENCH",(IF($U112="1C",'Catalogue Aluminium'!$L$12,'Catalogue Aluminium'!$M$12))))))</f>
        <v>0.66</v>
      </c>
      <c r="AK112" s="265" t="str">
        <f>IF(T112="Air",'Catalogue Aluminium'!$N$9,IF(T112="GROUND",'Catalogue Aluminium'!$N$10,IF(T112="DUCT",'Catalogue Aluminium'!$N$11,IF(T112="TRENCH",'Catalogue Aluminium'!$N$12,"NA"))))</f>
        <v>NA</v>
      </c>
      <c r="AL112" s="265" t="str">
        <f>IF(T112="Air",(IF(U112="1C",'Catalogue Aluminium'!$O$9,'Catalogue Aluminium'!$P$9)),IF(T112="DUCT",(IF($U112="1C",'Catalogue Aluminium'!$O$10,'Catalogue Aluminium'!$P$10)),IF(T112="GROUND",(IF($U112="1C",'Catalogue Aluminium'!$O$11,'Catalogue Aluminium'!$P$11)),IF(T112="TRENCH",(IF($U112="1C",'Catalogue Aluminium'!$O$12,'Catalogue Aluminium'!$P$12))))))</f>
        <v>NA</v>
      </c>
      <c r="AM112" s="265" t="str">
        <f>IF(T112="AIR","NA",IF(T112="TRENCH","NA",IF(T112="DUCT",IF(U112="1C",VLOOKUP(V112,'Catalogue Aluminium'!$Q$9:$S$28,2,FALSE),VLOOKUP(V112,'Catalogue Aluminium'!$Q$9:$S$28,3)),IF(T112="GROUND",IF(U112="1C",VLOOKUP(V112,'Catalogue Aluminium'!$Q$9:$S$28,2,FALSE),VLOOKUP(V112,'Catalogue Aluminium'!$Q$9:$S$28,3))))))</f>
        <v>NA</v>
      </c>
      <c r="AN112" s="268">
        <f t="shared" si="287"/>
        <v>0.58740000000000003</v>
      </c>
      <c r="AO112" s="258">
        <f t="shared" si="288"/>
        <v>41.118000000000002</v>
      </c>
      <c r="AP112" s="259">
        <f t="shared" si="220"/>
        <v>1</v>
      </c>
      <c r="AQ112" s="258" t="str">
        <f t="shared" si="289"/>
        <v>YES</v>
      </c>
      <c r="AR112" s="268">
        <f t="shared" si="290"/>
        <v>0</v>
      </c>
      <c r="AS112" s="349" t="str">
        <f t="shared" si="291"/>
        <v>YES</v>
      </c>
      <c r="AT112" s="350">
        <f>IF(G112="MOTOR",(SQRT(3)*AH112*O112*((AA112*P112)+(AB112*SIN(ACOS(P112))))*100/(AP112*K112*1000)),"NA")</f>
        <v>0</v>
      </c>
      <c r="AU112" s="264" t="str">
        <f t="shared" si="292"/>
        <v>YES</v>
      </c>
      <c r="AV112" s="269" t="str">
        <f t="shared" si="293"/>
        <v>1R x 0.6/1kV x 3C x 16 Sqmm</v>
      </c>
      <c r="AW112" s="269" t="str">
        <f t="shared" si="294"/>
        <v>1R x 0.6/1kV x 3C x 16+PE Sqmm</v>
      </c>
      <c r="AX112" s="264"/>
      <c r="AY112" s="270"/>
    </row>
    <row r="113" spans="1:51" s="75" customFormat="1" ht="20.149999999999999" hidden="1" customHeight="1">
      <c r="A113" s="262" t="s">
        <v>303</v>
      </c>
      <c r="B113" s="262" t="s">
        <v>382</v>
      </c>
      <c r="C113" s="262" t="str">
        <f t="shared" si="279"/>
        <v>PMCC-1</v>
      </c>
      <c r="D113" s="290" t="s">
        <v>446</v>
      </c>
      <c r="E113" s="346" t="s">
        <v>310</v>
      </c>
      <c r="F113" s="262" t="s">
        <v>29</v>
      </c>
      <c r="G113" s="262" t="s">
        <v>298</v>
      </c>
      <c r="H113" s="258">
        <v>1.6</v>
      </c>
      <c r="I113" s="262" t="s">
        <v>299</v>
      </c>
      <c r="J113" s="262" t="s">
        <v>300</v>
      </c>
      <c r="K113" s="259">
        <v>400</v>
      </c>
      <c r="L113" s="264">
        <v>0.85</v>
      </c>
      <c r="M113" s="258">
        <v>0.95</v>
      </c>
      <c r="N113" s="263">
        <f t="shared" si="280"/>
        <v>2.8600233091899705</v>
      </c>
      <c r="O113" s="263">
        <f t="shared" si="211"/>
        <v>0</v>
      </c>
      <c r="P113" s="264" t="str">
        <f t="shared" si="281"/>
        <v>0.00</v>
      </c>
      <c r="Q113" s="258">
        <v>65</v>
      </c>
      <c r="R113" s="258">
        <v>0</v>
      </c>
      <c r="S113" s="258">
        <f t="shared" si="282"/>
        <v>0</v>
      </c>
      <c r="T113" s="264" t="s">
        <v>131</v>
      </c>
      <c r="U113" s="258" t="s">
        <v>377</v>
      </c>
      <c r="V113" s="264">
        <v>4</v>
      </c>
      <c r="W113" s="264" t="str">
        <f t="shared" si="283"/>
        <v>4C X 4</v>
      </c>
      <c r="X113" s="264" t="str">
        <f t="shared" si="284"/>
        <v>4C X 4</v>
      </c>
      <c r="Y113" s="264" t="s">
        <v>314</v>
      </c>
      <c r="Z113" s="265">
        <f>IF(T113="AIR",VLOOKUP(W113,'Catalogue Aluminium'!$B$9:$G$91,2,FALSE),IF(T113="GROUND",VLOOKUP(W113,'Catalogue Aluminium'!$B$9:$G$91,3,FALSE),IF(T113="DUCT",VLOOKUP(W113,'Catalogue Aluminium'!$B$9:$G$91,4,FALSE),IF(T113="TRENCH",VLOOKUP(W113,'Catalogue Aluminium'!$B$9:$G$91,2,FALSE)))))</f>
        <v>38</v>
      </c>
      <c r="AA113" s="266">
        <f>VLOOKUP(W113,'Catalogue Aluminium'!$B$9:$G$91,5,FALSE)</f>
        <v>5.9</v>
      </c>
      <c r="AB113" s="266">
        <f>VLOOKUP(W113,'Catalogue Aluminium'!$B$9:$G$91,6,FALSE)</f>
        <v>9.4700000000000006E-2</v>
      </c>
      <c r="AC113" s="264">
        <f>35+3</f>
        <v>38</v>
      </c>
      <c r="AD113" s="264">
        <f t="shared" si="296"/>
        <v>255</v>
      </c>
      <c r="AE113" s="322">
        <f t="shared" si="285"/>
        <v>38</v>
      </c>
      <c r="AF113" s="264">
        <v>8</v>
      </c>
      <c r="AG113" s="264">
        <f t="shared" si="286"/>
        <v>34</v>
      </c>
      <c r="AH113" s="267"/>
      <c r="AI113" s="265">
        <f>IF(T113="AIR",'Catalogue Aluminium'!$K$9,IF(T113="TRENCH",'Catalogue Aluminium'!$K$12,"NA"))</f>
        <v>0.89</v>
      </c>
      <c r="AJ113" s="263">
        <f>IF(T113="Air",(IF(U113="1C",'Catalogue Aluminium'!$L$9,'Catalogue Aluminium'!$M$9)),IF(T113="DUCT",(IF($U113="1C",'Catalogue Aluminium'!$L$10,'Catalogue Aluminium'!$M$10)),IF(T113="GROUND",(IF($U113="1C",'Catalogue Aluminium'!$L$11,'Catalogue Aluminium'!$M$11)),IF(T113="TRENCH",(IF($U113="1C",'Catalogue Aluminium'!$L$12,'Catalogue Aluminium'!$M$12))))))</f>
        <v>0.66</v>
      </c>
      <c r="AK113" s="265" t="str">
        <f>IF(T113="Air",'Catalogue Aluminium'!$N$9,IF(T113="GROUND",'Catalogue Aluminium'!$N$10,IF(T113="DUCT",'Catalogue Aluminium'!$N$11,IF(T113="TRENCH",'Catalogue Aluminium'!$N$12,"NA"))))</f>
        <v>NA</v>
      </c>
      <c r="AL113" s="265" t="str">
        <f>IF(T113="Air",(IF(U113="1C",'Catalogue Aluminium'!$O$9,'Catalogue Aluminium'!$P$9)),IF(T113="DUCT",(IF($U113="1C",'Catalogue Aluminium'!$O$10,'Catalogue Aluminium'!$P$10)),IF(T113="GROUND",(IF($U113="1C",'Catalogue Aluminium'!$O$11,'Catalogue Aluminium'!$P$11)),IF(T113="TRENCH",(IF($U113="1C",'Catalogue Aluminium'!$O$12,'Catalogue Aluminium'!$P$12))))))</f>
        <v>NA</v>
      </c>
      <c r="AM113" s="265" t="str">
        <f>IF(T113="AIR","NA",IF(T113="TRENCH","NA",IF(T113="DUCT",IF(U113="1C",VLOOKUP(V113,'Catalogue Aluminium'!$Q$9:$S$28,2,FALSE),VLOOKUP(V113,'Catalogue Aluminium'!$Q$9:$S$28,3)),IF(T113="GROUND",IF(U113="1C",VLOOKUP(V113,'Catalogue Aluminium'!$Q$9:$S$28,2,FALSE),VLOOKUP(V113,'Catalogue Aluminium'!$Q$9:$S$28,3))))))</f>
        <v>NA</v>
      </c>
      <c r="AN113" s="268">
        <f t="shared" si="287"/>
        <v>0.58740000000000003</v>
      </c>
      <c r="AO113" s="258">
        <f t="shared" si="288"/>
        <v>22.321200000000001</v>
      </c>
      <c r="AP113" s="259">
        <f t="shared" si="220"/>
        <v>1</v>
      </c>
      <c r="AQ113" s="258" t="str">
        <f t="shared" si="289"/>
        <v>YES</v>
      </c>
      <c r="AR113" s="268">
        <f t="shared" si="290"/>
        <v>0</v>
      </c>
      <c r="AS113" s="349" t="str">
        <f t="shared" si="291"/>
        <v>YES</v>
      </c>
      <c r="AT113" s="268" t="str">
        <f>IF(G113="MOTOR",(SQRT(3)*AH113*O113*((AA113*L113)+(AB113*SIN(ACOS(L113))))*100/(AP113*K113*1000)),"NA")</f>
        <v>NA</v>
      </c>
      <c r="AU113" s="264" t="str">
        <f t="shared" si="292"/>
        <v>NA</v>
      </c>
      <c r="AV113" s="269" t="str">
        <f t="shared" si="293"/>
        <v>1R x 0.6/1kV x 4C x 4 Sqmm</v>
      </c>
      <c r="AW113" s="269" t="str">
        <f t="shared" si="294"/>
        <v>1R x 0.6/1kV x 4C x 4 Sqmm</v>
      </c>
      <c r="AX113" s="264"/>
      <c r="AY113" s="270"/>
    </row>
    <row r="114" spans="1:51" ht="20.149999999999999" customHeight="1">
      <c r="A114" s="285">
        <f>1+A106</f>
        <v>74</v>
      </c>
      <c r="B114" s="298" t="s">
        <v>1015</v>
      </c>
      <c r="C114" s="285" t="s">
        <v>344</v>
      </c>
      <c r="D114" s="244" t="s">
        <v>447</v>
      </c>
      <c r="E114" s="352" t="s">
        <v>310</v>
      </c>
      <c r="F114" s="285" t="s">
        <v>28</v>
      </c>
      <c r="G114" s="285" t="s">
        <v>298</v>
      </c>
      <c r="H114" s="304">
        <v>7.5</v>
      </c>
      <c r="I114" s="285" t="s">
        <v>299</v>
      </c>
      <c r="J114" s="285" t="s">
        <v>300</v>
      </c>
      <c r="K114" s="309">
        <v>400</v>
      </c>
      <c r="L114" s="294">
        <v>0.85</v>
      </c>
      <c r="M114" s="304">
        <v>0.95</v>
      </c>
      <c r="N114" s="287">
        <f t="shared" si="280"/>
        <v>13.406359261827985</v>
      </c>
      <c r="O114" s="287">
        <f t="shared" si="211"/>
        <v>0</v>
      </c>
      <c r="P114" s="294" t="str">
        <f t="shared" si="281"/>
        <v>0.00</v>
      </c>
      <c r="Q114" s="304">
        <v>65</v>
      </c>
      <c r="R114" s="304">
        <v>0</v>
      </c>
      <c r="S114" s="304">
        <f t="shared" si="282"/>
        <v>0</v>
      </c>
      <c r="T114" s="294" t="s">
        <v>131</v>
      </c>
      <c r="U114" s="304" t="s">
        <v>390</v>
      </c>
      <c r="V114" s="294">
        <v>35</v>
      </c>
      <c r="W114" s="294" t="str">
        <f t="shared" si="283"/>
        <v>3.5C X 35</v>
      </c>
      <c r="X114" s="294" t="str">
        <f t="shared" si="284"/>
        <v>3.5C X 35</v>
      </c>
      <c r="Y114" s="294" t="s">
        <v>314</v>
      </c>
      <c r="Z114" s="288">
        <f>IF(T114="AIR",VLOOKUP(W114,'Catalogue Aluminium'!$B$9:$G$91,2,FALSE),IF(T114="GROUND",VLOOKUP(W114,'Catalogue Aluminium'!$B$9:$G$91,3,FALSE),IF(T114="DUCT",VLOOKUP(W114,'Catalogue Aluminium'!$B$9:$G$91,4,FALSE),IF(T114="TRENCH",VLOOKUP(W114,'Catalogue Aluminium'!$B$9:$G$91,2,FALSE)))))</f>
        <v>117</v>
      </c>
      <c r="AA114" s="295">
        <f>VLOOKUP(W114,'Catalogue Aluminium'!$B$9:$G$91,5,FALSE)</f>
        <v>1.1100000000000001</v>
      </c>
      <c r="AB114" s="295">
        <f>VLOOKUP(W114,'Catalogue Aluminium'!$B$9:$G$91,6,FALSE)</f>
        <v>7.9399999999999998E-2</v>
      </c>
      <c r="AC114" s="294">
        <f t="shared" ref="AC114:AC125" si="297">26+3</f>
        <v>29</v>
      </c>
      <c r="AD114" s="294">
        <f>40+50+38+50+17+(27+15)</f>
        <v>237</v>
      </c>
      <c r="AE114" s="294">
        <f t="shared" si="285"/>
        <v>38</v>
      </c>
      <c r="AF114" s="294">
        <v>8</v>
      </c>
      <c r="AG114" s="294">
        <f t="shared" si="286"/>
        <v>32</v>
      </c>
      <c r="AH114" s="311">
        <f t="shared" ref="AH114:AH120" si="298">SUM(AC114:AG114)</f>
        <v>344</v>
      </c>
      <c r="AI114" s="288">
        <f>IF(T114="AIR",'Catalogue Aluminium'!$K$9,IF(T114="TRENCH",'Catalogue Aluminium'!$K$12,"NA"))</f>
        <v>0.89</v>
      </c>
      <c r="AJ114" s="287">
        <f>IF(T114="Air",(IF(U114="1C",'Catalogue Aluminium'!$L$9,'Catalogue Aluminium'!$M$9)),IF(T114="DUCT",(IF($U114="1C",'Catalogue Aluminium'!$L$10,'Catalogue Aluminium'!$M$10)),IF(T114="GROUND",(IF($U114="1C",'Catalogue Aluminium'!$L$11,'Catalogue Aluminium'!$M$11)),IF(T114="TRENCH",(IF($U114="1C",'Catalogue Aluminium'!$L$12,'Catalogue Aluminium'!$M$12))))))</f>
        <v>0.66</v>
      </c>
      <c r="AK114" s="288" t="str">
        <f>IF(T114="Air",'Catalogue Aluminium'!$N$9,IF(T114="GROUND",'Catalogue Aluminium'!$N$10,IF(T114="DUCT",'Catalogue Aluminium'!$N$11,IF(T114="TRENCH",'Catalogue Aluminium'!$N$12,"NA"))))</f>
        <v>NA</v>
      </c>
      <c r="AL114" s="288" t="str">
        <f>IF(T114="Air",(IF(U114="1C",'Catalogue Aluminium'!$O$9,'Catalogue Aluminium'!$P$9)),IF(T114="DUCT",(IF($U114="1C",'Catalogue Aluminium'!$O$10,'Catalogue Aluminium'!$P$10)),IF(T114="GROUND",(IF($U114="1C",'Catalogue Aluminium'!$O$11,'Catalogue Aluminium'!$P$11)),IF(T114="TRENCH",(IF($U114="1C",'Catalogue Aluminium'!$O$12,'Catalogue Aluminium'!$P$12))))))</f>
        <v>NA</v>
      </c>
      <c r="AM114" s="288" t="str">
        <f>IF(T114="AIR","NA",IF(T114="TRENCH","NA",IF(T114="DUCT",IF(U114="1C",VLOOKUP(V114,'Catalogue Aluminium'!$Q$9:$S$28,2,FALSE),VLOOKUP(V114,'Catalogue Aluminium'!$Q$9:$S$28,3)),IF(T114="GROUND",IF(U114="1C",VLOOKUP(V114,'Catalogue Aluminium'!$Q$9:$S$28,2,FALSE),VLOOKUP(V114,'Catalogue Aluminium'!$Q$9:$S$28,3))))))</f>
        <v>NA</v>
      </c>
      <c r="AN114" s="312">
        <f t="shared" si="287"/>
        <v>0.58740000000000003</v>
      </c>
      <c r="AO114" s="304">
        <f t="shared" si="288"/>
        <v>68.725800000000007</v>
      </c>
      <c r="AP114" s="309">
        <f t="shared" si="220"/>
        <v>1</v>
      </c>
      <c r="AQ114" s="304" t="str">
        <f t="shared" si="289"/>
        <v>YES</v>
      </c>
      <c r="AR114" s="312">
        <f t="shared" si="290"/>
        <v>1.967660263098409</v>
      </c>
      <c r="AS114" s="294" t="str">
        <f t="shared" si="291"/>
        <v>YES</v>
      </c>
      <c r="AT114" s="312" t="str">
        <f t="shared" ref="AT114:AT125" si="299">IF(G114="MOTOR",(SQRT(3)*AH114*O114*((AA114*P114)+(AB114*SIN(ACOS(P114))))*100/(AP114*K114*1000)),"NA")</f>
        <v>NA</v>
      </c>
      <c r="AU114" s="294" t="str">
        <f t="shared" si="292"/>
        <v>NA</v>
      </c>
      <c r="AV114" s="353" t="str">
        <f t="shared" si="293"/>
        <v>1R x 0.6/1kV x 3.5C x 35 Sqmm</v>
      </c>
      <c r="AW114" s="353" t="str">
        <f t="shared" si="294"/>
        <v>1R x 0.6/1kV x 3.5C x 35 Sqmm</v>
      </c>
      <c r="AX114" s="294">
        <f t="shared" ref="AX114:AX125" si="300">(IF(K114=400,(IF(U114="1C",(4*AH114*AP114),(AH114*AP114))),IF(K114=230,(AH114*AP114))))</f>
        <v>344</v>
      </c>
      <c r="AY114" s="354"/>
    </row>
    <row r="115" spans="1:51" ht="29.25" customHeight="1">
      <c r="A115" s="285">
        <f t="shared" ref="A115:A139" si="301">1+A114</f>
        <v>75</v>
      </c>
      <c r="B115" s="285" t="s">
        <v>382</v>
      </c>
      <c r="C115" s="285" t="s">
        <v>344</v>
      </c>
      <c r="D115" s="244" t="s">
        <v>448</v>
      </c>
      <c r="E115" s="352" t="s">
        <v>310</v>
      </c>
      <c r="F115" s="285" t="s">
        <v>29</v>
      </c>
      <c r="G115" s="285" t="s">
        <v>298</v>
      </c>
      <c r="H115" s="304">
        <v>1</v>
      </c>
      <c r="I115" s="285" t="s">
        <v>299</v>
      </c>
      <c r="J115" s="285" t="s">
        <v>313</v>
      </c>
      <c r="K115" s="309">
        <v>230</v>
      </c>
      <c r="L115" s="294">
        <v>0.85</v>
      </c>
      <c r="M115" s="304">
        <v>0.95</v>
      </c>
      <c r="N115" s="287">
        <f t="shared" si="280"/>
        <v>5.3843047516489433</v>
      </c>
      <c r="O115" s="287">
        <f t="shared" si="211"/>
        <v>0</v>
      </c>
      <c r="P115" s="294" t="str">
        <f t="shared" si="281"/>
        <v>0.00</v>
      </c>
      <c r="Q115" s="304">
        <v>65</v>
      </c>
      <c r="R115" s="304">
        <v>0</v>
      </c>
      <c r="S115" s="304">
        <f t="shared" si="282"/>
        <v>0</v>
      </c>
      <c r="T115" s="294" t="s">
        <v>131</v>
      </c>
      <c r="U115" s="304" t="s">
        <v>302</v>
      </c>
      <c r="V115" s="294">
        <v>25</v>
      </c>
      <c r="W115" s="294" t="str">
        <f t="shared" si="283"/>
        <v>3C X 25</v>
      </c>
      <c r="X115" s="294" t="str">
        <f t="shared" si="284"/>
        <v>3C X 25</v>
      </c>
      <c r="Y115" s="294" t="s">
        <v>314</v>
      </c>
      <c r="Z115" s="288">
        <f>IF(T115="AIR",VLOOKUP(W115,'Catalogue Aluminium'!$B$9:$G$91,2,FALSE),IF(T115="GROUND",VLOOKUP(W115,'Catalogue Aluminium'!$B$9:$G$91,3,FALSE),IF(T115="DUCT",VLOOKUP(W115,'Catalogue Aluminium'!$B$9:$G$91,4,FALSE),IF(T115="TRENCH",VLOOKUP(W115,'Catalogue Aluminium'!$B$9:$G$91,2,FALSE)))))</f>
        <v>95</v>
      </c>
      <c r="AA115" s="295">
        <f>VLOOKUP(W115,'Catalogue Aluminium'!$B$9:$G$91,5,FALSE)</f>
        <v>1.54</v>
      </c>
      <c r="AB115" s="295">
        <f>VLOOKUP(W115,'Catalogue Aluminium'!$B$9:$G$91,6,FALSE)</f>
        <v>8.1600000000000006E-2</v>
      </c>
      <c r="AC115" s="294">
        <f t="shared" ref="AC115" si="302">17+3</f>
        <v>20</v>
      </c>
      <c r="AD115" s="294">
        <f>40+50+38+50+17+(27+45)</f>
        <v>267</v>
      </c>
      <c r="AE115" s="294">
        <f t="shared" si="285"/>
        <v>38</v>
      </c>
      <c r="AF115" s="294">
        <v>8</v>
      </c>
      <c r="AG115" s="294">
        <f t="shared" si="286"/>
        <v>34</v>
      </c>
      <c r="AH115" s="311">
        <f t="shared" si="298"/>
        <v>367</v>
      </c>
      <c r="AI115" s="288">
        <f>IF(T115="AIR",'Catalogue Aluminium'!$K$9,IF(T115="TRENCH",'Catalogue Aluminium'!$K$12,"NA"))</f>
        <v>0.89</v>
      </c>
      <c r="AJ115" s="287">
        <f>IF(T115="Air",(IF(U115="1C",'Catalogue Aluminium'!$L$9,'Catalogue Aluminium'!$M$9)),IF(T115="DUCT",(IF($U115="1C",'Catalogue Aluminium'!$L$10,'Catalogue Aluminium'!$M$10)),IF(T115="GROUND",(IF($U115="1C",'Catalogue Aluminium'!$L$11,'Catalogue Aluminium'!$M$11)),IF(T115="TRENCH",(IF($U115="1C",'Catalogue Aluminium'!$L$12,'Catalogue Aluminium'!$M$12))))))</f>
        <v>0.66</v>
      </c>
      <c r="AK115" s="288" t="str">
        <f>IF(T115="Air",'Catalogue Aluminium'!$N$9,IF(T115="GROUND",'Catalogue Aluminium'!$N$10,IF(T115="DUCT",'Catalogue Aluminium'!$N$11,IF(T115="TRENCH",'Catalogue Aluminium'!$N$12,"NA"))))</f>
        <v>NA</v>
      </c>
      <c r="AL115" s="288" t="str">
        <f>IF(T115="Air",(IF(U115="1C",'Catalogue Aluminium'!$O$9,'Catalogue Aluminium'!$P$9)),IF(T115="DUCT",(IF($U115="1C",'Catalogue Aluminium'!$O$10,'Catalogue Aluminium'!$P$10)),IF(T115="GROUND",(IF($U115="1C",'Catalogue Aluminium'!$O$11,'Catalogue Aluminium'!$P$11)),IF(T115="TRENCH",(IF($U115="1C",'Catalogue Aluminium'!$O$12,'Catalogue Aluminium'!$P$12))))))</f>
        <v>NA</v>
      </c>
      <c r="AM115" s="288" t="str">
        <f>IF(T115="AIR","NA",IF(T115="TRENCH","NA",IF(T115="DUCT",IF(U115="1C",VLOOKUP(V115,'Catalogue Aluminium'!$Q$9:$S$28,2,FALSE),VLOOKUP(V115,'Catalogue Aluminium'!$Q$9:$S$28,3)),IF(T115="GROUND",IF(U115="1C",VLOOKUP(V115,'Catalogue Aluminium'!$Q$9:$S$28,2,FALSE),VLOOKUP(V115,'Catalogue Aluminium'!$Q$9:$S$28,3))))))</f>
        <v>NA</v>
      </c>
      <c r="AN115" s="312">
        <f t="shared" si="287"/>
        <v>0.58740000000000003</v>
      </c>
      <c r="AO115" s="304">
        <f t="shared" si="288"/>
        <v>55.803000000000004</v>
      </c>
      <c r="AP115" s="309">
        <f t="shared" si="220"/>
        <v>1</v>
      </c>
      <c r="AQ115" s="304" t="str">
        <f t="shared" si="289"/>
        <v>YES</v>
      </c>
      <c r="AR115" s="312">
        <f t="shared" si="290"/>
        <v>2.0118727665742675</v>
      </c>
      <c r="AS115" s="294" t="str">
        <f t="shared" si="291"/>
        <v>YES</v>
      </c>
      <c r="AT115" s="312" t="str">
        <f t="shared" si="299"/>
        <v>NA</v>
      </c>
      <c r="AU115" s="294" t="str">
        <f t="shared" si="292"/>
        <v>NA</v>
      </c>
      <c r="AV115" s="353" t="str">
        <f t="shared" si="293"/>
        <v>1R x 0.6/1kV x 3C x 25 Sqmm</v>
      </c>
      <c r="AW115" s="353" t="str">
        <f t="shared" si="294"/>
        <v>1R x 0.6/1kV x 3C x 25 Sqmm</v>
      </c>
      <c r="AX115" s="294">
        <f t="shared" si="300"/>
        <v>367</v>
      </c>
      <c r="AY115" s="354"/>
    </row>
    <row r="116" spans="1:51" ht="20.149999999999999" customHeight="1">
      <c r="A116" s="285">
        <f t="shared" si="301"/>
        <v>76</v>
      </c>
      <c r="B116" s="285" t="s">
        <v>382</v>
      </c>
      <c r="C116" s="285" t="s">
        <v>344</v>
      </c>
      <c r="D116" s="244" t="s">
        <v>449</v>
      </c>
      <c r="E116" s="352" t="s">
        <v>310</v>
      </c>
      <c r="F116" s="285" t="s">
        <v>28</v>
      </c>
      <c r="G116" s="285" t="s">
        <v>298</v>
      </c>
      <c r="H116" s="304">
        <v>2</v>
      </c>
      <c r="I116" s="285" t="s">
        <v>299</v>
      </c>
      <c r="J116" s="285" t="s">
        <v>300</v>
      </c>
      <c r="K116" s="309">
        <v>400</v>
      </c>
      <c r="L116" s="294">
        <v>0.85</v>
      </c>
      <c r="M116" s="304">
        <v>0.95</v>
      </c>
      <c r="N116" s="287">
        <f t="shared" si="280"/>
        <v>3.5750291364874629</v>
      </c>
      <c r="O116" s="287">
        <f t="shared" ref="O116:O150" si="303">IF(G116="MOTOR",(6*N116),IF(G116="VFD",(1*N116),0))</f>
        <v>0</v>
      </c>
      <c r="P116" s="294" t="str">
        <f t="shared" si="281"/>
        <v>0.00</v>
      </c>
      <c r="Q116" s="304">
        <v>65</v>
      </c>
      <c r="R116" s="304">
        <v>0</v>
      </c>
      <c r="S116" s="304">
        <f t="shared" si="282"/>
        <v>0</v>
      </c>
      <c r="T116" s="294" t="s">
        <v>131</v>
      </c>
      <c r="U116" s="304" t="s">
        <v>377</v>
      </c>
      <c r="V116" s="294">
        <v>6</v>
      </c>
      <c r="W116" s="294" t="str">
        <f t="shared" si="283"/>
        <v>4C X 6</v>
      </c>
      <c r="X116" s="294" t="str">
        <f t="shared" si="284"/>
        <v>4C X 6</v>
      </c>
      <c r="Y116" s="294" t="s">
        <v>314</v>
      </c>
      <c r="Z116" s="288">
        <f>IF(T116="AIR",VLOOKUP(W116,'Catalogue Aluminium'!$B$9:$G$91,2,FALSE),IF(T116="GROUND",VLOOKUP(W116,'Catalogue Aluminium'!$B$9:$G$91,3,FALSE),IF(T116="DUCT",VLOOKUP(W116,'Catalogue Aluminium'!$B$9:$G$91,4,FALSE),IF(T116="TRENCH",VLOOKUP(W116,'Catalogue Aluminium'!$B$9:$G$91,2,FALSE)))))</f>
        <v>51</v>
      </c>
      <c r="AA116" s="295">
        <f>VLOOKUP(W116,'Catalogue Aluminium'!$B$9:$G$91,5,FALSE)</f>
        <v>3.94</v>
      </c>
      <c r="AB116" s="295">
        <f>VLOOKUP(W116,'Catalogue Aluminium'!$B$9:$G$91,6,FALSE)</f>
        <v>9.0200000000000002E-2</v>
      </c>
      <c r="AC116" s="294">
        <f t="shared" si="297"/>
        <v>29</v>
      </c>
      <c r="AD116" s="294">
        <f>40+50+38+50+17+(27+47)</f>
        <v>269</v>
      </c>
      <c r="AE116" s="294">
        <f t="shared" si="285"/>
        <v>38</v>
      </c>
      <c r="AF116" s="294">
        <v>8</v>
      </c>
      <c r="AG116" s="294">
        <f t="shared" si="286"/>
        <v>35</v>
      </c>
      <c r="AH116" s="311">
        <f t="shared" si="298"/>
        <v>379</v>
      </c>
      <c r="AI116" s="288">
        <f>IF(T116="AIR",'Catalogue Aluminium'!$K$9,IF(T116="TRENCH",'Catalogue Aluminium'!$K$12,"NA"))</f>
        <v>0.89</v>
      </c>
      <c r="AJ116" s="287">
        <f>IF(T116="Air",(IF(U116="1C",'Catalogue Aluminium'!$L$9,'Catalogue Aluminium'!$M$9)),IF(T116="DUCT",(IF($U116="1C",'Catalogue Aluminium'!$L$10,'Catalogue Aluminium'!$M$10)),IF(T116="GROUND",(IF($U116="1C",'Catalogue Aluminium'!$L$11,'Catalogue Aluminium'!$M$11)),IF(T116="TRENCH",(IF($U116="1C",'Catalogue Aluminium'!$L$12,'Catalogue Aluminium'!$M$12))))))</f>
        <v>0.66</v>
      </c>
      <c r="AK116" s="288" t="str">
        <f>IF(T116="Air",'Catalogue Aluminium'!$N$9,IF(T116="GROUND",'Catalogue Aluminium'!$N$10,IF(T116="DUCT",'Catalogue Aluminium'!$N$11,IF(T116="TRENCH",'Catalogue Aluminium'!$N$12,"NA"))))</f>
        <v>NA</v>
      </c>
      <c r="AL116" s="288" t="str">
        <f>IF(T116="Air",(IF(U116="1C",'Catalogue Aluminium'!$O$9,'Catalogue Aluminium'!$P$9)),IF(T116="DUCT",(IF($U116="1C",'Catalogue Aluminium'!$O$10,'Catalogue Aluminium'!$P$10)),IF(T116="GROUND",(IF($U116="1C",'Catalogue Aluminium'!$O$11,'Catalogue Aluminium'!$P$11)),IF(T116="TRENCH",(IF($U116="1C",'Catalogue Aluminium'!$O$12,'Catalogue Aluminium'!$P$12))))))</f>
        <v>NA</v>
      </c>
      <c r="AM116" s="288" t="str">
        <f>IF(T116="AIR","NA",IF(T116="TRENCH","NA",IF(T116="DUCT",IF(U116="1C",VLOOKUP(V116,'Catalogue Aluminium'!$Q$9:$S$28,2,FALSE),VLOOKUP(V116,'Catalogue Aluminium'!$Q$9:$S$28,3)),IF(T116="GROUND",IF(U116="1C",VLOOKUP(V116,'Catalogue Aluminium'!$Q$9:$S$28,2,FALSE),VLOOKUP(V116,'Catalogue Aluminium'!$Q$9:$S$28,3))))))</f>
        <v>NA</v>
      </c>
      <c r="AN116" s="312">
        <f t="shared" si="287"/>
        <v>0.58740000000000003</v>
      </c>
      <c r="AO116" s="304">
        <f t="shared" si="288"/>
        <v>29.957400000000003</v>
      </c>
      <c r="AP116" s="309">
        <f t="shared" si="220"/>
        <v>1</v>
      </c>
      <c r="AQ116" s="304" t="str">
        <f t="shared" si="289"/>
        <v>YES</v>
      </c>
      <c r="AR116" s="312">
        <f t="shared" si="290"/>
        <v>1.9927511601595154</v>
      </c>
      <c r="AS116" s="294" t="str">
        <f t="shared" si="291"/>
        <v>YES</v>
      </c>
      <c r="AT116" s="312" t="str">
        <f t="shared" si="299"/>
        <v>NA</v>
      </c>
      <c r="AU116" s="294" t="str">
        <f t="shared" si="292"/>
        <v>NA</v>
      </c>
      <c r="AV116" s="353" t="str">
        <f t="shared" si="293"/>
        <v>1R x 0.6/1kV x 4C x 6 Sqmm</v>
      </c>
      <c r="AW116" s="353" t="str">
        <f t="shared" si="294"/>
        <v>1R x 0.6/1kV x 4C x 6 Sqmm</v>
      </c>
      <c r="AX116" s="294">
        <f t="shared" si="300"/>
        <v>379</v>
      </c>
      <c r="AY116" s="354"/>
    </row>
    <row r="117" spans="1:51" ht="20.149999999999999" customHeight="1">
      <c r="A117" s="285">
        <f t="shared" si="301"/>
        <v>77</v>
      </c>
      <c r="B117" s="285" t="s">
        <v>382</v>
      </c>
      <c r="C117" s="285" t="s">
        <v>344</v>
      </c>
      <c r="D117" s="244" t="s">
        <v>450</v>
      </c>
      <c r="E117" s="352" t="s">
        <v>410</v>
      </c>
      <c r="F117" s="369" t="s">
        <v>28</v>
      </c>
      <c r="G117" s="285" t="s">
        <v>298</v>
      </c>
      <c r="H117" s="304">
        <v>2</v>
      </c>
      <c r="I117" s="285" t="s">
        <v>299</v>
      </c>
      <c r="J117" s="285" t="s">
        <v>313</v>
      </c>
      <c r="K117" s="309">
        <v>230</v>
      </c>
      <c r="L117" s="294">
        <v>0.85</v>
      </c>
      <c r="M117" s="304">
        <v>0.95</v>
      </c>
      <c r="N117" s="287">
        <f t="shared" si="280"/>
        <v>10.768609503297887</v>
      </c>
      <c r="O117" s="287">
        <f t="shared" si="303"/>
        <v>0</v>
      </c>
      <c r="P117" s="294" t="str">
        <f t="shared" si="281"/>
        <v>0.00</v>
      </c>
      <c r="Q117" s="304">
        <v>65</v>
      </c>
      <c r="R117" s="304">
        <v>0</v>
      </c>
      <c r="S117" s="304">
        <f t="shared" si="282"/>
        <v>0</v>
      </c>
      <c r="T117" s="294" t="s">
        <v>131</v>
      </c>
      <c r="U117" s="304" t="s">
        <v>302</v>
      </c>
      <c r="V117" s="294">
        <v>16</v>
      </c>
      <c r="W117" s="294" t="str">
        <f t="shared" si="283"/>
        <v>3C X 16</v>
      </c>
      <c r="X117" s="294" t="str">
        <f t="shared" si="284"/>
        <v>3C X 16</v>
      </c>
      <c r="Y117" s="294" t="s">
        <v>314</v>
      </c>
      <c r="Z117" s="288">
        <f>IF(T117="AIR",VLOOKUP(W117,'Catalogue Aluminium'!$B$9:$G$91,2,FALSE),IF(T117="GROUND",VLOOKUP(W117,'Catalogue Aluminium'!$B$9:$G$91,3,FALSE),IF(T117="DUCT",VLOOKUP(W117,'Catalogue Aluminium'!$B$9:$G$91,4,FALSE),IF(T117="TRENCH",VLOOKUP(W117,'Catalogue Aluminium'!$B$9:$G$91,2,FALSE)))))</f>
        <v>70</v>
      </c>
      <c r="AA117" s="295">
        <f>VLOOKUP(W117,'Catalogue Aluminium'!$B$9:$G$91,5,FALSE)</f>
        <v>2.44</v>
      </c>
      <c r="AB117" s="295">
        <f>VLOOKUP(W117,'Catalogue Aluminium'!$B$9:$G$91,6,FALSE)</f>
        <v>8.1500000000000003E-2</v>
      </c>
      <c r="AC117" s="294">
        <f t="shared" si="297"/>
        <v>29</v>
      </c>
      <c r="AD117" s="294">
        <v>80</v>
      </c>
      <c r="AE117" s="294">
        <v>5</v>
      </c>
      <c r="AF117" s="294">
        <v>8</v>
      </c>
      <c r="AG117" s="294">
        <f t="shared" si="286"/>
        <v>13</v>
      </c>
      <c r="AH117" s="311">
        <f t="shared" si="298"/>
        <v>135</v>
      </c>
      <c r="AI117" s="288">
        <f>IF(T117="AIR",'Catalogue Aluminium'!$K$9,IF(T117="TRENCH",'Catalogue Aluminium'!$K$12,"NA"))</f>
        <v>0.89</v>
      </c>
      <c r="AJ117" s="287">
        <f>IF(T117="Air",(IF(U117="1C",'Catalogue Aluminium'!$L$9,'Catalogue Aluminium'!$M$9)),IF(T117="DUCT",(IF($U117="1C",'Catalogue Aluminium'!$L$10,'Catalogue Aluminium'!$M$10)),IF(T117="GROUND",(IF($U117="1C",'Catalogue Aluminium'!$L$11,'Catalogue Aluminium'!$M$11)),IF(T117="TRENCH",(IF($U117="1C",'Catalogue Aluminium'!$L$12,'Catalogue Aluminium'!$M$12))))))</f>
        <v>0.66</v>
      </c>
      <c r="AK117" s="288" t="str">
        <f>IF(T117="Air",'Catalogue Aluminium'!$N$9,IF(T117="GROUND",'Catalogue Aluminium'!$N$10,IF(T117="DUCT",'Catalogue Aluminium'!$N$11,IF(T117="TRENCH",'Catalogue Aluminium'!$N$12,"NA"))))</f>
        <v>NA</v>
      </c>
      <c r="AL117" s="288" t="str">
        <f>IF(T117="Air",(IF(U117="1C",'Catalogue Aluminium'!$O$9,'Catalogue Aluminium'!$P$9)),IF(T117="DUCT",(IF($U117="1C",'Catalogue Aluminium'!$O$10,'Catalogue Aluminium'!$P$10)),IF(T117="GROUND",(IF($U117="1C",'Catalogue Aluminium'!$O$11,'Catalogue Aluminium'!$P$11)),IF(T117="TRENCH",(IF($U117="1C",'Catalogue Aluminium'!$O$12,'Catalogue Aluminium'!$P$12))))))</f>
        <v>NA</v>
      </c>
      <c r="AM117" s="288" t="str">
        <f>IF(T117="AIR","NA",IF(T117="TRENCH","NA",IF(T117="DUCT",IF(U117="1C",VLOOKUP(V117,'Catalogue Aluminium'!$Q$9:$S$28,2,FALSE),VLOOKUP(V117,'Catalogue Aluminium'!$Q$9:$S$28,3)),IF(T117="GROUND",IF(U117="1C",VLOOKUP(V117,'Catalogue Aluminium'!$Q$9:$S$28,2,FALSE),VLOOKUP(V117,'Catalogue Aluminium'!$Q$9:$S$28,3))))))</f>
        <v>NA</v>
      </c>
      <c r="AN117" s="312">
        <f t="shared" si="287"/>
        <v>0.58740000000000003</v>
      </c>
      <c r="AO117" s="304">
        <f t="shared" si="288"/>
        <v>41.118000000000002</v>
      </c>
      <c r="AP117" s="309">
        <f t="shared" si="220"/>
        <v>1</v>
      </c>
      <c r="AQ117" s="304" t="str">
        <f t="shared" si="289"/>
        <v>YES</v>
      </c>
      <c r="AR117" s="312">
        <f t="shared" si="290"/>
        <v>2.3175721225147079</v>
      </c>
      <c r="AS117" s="294" t="str">
        <f t="shared" si="291"/>
        <v>YES</v>
      </c>
      <c r="AT117" s="312" t="str">
        <f t="shared" si="299"/>
        <v>NA</v>
      </c>
      <c r="AU117" s="294" t="str">
        <f t="shared" si="292"/>
        <v>NA</v>
      </c>
      <c r="AV117" s="353" t="str">
        <f t="shared" si="293"/>
        <v>1R x 0.6/1kV x 3C x 16 Sqmm</v>
      </c>
      <c r="AW117" s="353" t="str">
        <f t="shared" si="294"/>
        <v>1R x 0.6/1kV x 3C x 16 Sqmm</v>
      </c>
      <c r="AX117" s="294">
        <f t="shared" si="300"/>
        <v>135</v>
      </c>
      <c r="AY117" s="354"/>
    </row>
    <row r="118" spans="1:51" s="69" customFormat="1" ht="20.149999999999999" customHeight="1">
      <c r="A118" s="285">
        <f t="shared" si="301"/>
        <v>78</v>
      </c>
      <c r="B118" s="285" t="s">
        <v>382</v>
      </c>
      <c r="C118" s="368" t="s">
        <v>344</v>
      </c>
      <c r="D118" s="244" t="s">
        <v>451</v>
      </c>
      <c r="E118" s="352" t="s">
        <v>410</v>
      </c>
      <c r="F118" s="369" t="s">
        <v>28</v>
      </c>
      <c r="G118" s="285" t="s">
        <v>298</v>
      </c>
      <c r="H118" s="366">
        <v>2</v>
      </c>
      <c r="I118" s="285" t="s">
        <v>299</v>
      </c>
      <c r="J118" s="285" t="s">
        <v>313</v>
      </c>
      <c r="K118" s="309">
        <v>230</v>
      </c>
      <c r="L118" s="294">
        <v>0.85</v>
      </c>
      <c r="M118" s="304">
        <v>0.95</v>
      </c>
      <c r="N118" s="287">
        <f t="shared" si="280"/>
        <v>10.768609503297887</v>
      </c>
      <c r="O118" s="287">
        <f t="shared" si="303"/>
        <v>0</v>
      </c>
      <c r="P118" s="294" t="str">
        <f t="shared" si="281"/>
        <v>0.00</v>
      </c>
      <c r="Q118" s="304">
        <v>65</v>
      </c>
      <c r="R118" s="304">
        <v>0</v>
      </c>
      <c r="S118" s="304">
        <f t="shared" si="282"/>
        <v>0</v>
      </c>
      <c r="T118" s="294" t="s">
        <v>131</v>
      </c>
      <c r="U118" s="304" t="s">
        <v>302</v>
      </c>
      <c r="V118" s="294">
        <v>16</v>
      </c>
      <c r="W118" s="294" t="str">
        <f t="shared" si="283"/>
        <v>3C X 16</v>
      </c>
      <c r="X118" s="294" t="str">
        <f t="shared" si="284"/>
        <v>3C X 16</v>
      </c>
      <c r="Y118" s="294" t="s">
        <v>314</v>
      </c>
      <c r="Z118" s="288">
        <f>IF(T118="AIR",VLOOKUP(W118,'Catalogue Aluminium'!$B$9:$G$91,2,FALSE),IF(T118="GROUND",VLOOKUP(W118,'Catalogue Aluminium'!$B$9:$G$91,3,FALSE),IF(T118="DUCT",VLOOKUP(W118,'Catalogue Aluminium'!$B$9:$G$91,4,FALSE),IF(T118="TRENCH",VLOOKUP(W118,'Catalogue Aluminium'!$B$9:$G$91,2,FALSE)))))</f>
        <v>70</v>
      </c>
      <c r="AA118" s="295">
        <f>VLOOKUP(W118,'Catalogue Aluminium'!$B$9:$G$91,5,FALSE)</f>
        <v>2.44</v>
      </c>
      <c r="AB118" s="295">
        <f>VLOOKUP(W118,'Catalogue Aluminium'!$B$9:$G$91,6,FALSE)</f>
        <v>8.1500000000000003E-2</v>
      </c>
      <c r="AC118" s="294">
        <f t="shared" si="297"/>
        <v>29</v>
      </c>
      <c r="AD118" s="294">
        <v>80</v>
      </c>
      <c r="AE118" s="294">
        <v>5</v>
      </c>
      <c r="AF118" s="294">
        <v>8</v>
      </c>
      <c r="AG118" s="294">
        <f t="shared" si="286"/>
        <v>13</v>
      </c>
      <c r="AH118" s="311">
        <f t="shared" si="298"/>
        <v>135</v>
      </c>
      <c r="AI118" s="288">
        <f>IF(T118="AIR",'Catalogue Aluminium'!$K$9,IF(T118="TRENCH",'Catalogue Aluminium'!$K$12,"NA"))</f>
        <v>0.89</v>
      </c>
      <c r="AJ118" s="287">
        <f>IF(T118="Air",(IF(U118="1C",'Catalogue Aluminium'!$L$9,'Catalogue Aluminium'!$M$9)),IF(T118="DUCT",(IF($U118="1C",'Catalogue Aluminium'!$L$10,'Catalogue Aluminium'!$M$10)),IF(T118="GROUND",(IF($U118="1C",'Catalogue Aluminium'!$L$11,'Catalogue Aluminium'!$M$11)),IF(T118="TRENCH",(IF($U118="1C",'Catalogue Aluminium'!$L$12,'Catalogue Aluminium'!$M$12))))))</f>
        <v>0.66</v>
      </c>
      <c r="AK118" s="288" t="str">
        <f>IF(T118="Air",'Catalogue Aluminium'!$N$9,IF(T118="GROUND",'Catalogue Aluminium'!$N$10,IF(T118="DUCT",'Catalogue Aluminium'!$N$11,IF(T118="TRENCH",'Catalogue Aluminium'!$N$12,"NA"))))</f>
        <v>NA</v>
      </c>
      <c r="AL118" s="288" t="str">
        <f>IF(T118="Air",(IF(U118="1C",'Catalogue Aluminium'!$O$9,'Catalogue Aluminium'!$P$9)),IF(T118="DUCT",(IF($U118="1C",'Catalogue Aluminium'!$O$10,'Catalogue Aluminium'!$P$10)),IF(T118="GROUND",(IF($U118="1C",'Catalogue Aluminium'!$O$11,'Catalogue Aluminium'!$P$11)),IF(T118="TRENCH",(IF($U118="1C",'Catalogue Aluminium'!$O$12,'Catalogue Aluminium'!$P$12))))))</f>
        <v>NA</v>
      </c>
      <c r="AM118" s="288" t="str">
        <f>IF(T118="AIR","NA",IF(T118="TRENCH","NA",IF(T118="DUCT",IF(U118="1C",VLOOKUP(V118,'Catalogue Aluminium'!$Q$9:$S$28,2,FALSE),VLOOKUP(V118,'Catalogue Aluminium'!$Q$9:$S$28,3)),IF(T118="GROUND",IF(U118="1C",VLOOKUP(V118,'Catalogue Aluminium'!$Q$9:$S$28,2,FALSE),VLOOKUP(V118,'Catalogue Aluminium'!$Q$9:$S$28,3))))))</f>
        <v>NA</v>
      </c>
      <c r="AN118" s="312">
        <f t="shared" si="287"/>
        <v>0.58740000000000003</v>
      </c>
      <c r="AO118" s="304">
        <f t="shared" si="288"/>
        <v>41.118000000000002</v>
      </c>
      <c r="AP118" s="309">
        <f t="shared" si="220"/>
        <v>1</v>
      </c>
      <c r="AQ118" s="304" t="str">
        <f t="shared" si="289"/>
        <v>YES</v>
      </c>
      <c r="AR118" s="312">
        <f t="shared" si="290"/>
        <v>2.3175721225147079</v>
      </c>
      <c r="AS118" s="294" t="str">
        <f t="shared" si="291"/>
        <v>YES</v>
      </c>
      <c r="AT118" s="312" t="str">
        <f t="shared" si="299"/>
        <v>NA</v>
      </c>
      <c r="AU118" s="294" t="str">
        <f t="shared" si="292"/>
        <v>NA</v>
      </c>
      <c r="AV118" s="353" t="str">
        <f t="shared" si="293"/>
        <v>1R x 0.6/1kV x 3C x 16 Sqmm</v>
      </c>
      <c r="AW118" s="353" t="str">
        <f t="shared" si="294"/>
        <v>1R x 0.6/1kV x 3C x 16 Sqmm</v>
      </c>
      <c r="AX118" s="294">
        <f t="shared" si="300"/>
        <v>135</v>
      </c>
      <c r="AY118" s="354"/>
    </row>
    <row r="119" spans="1:51" ht="20.149999999999999" customHeight="1">
      <c r="A119" s="285">
        <f t="shared" si="301"/>
        <v>79</v>
      </c>
      <c r="B119" s="285" t="s">
        <v>382</v>
      </c>
      <c r="C119" s="285" t="s">
        <v>344</v>
      </c>
      <c r="D119" s="244" t="s">
        <v>452</v>
      </c>
      <c r="E119" s="352" t="s">
        <v>410</v>
      </c>
      <c r="F119" s="369" t="s">
        <v>28</v>
      </c>
      <c r="G119" s="285" t="s">
        <v>298</v>
      </c>
      <c r="H119" s="304">
        <v>2</v>
      </c>
      <c r="I119" s="285" t="s">
        <v>299</v>
      </c>
      <c r="J119" s="285" t="s">
        <v>313</v>
      </c>
      <c r="K119" s="309">
        <v>230</v>
      </c>
      <c r="L119" s="294">
        <v>0.85</v>
      </c>
      <c r="M119" s="304">
        <v>0.95</v>
      </c>
      <c r="N119" s="287">
        <f t="shared" si="280"/>
        <v>10.768609503297887</v>
      </c>
      <c r="O119" s="287">
        <f t="shared" si="303"/>
        <v>0</v>
      </c>
      <c r="P119" s="294" t="str">
        <f t="shared" si="281"/>
        <v>0.00</v>
      </c>
      <c r="Q119" s="304">
        <v>65</v>
      </c>
      <c r="R119" s="304">
        <v>0</v>
      </c>
      <c r="S119" s="304">
        <f t="shared" si="282"/>
        <v>0</v>
      </c>
      <c r="T119" s="294" t="s">
        <v>131</v>
      </c>
      <c r="U119" s="304" t="s">
        <v>302</v>
      </c>
      <c r="V119" s="294">
        <v>16</v>
      </c>
      <c r="W119" s="294" t="str">
        <f t="shared" si="283"/>
        <v>3C X 16</v>
      </c>
      <c r="X119" s="294" t="str">
        <f t="shared" si="284"/>
        <v>3C X 16</v>
      </c>
      <c r="Y119" s="294" t="s">
        <v>314</v>
      </c>
      <c r="Z119" s="288">
        <f>IF(T119="AIR",VLOOKUP(W119,'Catalogue Aluminium'!$B$9:$G$91,2,FALSE),IF(T119="GROUND",VLOOKUP(W119,'Catalogue Aluminium'!$B$9:$G$91,3,FALSE),IF(T119="DUCT",VLOOKUP(W119,'Catalogue Aluminium'!$B$9:$G$91,4,FALSE),IF(T119="TRENCH",VLOOKUP(W119,'Catalogue Aluminium'!$B$9:$G$91,2,FALSE)))))</f>
        <v>70</v>
      </c>
      <c r="AA119" s="295">
        <f>VLOOKUP(W119,'Catalogue Aluminium'!$B$9:$G$91,5,FALSE)</f>
        <v>2.44</v>
      </c>
      <c r="AB119" s="295">
        <f>VLOOKUP(W119,'Catalogue Aluminium'!$B$9:$G$91,6,FALSE)</f>
        <v>8.1500000000000003E-2</v>
      </c>
      <c r="AC119" s="294">
        <f t="shared" si="297"/>
        <v>29</v>
      </c>
      <c r="AD119" s="294">
        <v>80</v>
      </c>
      <c r="AE119" s="294">
        <v>5</v>
      </c>
      <c r="AF119" s="294">
        <v>8</v>
      </c>
      <c r="AG119" s="294">
        <f t="shared" si="286"/>
        <v>13</v>
      </c>
      <c r="AH119" s="311">
        <f t="shared" si="298"/>
        <v>135</v>
      </c>
      <c r="AI119" s="288">
        <f>IF(T119="AIR",'Catalogue Aluminium'!$K$9,IF(T119="TRENCH",'Catalogue Aluminium'!$K$12,"NA"))</f>
        <v>0.89</v>
      </c>
      <c r="AJ119" s="287">
        <f>IF(T119="Air",(IF(U119="1C",'Catalogue Aluminium'!$L$9,'Catalogue Aluminium'!$M$9)),IF(T119="DUCT",(IF($U119="1C",'Catalogue Aluminium'!$L$10,'Catalogue Aluminium'!$M$10)),IF(T119="GROUND",(IF($U119="1C",'Catalogue Aluminium'!$L$11,'Catalogue Aluminium'!$M$11)),IF(T119="TRENCH",(IF($U119="1C",'Catalogue Aluminium'!$L$12,'Catalogue Aluminium'!$M$12))))))</f>
        <v>0.66</v>
      </c>
      <c r="AK119" s="288" t="str">
        <f>IF(T119="Air",'Catalogue Aluminium'!$N$9,IF(T119="GROUND",'Catalogue Aluminium'!$N$10,IF(T119="DUCT",'Catalogue Aluminium'!$N$11,IF(T119="TRENCH",'Catalogue Aluminium'!$N$12,"NA"))))</f>
        <v>NA</v>
      </c>
      <c r="AL119" s="288" t="str">
        <f>IF(T119="Air",(IF(U119="1C",'Catalogue Aluminium'!$O$9,'Catalogue Aluminium'!$P$9)),IF(T119="DUCT",(IF($U119="1C",'Catalogue Aluminium'!$O$10,'Catalogue Aluminium'!$P$10)),IF(T119="GROUND",(IF($U119="1C",'Catalogue Aluminium'!$O$11,'Catalogue Aluminium'!$P$11)),IF(T119="TRENCH",(IF($U119="1C",'Catalogue Aluminium'!$O$12,'Catalogue Aluminium'!$P$12))))))</f>
        <v>NA</v>
      </c>
      <c r="AM119" s="288" t="str">
        <f>IF(T119="AIR","NA",IF(T119="TRENCH","NA",IF(T119="DUCT",IF(U119="1C",VLOOKUP(V119,'Catalogue Aluminium'!$Q$9:$S$28,2,FALSE),VLOOKUP(V119,'Catalogue Aluminium'!$Q$9:$S$28,3)),IF(T119="GROUND",IF(U119="1C",VLOOKUP(V119,'Catalogue Aluminium'!$Q$9:$S$28,2,FALSE),VLOOKUP(V119,'Catalogue Aluminium'!$Q$9:$S$28,3))))))</f>
        <v>NA</v>
      </c>
      <c r="AN119" s="312">
        <f t="shared" si="287"/>
        <v>0.58740000000000003</v>
      </c>
      <c r="AO119" s="304">
        <f t="shared" si="288"/>
        <v>41.118000000000002</v>
      </c>
      <c r="AP119" s="309">
        <f t="shared" si="220"/>
        <v>1</v>
      </c>
      <c r="AQ119" s="304" t="str">
        <f t="shared" si="289"/>
        <v>YES</v>
      </c>
      <c r="AR119" s="312">
        <f t="shared" si="290"/>
        <v>2.3175721225147079</v>
      </c>
      <c r="AS119" s="294" t="str">
        <f t="shared" si="291"/>
        <v>YES</v>
      </c>
      <c r="AT119" s="312" t="str">
        <f t="shared" si="299"/>
        <v>NA</v>
      </c>
      <c r="AU119" s="294" t="str">
        <f t="shared" si="292"/>
        <v>NA</v>
      </c>
      <c r="AV119" s="353" t="str">
        <f t="shared" si="293"/>
        <v>1R x 0.6/1kV x 3C x 16 Sqmm</v>
      </c>
      <c r="AW119" s="353" t="str">
        <f t="shared" si="294"/>
        <v>1R x 0.6/1kV x 3C x 16 Sqmm</v>
      </c>
      <c r="AX119" s="294">
        <f t="shared" si="300"/>
        <v>135</v>
      </c>
      <c r="AY119" s="354"/>
    </row>
    <row r="120" spans="1:51" ht="20.149999999999999" customHeight="1">
      <c r="A120" s="285">
        <f t="shared" si="301"/>
        <v>80</v>
      </c>
      <c r="B120" s="298" t="s">
        <v>1016</v>
      </c>
      <c r="C120" s="285" t="s">
        <v>344</v>
      </c>
      <c r="D120" s="244" t="s">
        <v>453</v>
      </c>
      <c r="E120" s="352" t="s">
        <v>310</v>
      </c>
      <c r="F120" s="285" t="s">
        <v>28</v>
      </c>
      <c r="G120" s="285" t="s">
        <v>298</v>
      </c>
      <c r="H120" s="304">
        <v>7.5</v>
      </c>
      <c r="I120" s="285" t="s">
        <v>299</v>
      </c>
      <c r="J120" s="285" t="s">
        <v>300</v>
      </c>
      <c r="K120" s="309">
        <v>400</v>
      </c>
      <c r="L120" s="294">
        <v>0.85</v>
      </c>
      <c r="M120" s="304">
        <v>0.95</v>
      </c>
      <c r="N120" s="287">
        <f t="shared" si="280"/>
        <v>13.406359261827985</v>
      </c>
      <c r="O120" s="287">
        <f t="shared" si="303"/>
        <v>0</v>
      </c>
      <c r="P120" s="294" t="str">
        <f t="shared" si="281"/>
        <v>0.00</v>
      </c>
      <c r="Q120" s="304">
        <v>65</v>
      </c>
      <c r="R120" s="304">
        <v>0</v>
      </c>
      <c r="S120" s="304">
        <f t="shared" si="282"/>
        <v>0</v>
      </c>
      <c r="T120" s="294" t="s">
        <v>131</v>
      </c>
      <c r="U120" s="304" t="s">
        <v>390</v>
      </c>
      <c r="V120" s="294">
        <v>35</v>
      </c>
      <c r="W120" s="294" t="str">
        <f t="shared" si="283"/>
        <v>3.5C X 35</v>
      </c>
      <c r="X120" s="294" t="str">
        <f t="shared" si="284"/>
        <v>3.5C X 35</v>
      </c>
      <c r="Y120" s="294" t="s">
        <v>314</v>
      </c>
      <c r="Z120" s="288">
        <f>IF(T120="AIR",VLOOKUP(W120,'Catalogue Aluminium'!$B$9:$G$91,2,FALSE),IF(T120="GROUND",VLOOKUP(W120,'Catalogue Aluminium'!$B$9:$G$91,3,FALSE),IF(T120="DUCT",VLOOKUP(W120,'Catalogue Aluminium'!$B$9:$G$91,4,FALSE),IF(T120="TRENCH",VLOOKUP(W120,'Catalogue Aluminium'!$B$9:$G$91,2,FALSE)))))</f>
        <v>117</v>
      </c>
      <c r="AA120" s="295">
        <f>VLOOKUP(W120,'Catalogue Aluminium'!$B$9:$G$91,5,FALSE)</f>
        <v>1.1100000000000001</v>
      </c>
      <c r="AB120" s="295">
        <f>VLOOKUP(W120,'Catalogue Aluminium'!$B$9:$G$91,6,FALSE)</f>
        <v>7.9399999999999998E-2</v>
      </c>
      <c r="AC120" s="294">
        <f t="shared" si="297"/>
        <v>29</v>
      </c>
      <c r="AD120" s="294">
        <f t="shared" ref="AD120" si="304">40+50+38+50+17+(27+47)</f>
        <v>269</v>
      </c>
      <c r="AE120" s="294">
        <f t="shared" si="285"/>
        <v>38</v>
      </c>
      <c r="AF120" s="294">
        <v>8</v>
      </c>
      <c r="AG120" s="294">
        <f t="shared" si="286"/>
        <v>35</v>
      </c>
      <c r="AH120" s="311">
        <f t="shared" si="298"/>
        <v>379</v>
      </c>
      <c r="AI120" s="288">
        <f>IF(T120="AIR",'Catalogue Aluminium'!$K$9,IF(T120="TRENCH",'Catalogue Aluminium'!$K$12,"NA"))</f>
        <v>0.89</v>
      </c>
      <c r="AJ120" s="287">
        <f>IF(T120="Air",(IF(U120="1C",'Catalogue Aluminium'!$L$9,'Catalogue Aluminium'!$M$9)),IF(T120="DUCT",(IF($U120="1C",'Catalogue Aluminium'!$L$10,'Catalogue Aluminium'!$M$10)),IF(T120="GROUND",(IF($U120="1C",'Catalogue Aluminium'!$L$11,'Catalogue Aluminium'!$M$11)),IF(T120="TRENCH",(IF($U120="1C",'Catalogue Aluminium'!$L$12,'Catalogue Aluminium'!$M$12))))))</f>
        <v>0.66</v>
      </c>
      <c r="AK120" s="288" t="str">
        <f>IF(T120="Air",'Catalogue Aluminium'!$N$9,IF(T120="GROUND",'Catalogue Aluminium'!$N$10,IF(T120="DUCT",'Catalogue Aluminium'!$N$11,IF(T120="TRENCH",'Catalogue Aluminium'!$N$12,"NA"))))</f>
        <v>NA</v>
      </c>
      <c r="AL120" s="288" t="str">
        <f>IF(T120="Air",(IF(U120="1C",'Catalogue Aluminium'!$O$9,'Catalogue Aluminium'!$P$9)),IF(T120="DUCT",(IF($U120="1C",'Catalogue Aluminium'!$O$10,'Catalogue Aluminium'!$P$10)),IF(T120="GROUND",(IF($U120="1C",'Catalogue Aluminium'!$O$11,'Catalogue Aluminium'!$P$11)),IF(T120="TRENCH",(IF($U120="1C",'Catalogue Aluminium'!$O$12,'Catalogue Aluminium'!$P$12))))))</f>
        <v>NA</v>
      </c>
      <c r="AM120" s="288" t="str">
        <f>IF(T120="AIR","NA",IF(T120="TRENCH","NA",IF(T120="DUCT",IF(U120="1C",VLOOKUP(V120,'Catalogue Aluminium'!$Q$9:$S$28,2,FALSE),VLOOKUP(V120,'Catalogue Aluminium'!$Q$9:$S$28,3)),IF(T120="GROUND",IF(U120="1C",VLOOKUP(V120,'Catalogue Aluminium'!$Q$9:$S$28,2,FALSE),VLOOKUP(V120,'Catalogue Aluminium'!$Q$9:$S$28,3))))))</f>
        <v>NA</v>
      </c>
      <c r="AN120" s="312">
        <f t="shared" si="287"/>
        <v>0.58740000000000003</v>
      </c>
      <c r="AO120" s="304">
        <f t="shared" si="288"/>
        <v>68.725800000000007</v>
      </c>
      <c r="AP120" s="309">
        <f t="shared" si="220"/>
        <v>1</v>
      </c>
      <c r="AQ120" s="304" t="str">
        <f t="shared" si="289"/>
        <v>YES</v>
      </c>
      <c r="AR120" s="312">
        <f t="shared" si="290"/>
        <v>2.1678582549834218</v>
      </c>
      <c r="AS120" s="294" t="str">
        <f t="shared" si="291"/>
        <v>YES</v>
      </c>
      <c r="AT120" s="312" t="str">
        <f t="shared" si="299"/>
        <v>NA</v>
      </c>
      <c r="AU120" s="294" t="str">
        <f t="shared" si="292"/>
        <v>NA</v>
      </c>
      <c r="AV120" s="353" t="str">
        <f t="shared" si="293"/>
        <v>1R x 0.6/1kV x 3.5C x 35 Sqmm</v>
      </c>
      <c r="AW120" s="353" t="str">
        <f t="shared" si="294"/>
        <v>1R x 0.6/1kV x 3.5C x 35 Sqmm</v>
      </c>
      <c r="AX120" s="294">
        <f t="shared" si="300"/>
        <v>379</v>
      </c>
      <c r="AY120" s="354"/>
    </row>
    <row r="121" spans="1:51" ht="30.75" customHeight="1">
      <c r="A121" s="285">
        <f t="shared" si="301"/>
        <v>81</v>
      </c>
      <c r="B121" s="285" t="s">
        <v>382</v>
      </c>
      <c r="C121" s="285" t="s">
        <v>344</v>
      </c>
      <c r="D121" s="244" t="s">
        <v>454</v>
      </c>
      <c r="E121" s="352" t="s">
        <v>310</v>
      </c>
      <c r="F121" s="285" t="s">
        <v>29</v>
      </c>
      <c r="G121" s="285" t="s">
        <v>298</v>
      </c>
      <c r="H121" s="304">
        <v>1</v>
      </c>
      <c r="I121" s="285" t="s">
        <v>299</v>
      </c>
      <c r="J121" s="285" t="s">
        <v>313</v>
      </c>
      <c r="K121" s="309">
        <v>230</v>
      </c>
      <c r="L121" s="294">
        <v>0.85</v>
      </c>
      <c r="M121" s="304">
        <v>0.95</v>
      </c>
      <c r="N121" s="287">
        <f t="shared" si="280"/>
        <v>5.3843047516489433</v>
      </c>
      <c r="O121" s="287">
        <f t="shared" si="303"/>
        <v>0</v>
      </c>
      <c r="P121" s="294" t="str">
        <f t="shared" si="281"/>
        <v>0.00</v>
      </c>
      <c r="Q121" s="304">
        <v>65</v>
      </c>
      <c r="R121" s="304">
        <v>0</v>
      </c>
      <c r="S121" s="304">
        <f t="shared" si="282"/>
        <v>0</v>
      </c>
      <c r="T121" s="294" t="s">
        <v>131</v>
      </c>
      <c r="U121" s="304" t="s">
        <v>302</v>
      </c>
      <c r="V121" s="294">
        <v>25</v>
      </c>
      <c r="W121" s="294" t="str">
        <f t="shared" si="283"/>
        <v>3C X 25</v>
      </c>
      <c r="X121" s="294" t="str">
        <f t="shared" si="284"/>
        <v>3C X 25</v>
      </c>
      <c r="Y121" s="294" t="s">
        <v>314</v>
      </c>
      <c r="Z121" s="288">
        <f>IF(T121="AIR",VLOOKUP(W121,'Catalogue Aluminium'!$B$9:$G$91,2,FALSE),IF(T121="GROUND",VLOOKUP(W121,'Catalogue Aluminium'!$B$9:$G$91,3,FALSE),IF(T121="DUCT",VLOOKUP(W121,'Catalogue Aluminium'!$B$9:$G$91,4,FALSE),IF(T121="TRENCH",VLOOKUP(W121,'Catalogue Aluminium'!$B$9:$G$91,2,FALSE)))))</f>
        <v>95</v>
      </c>
      <c r="AA121" s="295">
        <f>VLOOKUP(W121,'Catalogue Aluminium'!$B$9:$G$91,5,FALSE)</f>
        <v>1.54</v>
      </c>
      <c r="AB121" s="295">
        <f>VLOOKUP(W121,'Catalogue Aluminium'!$B$9:$G$91,6,FALSE)</f>
        <v>8.1600000000000006E-2</v>
      </c>
      <c r="AC121" s="294">
        <f t="shared" ref="AC121" si="305">17+3</f>
        <v>20</v>
      </c>
      <c r="AD121" s="294">
        <f>40+50+38+50+17+(27+48)</f>
        <v>270</v>
      </c>
      <c r="AE121" s="294">
        <f t="shared" si="285"/>
        <v>38</v>
      </c>
      <c r="AF121" s="294">
        <v>8</v>
      </c>
      <c r="AG121" s="294">
        <f t="shared" si="286"/>
        <v>34</v>
      </c>
      <c r="AH121" s="311">
        <f t="shared" ref="AH121:AH125" si="306">SUM(AC121:AG121)</f>
        <v>370</v>
      </c>
      <c r="AI121" s="288">
        <f>IF(T121="AIR",'Catalogue Aluminium'!$K$9,IF(T121="TRENCH",'Catalogue Aluminium'!$K$12,"NA"))</f>
        <v>0.89</v>
      </c>
      <c r="AJ121" s="287">
        <f>IF(T121="Air",(IF(U121="1C",'Catalogue Aluminium'!$L$9,'Catalogue Aluminium'!$M$9)),IF(T121="DUCT",(IF($U121="1C",'Catalogue Aluminium'!$L$10,'Catalogue Aluminium'!$M$10)),IF(T121="GROUND",(IF($U121="1C",'Catalogue Aluminium'!$L$11,'Catalogue Aluminium'!$M$11)),IF(T121="TRENCH",(IF($U121="1C",'Catalogue Aluminium'!$L$12,'Catalogue Aluminium'!$M$12))))))</f>
        <v>0.66</v>
      </c>
      <c r="AK121" s="288" t="str">
        <f>IF(T121="Air",'Catalogue Aluminium'!$N$9,IF(T121="GROUND",'Catalogue Aluminium'!$N$10,IF(T121="DUCT",'Catalogue Aluminium'!$N$11,IF(T121="TRENCH",'Catalogue Aluminium'!$N$12,"NA"))))</f>
        <v>NA</v>
      </c>
      <c r="AL121" s="288" t="str">
        <f>IF(T121="Air",(IF(U121="1C",'Catalogue Aluminium'!$O$9,'Catalogue Aluminium'!$P$9)),IF(T121="DUCT",(IF($U121="1C",'Catalogue Aluminium'!$O$10,'Catalogue Aluminium'!$P$10)),IF(T121="GROUND",(IF($U121="1C",'Catalogue Aluminium'!$O$11,'Catalogue Aluminium'!$P$11)),IF(T121="TRENCH",(IF($U121="1C",'Catalogue Aluminium'!$O$12,'Catalogue Aluminium'!$P$12))))))</f>
        <v>NA</v>
      </c>
      <c r="AM121" s="288" t="str">
        <f>IF(T121="AIR","NA",IF(T121="TRENCH","NA",IF(T121="DUCT",IF(U121="1C",VLOOKUP(V121,'Catalogue Aluminium'!$Q$9:$S$28,2,FALSE),VLOOKUP(V121,'Catalogue Aluminium'!$Q$9:$S$28,3)),IF(T121="GROUND",IF(U121="1C",VLOOKUP(V121,'Catalogue Aluminium'!$Q$9:$S$28,2,FALSE),VLOOKUP(V121,'Catalogue Aluminium'!$Q$9:$S$28,3))))))</f>
        <v>NA</v>
      </c>
      <c r="AN121" s="312">
        <f t="shared" si="287"/>
        <v>0.58740000000000003</v>
      </c>
      <c r="AO121" s="304">
        <f t="shared" si="288"/>
        <v>55.803000000000004</v>
      </c>
      <c r="AP121" s="309">
        <f t="shared" si="220"/>
        <v>1</v>
      </c>
      <c r="AQ121" s="304" t="str">
        <f t="shared" si="289"/>
        <v>YES</v>
      </c>
      <c r="AR121" s="312">
        <f t="shared" si="290"/>
        <v>2.0283185930040295</v>
      </c>
      <c r="AS121" s="294" t="str">
        <f t="shared" si="291"/>
        <v>YES</v>
      </c>
      <c r="AT121" s="312" t="str">
        <f t="shared" si="299"/>
        <v>NA</v>
      </c>
      <c r="AU121" s="294" t="str">
        <f t="shared" si="292"/>
        <v>NA</v>
      </c>
      <c r="AV121" s="353" t="str">
        <f t="shared" si="293"/>
        <v>1R x 0.6/1kV x 3C x 25 Sqmm</v>
      </c>
      <c r="AW121" s="353" t="str">
        <f t="shared" si="294"/>
        <v>1R x 0.6/1kV x 3C x 25 Sqmm</v>
      </c>
      <c r="AX121" s="294">
        <f t="shared" si="300"/>
        <v>370</v>
      </c>
      <c r="AY121" s="354"/>
    </row>
    <row r="122" spans="1:51" ht="20.149999999999999" customHeight="1">
      <c r="A122" s="285">
        <f t="shared" si="301"/>
        <v>82</v>
      </c>
      <c r="B122" s="285" t="s">
        <v>382</v>
      </c>
      <c r="C122" s="285" t="s">
        <v>344</v>
      </c>
      <c r="D122" s="244" t="s">
        <v>449</v>
      </c>
      <c r="E122" s="352" t="s">
        <v>310</v>
      </c>
      <c r="F122" s="285" t="s">
        <v>28</v>
      </c>
      <c r="G122" s="285" t="s">
        <v>298</v>
      </c>
      <c r="H122" s="304">
        <v>2</v>
      </c>
      <c r="I122" s="285" t="s">
        <v>299</v>
      </c>
      <c r="J122" s="285" t="s">
        <v>300</v>
      </c>
      <c r="K122" s="309">
        <v>400</v>
      </c>
      <c r="L122" s="294">
        <v>0.85</v>
      </c>
      <c r="M122" s="304">
        <v>0.95</v>
      </c>
      <c r="N122" s="287">
        <f t="shared" si="280"/>
        <v>3.5750291364874629</v>
      </c>
      <c r="O122" s="287">
        <f t="shared" si="303"/>
        <v>0</v>
      </c>
      <c r="P122" s="294" t="str">
        <f t="shared" si="281"/>
        <v>0.00</v>
      </c>
      <c r="Q122" s="304">
        <v>65</v>
      </c>
      <c r="R122" s="304">
        <v>0</v>
      </c>
      <c r="S122" s="304">
        <f t="shared" si="282"/>
        <v>0</v>
      </c>
      <c r="T122" s="294" t="s">
        <v>131</v>
      </c>
      <c r="U122" s="304" t="s">
        <v>377</v>
      </c>
      <c r="V122" s="294">
        <v>6</v>
      </c>
      <c r="W122" s="294" t="str">
        <f t="shared" si="283"/>
        <v>4C X 6</v>
      </c>
      <c r="X122" s="294" t="str">
        <f t="shared" si="284"/>
        <v>4C X 6</v>
      </c>
      <c r="Y122" s="294" t="s">
        <v>314</v>
      </c>
      <c r="Z122" s="288">
        <f>IF(T122="AIR",VLOOKUP(W122,'Catalogue Aluminium'!$B$9:$G$91,2,FALSE),IF(T122="GROUND",VLOOKUP(W122,'Catalogue Aluminium'!$B$9:$G$91,3,FALSE),IF(T122="DUCT",VLOOKUP(W122,'Catalogue Aluminium'!$B$9:$G$91,4,FALSE),IF(T122="TRENCH",VLOOKUP(W122,'Catalogue Aluminium'!$B$9:$G$91,2,FALSE)))))</f>
        <v>51</v>
      </c>
      <c r="AA122" s="295">
        <f>VLOOKUP(W122,'Catalogue Aluminium'!$B$9:$G$91,5,FALSE)</f>
        <v>3.94</v>
      </c>
      <c r="AB122" s="295">
        <f>VLOOKUP(W122,'Catalogue Aluminium'!$B$9:$G$91,6,FALSE)</f>
        <v>9.0200000000000002E-2</v>
      </c>
      <c r="AC122" s="294">
        <f t="shared" si="297"/>
        <v>29</v>
      </c>
      <c r="AD122" s="294">
        <f>40+50+38+50+17+(27+47)</f>
        <v>269</v>
      </c>
      <c r="AE122" s="294">
        <f t="shared" si="285"/>
        <v>38</v>
      </c>
      <c r="AF122" s="294">
        <v>8</v>
      </c>
      <c r="AG122" s="294">
        <f t="shared" si="286"/>
        <v>35</v>
      </c>
      <c r="AH122" s="311">
        <f t="shared" si="306"/>
        <v>379</v>
      </c>
      <c r="AI122" s="288">
        <f>IF(T122="AIR",'Catalogue Aluminium'!$K$9,IF(T122="TRENCH",'Catalogue Aluminium'!$K$12,"NA"))</f>
        <v>0.89</v>
      </c>
      <c r="AJ122" s="287">
        <f>IF(T122="Air",(IF(U122="1C",'Catalogue Aluminium'!$L$9,'Catalogue Aluminium'!$M$9)),IF(T122="DUCT",(IF($U122="1C",'Catalogue Aluminium'!$L$10,'Catalogue Aluminium'!$M$10)),IF(T122="GROUND",(IF($U122="1C",'Catalogue Aluminium'!$L$11,'Catalogue Aluminium'!$M$11)),IF(T122="TRENCH",(IF($U122="1C",'Catalogue Aluminium'!$L$12,'Catalogue Aluminium'!$M$12))))))</f>
        <v>0.66</v>
      </c>
      <c r="AK122" s="288" t="str">
        <f>IF(T122="Air",'Catalogue Aluminium'!$N$9,IF(T122="GROUND",'Catalogue Aluminium'!$N$10,IF(T122="DUCT",'Catalogue Aluminium'!$N$11,IF(T122="TRENCH",'Catalogue Aluminium'!$N$12,"NA"))))</f>
        <v>NA</v>
      </c>
      <c r="AL122" s="288" t="str">
        <f>IF(T122="Air",(IF(U122="1C",'Catalogue Aluminium'!$O$9,'Catalogue Aluminium'!$P$9)),IF(T122="DUCT",(IF($U122="1C",'Catalogue Aluminium'!$O$10,'Catalogue Aluminium'!$P$10)),IF(T122="GROUND",(IF($U122="1C",'Catalogue Aluminium'!$O$11,'Catalogue Aluminium'!$P$11)),IF(T122="TRENCH",(IF($U122="1C",'Catalogue Aluminium'!$O$12,'Catalogue Aluminium'!$P$12))))))</f>
        <v>NA</v>
      </c>
      <c r="AM122" s="288" t="str">
        <f>IF(T122="AIR","NA",IF(T122="TRENCH","NA",IF(T122="DUCT",IF(U122="1C",VLOOKUP(V122,'Catalogue Aluminium'!$Q$9:$S$28,2,FALSE),VLOOKUP(V122,'Catalogue Aluminium'!$Q$9:$S$28,3)),IF(T122="GROUND",IF(U122="1C",VLOOKUP(V122,'Catalogue Aluminium'!$Q$9:$S$28,2,FALSE),VLOOKUP(V122,'Catalogue Aluminium'!$Q$9:$S$28,3))))))</f>
        <v>NA</v>
      </c>
      <c r="AN122" s="312">
        <f t="shared" si="287"/>
        <v>0.58740000000000003</v>
      </c>
      <c r="AO122" s="304">
        <f t="shared" si="288"/>
        <v>29.957400000000003</v>
      </c>
      <c r="AP122" s="309">
        <f t="shared" si="220"/>
        <v>1</v>
      </c>
      <c r="AQ122" s="304" t="str">
        <f t="shared" si="289"/>
        <v>YES</v>
      </c>
      <c r="AR122" s="312">
        <f t="shared" si="290"/>
        <v>1.9927511601595154</v>
      </c>
      <c r="AS122" s="294" t="str">
        <f t="shared" si="291"/>
        <v>YES</v>
      </c>
      <c r="AT122" s="312" t="str">
        <f t="shared" si="299"/>
        <v>NA</v>
      </c>
      <c r="AU122" s="294" t="str">
        <f t="shared" si="292"/>
        <v>NA</v>
      </c>
      <c r="AV122" s="353" t="str">
        <f t="shared" si="293"/>
        <v>1R x 0.6/1kV x 4C x 6 Sqmm</v>
      </c>
      <c r="AW122" s="353" t="str">
        <f t="shared" si="294"/>
        <v>1R x 0.6/1kV x 4C x 6 Sqmm</v>
      </c>
      <c r="AX122" s="294">
        <f t="shared" si="300"/>
        <v>379</v>
      </c>
      <c r="AY122" s="354"/>
    </row>
    <row r="123" spans="1:51" ht="20.149999999999999" customHeight="1">
      <c r="A123" s="285">
        <f t="shared" si="301"/>
        <v>83</v>
      </c>
      <c r="B123" s="285" t="s">
        <v>382</v>
      </c>
      <c r="C123" s="285" t="s">
        <v>344</v>
      </c>
      <c r="D123" s="244" t="s">
        <v>450</v>
      </c>
      <c r="E123" s="352" t="s">
        <v>410</v>
      </c>
      <c r="F123" s="369" t="s">
        <v>28</v>
      </c>
      <c r="G123" s="285" t="s">
        <v>298</v>
      </c>
      <c r="H123" s="304">
        <v>2</v>
      </c>
      <c r="I123" s="285" t="s">
        <v>299</v>
      </c>
      <c r="J123" s="285" t="s">
        <v>313</v>
      </c>
      <c r="K123" s="309">
        <v>230</v>
      </c>
      <c r="L123" s="294">
        <v>0.85</v>
      </c>
      <c r="M123" s="304">
        <v>0.95</v>
      </c>
      <c r="N123" s="287">
        <f t="shared" si="280"/>
        <v>10.768609503297887</v>
      </c>
      <c r="O123" s="287">
        <f t="shared" si="303"/>
        <v>0</v>
      </c>
      <c r="P123" s="294" t="str">
        <f t="shared" si="281"/>
        <v>0.00</v>
      </c>
      <c r="Q123" s="304">
        <v>65</v>
      </c>
      <c r="R123" s="304">
        <v>0</v>
      </c>
      <c r="S123" s="304">
        <f t="shared" si="282"/>
        <v>0</v>
      </c>
      <c r="T123" s="294" t="s">
        <v>131</v>
      </c>
      <c r="U123" s="304" t="s">
        <v>302</v>
      </c>
      <c r="V123" s="294">
        <v>16</v>
      </c>
      <c r="W123" s="294" t="str">
        <f t="shared" si="283"/>
        <v>3C X 16</v>
      </c>
      <c r="X123" s="294" t="str">
        <f t="shared" si="284"/>
        <v>3C X 16</v>
      </c>
      <c r="Y123" s="294" t="s">
        <v>314</v>
      </c>
      <c r="Z123" s="288">
        <f>IF(T123="AIR",VLOOKUP(W123,'Catalogue Aluminium'!$B$9:$G$91,2,FALSE),IF(T123="GROUND",VLOOKUP(W123,'Catalogue Aluminium'!$B$9:$G$91,3,FALSE),IF(T123="DUCT",VLOOKUP(W123,'Catalogue Aluminium'!$B$9:$G$91,4,FALSE),IF(T123="TRENCH",VLOOKUP(W123,'Catalogue Aluminium'!$B$9:$G$91,2,FALSE)))))</f>
        <v>70</v>
      </c>
      <c r="AA123" s="295">
        <f>VLOOKUP(W123,'Catalogue Aluminium'!$B$9:$G$91,5,FALSE)</f>
        <v>2.44</v>
      </c>
      <c r="AB123" s="295">
        <f>VLOOKUP(W123,'Catalogue Aluminium'!$B$9:$G$91,6,FALSE)</f>
        <v>8.1500000000000003E-2</v>
      </c>
      <c r="AC123" s="294">
        <f t="shared" si="297"/>
        <v>29</v>
      </c>
      <c r="AD123" s="294">
        <v>80</v>
      </c>
      <c r="AE123" s="294">
        <v>5</v>
      </c>
      <c r="AF123" s="294">
        <v>8</v>
      </c>
      <c r="AG123" s="294">
        <f t="shared" si="286"/>
        <v>13</v>
      </c>
      <c r="AH123" s="311">
        <f t="shared" si="306"/>
        <v>135</v>
      </c>
      <c r="AI123" s="288">
        <f>IF(T123="AIR",'Catalogue Aluminium'!$K$9,IF(T123="TRENCH",'Catalogue Aluminium'!$K$12,"NA"))</f>
        <v>0.89</v>
      </c>
      <c r="AJ123" s="287">
        <f>IF(T123="Air",(IF(U123="1C",'Catalogue Aluminium'!$L$9,'Catalogue Aluminium'!$M$9)),IF(T123="DUCT",(IF($U123="1C",'Catalogue Aluminium'!$L$10,'Catalogue Aluminium'!$M$10)),IF(T123="GROUND",(IF($U123="1C",'Catalogue Aluminium'!$L$11,'Catalogue Aluminium'!$M$11)),IF(T123="TRENCH",(IF($U123="1C",'Catalogue Aluminium'!$L$12,'Catalogue Aluminium'!$M$12))))))</f>
        <v>0.66</v>
      </c>
      <c r="AK123" s="288" t="str">
        <f>IF(T123="Air",'Catalogue Aluminium'!$N$9,IF(T123="GROUND",'Catalogue Aluminium'!$N$10,IF(T123="DUCT",'Catalogue Aluminium'!$N$11,IF(T123="TRENCH",'Catalogue Aluminium'!$N$12,"NA"))))</f>
        <v>NA</v>
      </c>
      <c r="AL123" s="288" t="str">
        <f>IF(T123="Air",(IF(U123="1C",'Catalogue Aluminium'!$O$9,'Catalogue Aluminium'!$P$9)),IF(T123="DUCT",(IF($U123="1C",'Catalogue Aluminium'!$O$10,'Catalogue Aluminium'!$P$10)),IF(T123="GROUND",(IF($U123="1C",'Catalogue Aluminium'!$O$11,'Catalogue Aluminium'!$P$11)),IF(T123="TRENCH",(IF($U123="1C",'Catalogue Aluminium'!$O$12,'Catalogue Aluminium'!$P$12))))))</f>
        <v>NA</v>
      </c>
      <c r="AM123" s="288" t="str">
        <f>IF(T123="AIR","NA",IF(T123="TRENCH","NA",IF(T123="DUCT",IF(U123="1C",VLOOKUP(V123,'Catalogue Aluminium'!$Q$9:$S$28,2,FALSE),VLOOKUP(V123,'Catalogue Aluminium'!$Q$9:$S$28,3)),IF(T123="GROUND",IF(U123="1C",VLOOKUP(V123,'Catalogue Aluminium'!$Q$9:$S$28,2,FALSE),VLOOKUP(V123,'Catalogue Aluminium'!$Q$9:$S$28,3))))))</f>
        <v>NA</v>
      </c>
      <c r="AN123" s="312">
        <f t="shared" si="287"/>
        <v>0.58740000000000003</v>
      </c>
      <c r="AO123" s="304">
        <f t="shared" si="288"/>
        <v>41.118000000000002</v>
      </c>
      <c r="AP123" s="309">
        <f t="shared" si="220"/>
        <v>1</v>
      </c>
      <c r="AQ123" s="304" t="str">
        <f t="shared" si="289"/>
        <v>YES</v>
      </c>
      <c r="AR123" s="312">
        <f t="shared" si="290"/>
        <v>2.3175721225147079</v>
      </c>
      <c r="AS123" s="294" t="str">
        <f t="shared" si="291"/>
        <v>YES</v>
      </c>
      <c r="AT123" s="312" t="str">
        <f t="shared" si="299"/>
        <v>NA</v>
      </c>
      <c r="AU123" s="294" t="str">
        <f t="shared" si="292"/>
        <v>NA</v>
      </c>
      <c r="AV123" s="353" t="str">
        <f t="shared" si="293"/>
        <v>1R x 0.6/1kV x 3C x 16 Sqmm</v>
      </c>
      <c r="AW123" s="353" t="str">
        <f t="shared" si="294"/>
        <v>1R x 0.6/1kV x 3C x 16 Sqmm</v>
      </c>
      <c r="AX123" s="294">
        <f t="shared" si="300"/>
        <v>135</v>
      </c>
      <c r="AY123" s="354"/>
    </row>
    <row r="124" spans="1:51" ht="20.149999999999999" customHeight="1">
      <c r="A124" s="285">
        <f t="shared" si="301"/>
        <v>84</v>
      </c>
      <c r="B124" s="285" t="s">
        <v>382</v>
      </c>
      <c r="C124" s="368" t="s">
        <v>344</v>
      </c>
      <c r="D124" s="244" t="s">
        <v>451</v>
      </c>
      <c r="E124" s="352" t="s">
        <v>410</v>
      </c>
      <c r="F124" s="369" t="s">
        <v>28</v>
      </c>
      <c r="G124" s="285" t="s">
        <v>298</v>
      </c>
      <c r="H124" s="366">
        <v>2</v>
      </c>
      <c r="I124" s="285" t="s">
        <v>299</v>
      </c>
      <c r="J124" s="285" t="s">
        <v>313</v>
      </c>
      <c r="K124" s="309">
        <v>230</v>
      </c>
      <c r="L124" s="294">
        <v>0.85</v>
      </c>
      <c r="M124" s="304">
        <v>0.95</v>
      </c>
      <c r="N124" s="287">
        <f t="shared" si="280"/>
        <v>10.768609503297887</v>
      </c>
      <c r="O124" s="287">
        <f t="shared" si="303"/>
        <v>0</v>
      </c>
      <c r="P124" s="294" t="str">
        <f t="shared" si="281"/>
        <v>0.00</v>
      </c>
      <c r="Q124" s="304">
        <v>65</v>
      </c>
      <c r="R124" s="304">
        <v>0</v>
      </c>
      <c r="S124" s="304">
        <f t="shared" si="282"/>
        <v>0</v>
      </c>
      <c r="T124" s="294" t="s">
        <v>131</v>
      </c>
      <c r="U124" s="304" t="s">
        <v>302</v>
      </c>
      <c r="V124" s="294">
        <v>16</v>
      </c>
      <c r="W124" s="294" t="str">
        <f t="shared" si="283"/>
        <v>3C X 16</v>
      </c>
      <c r="X124" s="294" t="str">
        <f t="shared" si="284"/>
        <v>3C X 16</v>
      </c>
      <c r="Y124" s="294" t="s">
        <v>314</v>
      </c>
      <c r="Z124" s="288">
        <f>IF(T124="AIR",VLOOKUP(W124,'Catalogue Aluminium'!$B$9:$G$91,2,FALSE),IF(T124="GROUND",VLOOKUP(W124,'Catalogue Aluminium'!$B$9:$G$91,3,FALSE),IF(T124="DUCT",VLOOKUP(W124,'Catalogue Aluminium'!$B$9:$G$91,4,FALSE),IF(T124="TRENCH",VLOOKUP(W124,'Catalogue Aluminium'!$B$9:$G$91,2,FALSE)))))</f>
        <v>70</v>
      </c>
      <c r="AA124" s="295">
        <f>VLOOKUP(W124,'Catalogue Aluminium'!$B$9:$G$91,5,FALSE)</f>
        <v>2.44</v>
      </c>
      <c r="AB124" s="295">
        <f>VLOOKUP(W124,'Catalogue Aluminium'!$B$9:$G$91,6,FALSE)</f>
        <v>8.1500000000000003E-2</v>
      </c>
      <c r="AC124" s="294">
        <f t="shared" si="297"/>
        <v>29</v>
      </c>
      <c r="AD124" s="294">
        <v>80</v>
      </c>
      <c r="AE124" s="294">
        <v>5</v>
      </c>
      <c r="AF124" s="294">
        <v>8</v>
      </c>
      <c r="AG124" s="294">
        <f t="shared" si="286"/>
        <v>13</v>
      </c>
      <c r="AH124" s="311">
        <f t="shared" si="306"/>
        <v>135</v>
      </c>
      <c r="AI124" s="288">
        <f>IF(T124="AIR",'Catalogue Aluminium'!$K$9,IF(T124="TRENCH",'Catalogue Aluminium'!$K$12,"NA"))</f>
        <v>0.89</v>
      </c>
      <c r="AJ124" s="287">
        <f>IF(T124="Air",(IF(U124="1C",'Catalogue Aluminium'!$L$9,'Catalogue Aluminium'!$M$9)),IF(T124="DUCT",(IF($U124="1C",'Catalogue Aluminium'!$L$10,'Catalogue Aluminium'!$M$10)),IF(T124="GROUND",(IF($U124="1C",'Catalogue Aluminium'!$L$11,'Catalogue Aluminium'!$M$11)),IF(T124="TRENCH",(IF($U124="1C",'Catalogue Aluminium'!$L$12,'Catalogue Aluminium'!$M$12))))))</f>
        <v>0.66</v>
      </c>
      <c r="AK124" s="288" t="str">
        <f>IF(T124="Air",'Catalogue Aluminium'!$N$9,IF(T124="GROUND",'Catalogue Aluminium'!$N$10,IF(T124="DUCT",'Catalogue Aluminium'!$N$11,IF(T124="TRENCH",'Catalogue Aluminium'!$N$12,"NA"))))</f>
        <v>NA</v>
      </c>
      <c r="AL124" s="288" t="str">
        <f>IF(T124="Air",(IF(U124="1C",'Catalogue Aluminium'!$O$9,'Catalogue Aluminium'!$P$9)),IF(T124="DUCT",(IF($U124="1C",'Catalogue Aluminium'!$O$10,'Catalogue Aluminium'!$P$10)),IF(T124="GROUND",(IF($U124="1C",'Catalogue Aluminium'!$O$11,'Catalogue Aluminium'!$P$11)),IF(T124="TRENCH",(IF($U124="1C",'Catalogue Aluminium'!$O$12,'Catalogue Aluminium'!$P$12))))))</f>
        <v>NA</v>
      </c>
      <c r="AM124" s="288" t="str">
        <f>IF(T124="AIR","NA",IF(T124="TRENCH","NA",IF(T124="DUCT",IF(U124="1C",VLOOKUP(V124,'Catalogue Aluminium'!$Q$9:$S$28,2,FALSE),VLOOKUP(V124,'Catalogue Aluminium'!$Q$9:$S$28,3)),IF(T124="GROUND",IF(U124="1C",VLOOKUP(V124,'Catalogue Aluminium'!$Q$9:$S$28,2,FALSE),VLOOKUP(V124,'Catalogue Aluminium'!$Q$9:$S$28,3))))))</f>
        <v>NA</v>
      </c>
      <c r="AN124" s="312">
        <f t="shared" si="287"/>
        <v>0.58740000000000003</v>
      </c>
      <c r="AO124" s="304">
        <f t="shared" si="288"/>
        <v>41.118000000000002</v>
      </c>
      <c r="AP124" s="309">
        <f t="shared" si="220"/>
        <v>1</v>
      </c>
      <c r="AQ124" s="304" t="str">
        <f t="shared" si="289"/>
        <v>YES</v>
      </c>
      <c r="AR124" s="312">
        <f t="shared" si="290"/>
        <v>2.3175721225147079</v>
      </c>
      <c r="AS124" s="294" t="str">
        <f t="shared" si="291"/>
        <v>YES</v>
      </c>
      <c r="AT124" s="312" t="str">
        <f t="shared" si="299"/>
        <v>NA</v>
      </c>
      <c r="AU124" s="294" t="str">
        <f t="shared" si="292"/>
        <v>NA</v>
      </c>
      <c r="AV124" s="353" t="str">
        <f t="shared" si="293"/>
        <v>1R x 0.6/1kV x 3C x 16 Sqmm</v>
      </c>
      <c r="AW124" s="353" t="str">
        <f t="shared" si="294"/>
        <v>1R x 0.6/1kV x 3C x 16 Sqmm</v>
      </c>
      <c r="AX124" s="294">
        <f t="shared" si="300"/>
        <v>135</v>
      </c>
      <c r="AY124" s="354"/>
    </row>
    <row r="125" spans="1:51" ht="27" customHeight="1">
      <c r="A125" s="285">
        <f t="shared" si="301"/>
        <v>85</v>
      </c>
      <c r="B125" s="285" t="s">
        <v>382</v>
      </c>
      <c r="C125" s="285" t="s">
        <v>344</v>
      </c>
      <c r="D125" s="244" t="s">
        <v>452</v>
      </c>
      <c r="E125" s="352" t="s">
        <v>410</v>
      </c>
      <c r="F125" s="285" t="s">
        <v>28</v>
      </c>
      <c r="G125" s="285" t="s">
        <v>298</v>
      </c>
      <c r="H125" s="304">
        <v>2</v>
      </c>
      <c r="I125" s="285" t="s">
        <v>299</v>
      </c>
      <c r="J125" s="285" t="s">
        <v>313</v>
      </c>
      <c r="K125" s="309">
        <v>230</v>
      </c>
      <c r="L125" s="294">
        <v>0.85</v>
      </c>
      <c r="M125" s="304">
        <v>0.95</v>
      </c>
      <c r="N125" s="287">
        <f t="shared" si="280"/>
        <v>10.768609503297887</v>
      </c>
      <c r="O125" s="287">
        <f t="shared" si="303"/>
        <v>0</v>
      </c>
      <c r="P125" s="294" t="str">
        <f t="shared" si="281"/>
        <v>0.00</v>
      </c>
      <c r="Q125" s="304">
        <v>65</v>
      </c>
      <c r="R125" s="304">
        <v>0</v>
      </c>
      <c r="S125" s="304">
        <f t="shared" si="282"/>
        <v>0</v>
      </c>
      <c r="T125" s="294" t="s">
        <v>131</v>
      </c>
      <c r="U125" s="304" t="s">
        <v>302</v>
      </c>
      <c r="V125" s="294">
        <v>16</v>
      </c>
      <c r="W125" s="294" t="str">
        <f t="shared" si="283"/>
        <v>3C X 16</v>
      </c>
      <c r="X125" s="294" t="str">
        <f t="shared" si="284"/>
        <v>3C X 16</v>
      </c>
      <c r="Y125" s="294" t="s">
        <v>314</v>
      </c>
      <c r="Z125" s="288">
        <f>IF(T125="AIR",VLOOKUP(W125,'Catalogue Aluminium'!$B$9:$G$91,2,FALSE),IF(T125="GROUND",VLOOKUP(W125,'Catalogue Aluminium'!$B$9:$G$91,3,FALSE),IF(T125="DUCT",VLOOKUP(W125,'Catalogue Aluminium'!$B$9:$G$91,4,FALSE),IF(T125="TRENCH",VLOOKUP(W125,'Catalogue Aluminium'!$B$9:$G$91,2,FALSE)))))</f>
        <v>70</v>
      </c>
      <c r="AA125" s="295">
        <f>VLOOKUP(W125,'Catalogue Aluminium'!$B$9:$G$91,5,FALSE)</f>
        <v>2.44</v>
      </c>
      <c r="AB125" s="295">
        <f>VLOOKUP(W125,'Catalogue Aluminium'!$B$9:$G$91,6,FALSE)</f>
        <v>8.1500000000000003E-2</v>
      </c>
      <c r="AC125" s="294">
        <f t="shared" si="297"/>
        <v>29</v>
      </c>
      <c r="AD125" s="294">
        <v>80</v>
      </c>
      <c r="AE125" s="294">
        <v>5</v>
      </c>
      <c r="AF125" s="294">
        <v>8</v>
      </c>
      <c r="AG125" s="294">
        <f t="shared" si="286"/>
        <v>13</v>
      </c>
      <c r="AH125" s="311">
        <f t="shared" si="306"/>
        <v>135</v>
      </c>
      <c r="AI125" s="288">
        <f>IF(T125="AIR",'Catalogue Aluminium'!$K$9,IF(T125="TRENCH",'Catalogue Aluminium'!$K$12,"NA"))</f>
        <v>0.89</v>
      </c>
      <c r="AJ125" s="287">
        <f>IF(T125="Air",(IF(U125="1C",'Catalogue Aluminium'!$L$9,'Catalogue Aluminium'!$M$9)),IF(T125="DUCT",(IF($U125="1C",'Catalogue Aluminium'!$L$10,'Catalogue Aluminium'!$M$10)),IF(T125="GROUND",(IF($U125="1C",'Catalogue Aluminium'!$L$11,'Catalogue Aluminium'!$M$11)),IF(T125="TRENCH",(IF($U125="1C",'Catalogue Aluminium'!$L$12,'Catalogue Aluminium'!$M$12))))))</f>
        <v>0.66</v>
      </c>
      <c r="AK125" s="288" t="str">
        <f>IF(T125="Air",'Catalogue Aluminium'!$N$9,IF(T125="GROUND",'Catalogue Aluminium'!$N$10,IF(T125="DUCT",'Catalogue Aluminium'!$N$11,IF(T125="TRENCH",'Catalogue Aluminium'!$N$12,"NA"))))</f>
        <v>NA</v>
      </c>
      <c r="AL125" s="288" t="str">
        <f>IF(T125="Air",(IF(U125="1C",'Catalogue Aluminium'!$O$9,'Catalogue Aluminium'!$P$9)),IF(T125="DUCT",(IF($U125="1C",'Catalogue Aluminium'!$O$10,'Catalogue Aluminium'!$P$10)),IF(T125="GROUND",(IF($U125="1C",'Catalogue Aluminium'!$O$11,'Catalogue Aluminium'!$P$11)),IF(T125="TRENCH",(IF($U125="1C",'Catalogue Aluminium'!$O$12,'Catalogue Aluminium'!$P$12))))))</f>
        <v>NA</v>
      </c>
      <c r="AM125" s="288" t="str">
        <f>IF(T125="AIR","NA",IF(T125="TRENCH","NA",IF(T125="DUCT",IF(U125="1C",VLOOKUP(V125,'Catalogue Aluminium'!$Q$9:$S$28,2,FALSE),VLOOKUP(V125,'Catalogue Aluminium'!$Q$9:$S$28,3)),IF(T125="GROUND",IF(U125="1C",VLOOKUP(V125,'Catalogue Aluminium'!$Q$9:$S$28,2,FALSE),VLOOKUP(V125,'Catalogue Aluminium'!$Q$9:$S$28,3))))))</f>
        <v>NA</v>
      </c>
      <c r="AN125" s="312">
        <f t="shared" si="287"/>
        <v>0.58740000000000003</v>
      </c>
      <c r="AO125" s="304">
        <f t="shared" si="288"/>
        <v>41.118000000000002</v>
      </c>
      <c r="AP125" s="309">
        <f t="shared" si="220"/>
        <v>1</v>
      </c>
      <c r="AQ125" s="304" t="str">
        <f t="shared" si="289"/>
        <v>YES</v>
      </c>
      <c r="AR125" s="312">
        <f t="shared" si="290"/>
        <v>2.3175721225147079</v>
      </c>
      <c r="AS125" s="294" t="str">
        <f t="shared" si="291"/>
        <v>YES</v>
      </c>
      <c r="AT125" s="312" t="str">
        <f t="shared" si="299"/>
        <v>NA</v>
      </c>
      <c r="AU125" s="294" t="str">
        <f t="shared" si="292"/>
        <v>NA</v>
      </c>
      <c r="AV125" s="353" t="str">
        <f t="shared" si="293"/>
        <v>1R x 0.6/1kV x 3C x 16 Sqmm</v>
      </c>
      <c r="AW125" s="353" t="str">
        <f t="shared" si="294"/>
        <v>1R x 0.6/1kV x 3C x 16 Sqmm</v>
      </c>
      <c r="AX125" s="294">
        <f t="shared" si="300"/>
        <v>135</v>
      </c>
      <c r="AY125" s="354"/>
    </row>
    <row r="126" spans="1:51" s="70" customFormat="1" ht="33" customHeight="1">
      <c r="A126" s="273"/>
      <c r="B126" s="273"/>
      <c r="C126" s="273"/>
      <c r="D126" s="357" t="s">
        <v>455</v>
      </c>
      <c r="E126" s="358"/>
      <c r="F126" s="359"/>
      <c r="G126" s="273"/>
      <c r="H126" s="281"/>
      <c r="I126" s="273"/>
      <c r="J126" s="273"/>
      <c r="K126" s="280"/>
      <c r="L126" s="275"/>
      <c r="M126" s="281"/>
      <c r="N126" s="274"/>
      <c r="O126" s="274"/>
      <c r="P126" s="275"/>
      <c r="Q126" s="281"/>
      <c r="R126" s="281"/>
      <c r="S126" s="281"/>
      <c r="T126" s="275"/>
      <c r="U126" s="281" t="s">
        <v>302</v>
      </c>
      <c r="V126" s="275"/>
      <c r="W126" s="275"/>
      <c r="X126" s="275"/>
      <c r="Y126" s="275"/>
      <c r="Z126" s="276"/>
      <c r="AA126" s="277"/>
      <c r="AB126" s="277"/>
      <c r="AC126" s="277"/>
      <c r="AD126" s="277"/>
      <c r="AE126" s="277"/>
      <c r="AF126" s="277"/>
      <c r="AG126" s="277"/>
      <c r="AH126" s="277"/>
      <c r="AI126" s="276"/>
      <c r="AJ126" s="274"/>
      <c r="AK126" s="276"/>
      <c r="AL126" s="276"/>
      <c r="AM126" s="276"/>
      <c r="AN126" s="282"/>
      <c r="AO126" s="281"/>
      <c r="AP126" s="280"/>
      <c r="AQ126" s="281"/>
      <c r="AR126" s="282"/>
      <c r="AS126" s="275"/>
      <c r="AT126" s="282"/>
      <c r="AU126" s="282"/>
      <c r="AV126" s="283"/>
      <c r="AW126" s="283"/>
      <c r="AX126" s="275"/>
      <c r="AY126" s="284"/>
    </row>
    <row r="127" spans="1:51" ht="20.149999999999999" customHeight="1">
      <c r="A127" s="285">
        <f>1+A125</f>
        <v>86</v>
      </c>
      <c r="B127" s="298" t="s">
        <v>1017</v>
      </c>
      <c r="C127" s="285" t="s">
        <v>344</v>
      </c>
      <c r="D127" s="244" t="s">
        <v>456</v>
      </c>
      <c r="E127" s="352" t="s">
        <v>310</v>
      </c>
      <c r="F127" s="285" t="s">
        <v>28</v>
      </c>
      <c r="G127" s="285" t="s">
        <v>298</v>
      </c>
      <c r="H127" s="304">
        <v>7.5</v>
      </c>
      <c r="I127" s="285" t="s">
        <v>299</v>
      </c>
      <c r="J127" s="285" t="s">
        <v>300</v>
      </c>
      <c r="K127" s="309">
        <v>400</v>
      </c>
      <c r="L127" s="294">
        <v>0.85</v>
      </c>
      <c r="M127" s="304">
        <v>0.95</v>
      </c>
      <c r="N127" s="287">
        <f t="shared" ref="N127:N139" si="307">IF(I127="kVA",IF(J127="3Ph",(H127*1000/(1.732*M127*K127)),(H127*1000/(M127*K127))),IF(I127="kW",IF(J127="3Ph",(H127*1000/(1.732*M127*K127*L127)),(H127*1000/(M127*K127*L127)))))</f>
        <v>13.406359261827985</v>
      </c>
      <c r="O127" s="287">
        <f t="shared" si="303"/>
        <v>0</v>
      </c>
      <c r="P127" s="294" t="str">
        <f t="shared" ref="P127:P139" si="308">IF(G127="MOTOR",0.2,"0.00")</f>
        <v>0.00</v>
      </c>
      <c r="Q127" s="304">
        <v>65</v>
      </c>
      <c r="R127" s="304">
        <v>0</v>
      </c>
      <c r="S127" s="304">
        <f t="shared" ref="S127:S139" si="309">(Q127*1000*SQRT(R127)/143)</f>
        <v>0</v>
      </c>
      <c r="T127" s="294" t="s">
        <v>131</v>
      </c>
      <c r="U127" s="304" t="s">
        <v>390</v>
      </c>
      <c r="V127" s="294">
        <v>35</v>
      </c>
      <c r="W127" s="294" t="str">
        <f t="shared" ref="W127:W139" si="310">CONCATENATE(U127," X ",V127)</f>
        <v>3.5C X 35</v>
      </c>
      <c r="X127" s="294" t="str">
        <f t="shared" ref="X127:X139" si="311">(IF(J127="1Ph",W127,IF(J127="3Ph",(IF(G127="MOTOR",(CONCATENATE(W127,"+PE")),W127)))))</f>
        <v>3.5C X 35</v>
      </c>
      <c r="Y127" s="294" t="s">
        <v>314</v>
      </c>
      <c r="Z127" s="288">
        <f>IF(T127="AIR",VLOOKUP(W127,'Catalogue Aluminium'!$B$9:$G$91,2,FALSE),IF(T127="GROUND",VLOOKUP(W127,'Catalogue Aluminium'!$B$9:$G$91,3,FALSE),IF(T127="DUCT",VLOOKUP(W127,'Catalogue Aluminium'!$B$9:$G$91,4,FALSE),IF(T127="TRENCH",VLOOKUP(W127,'Catalogue Aluminium'!$B$9:$G$91,2,FALSE)))))</f>
        <v>117</v>
      </c>
      <c r="AA127" s="295">
        <f>VLOOKUP(W127,'Catalogue Aluminium'!$B$9:$G$91,5,FALSE)</f>
        <v>1.1100000000000001</v>
      </c>
      <c r="AB127" s="295">
        <f>VLOOKUP(W127,'Catalogue Aluminium'!$B$9:$G$91,6,FALSE)</f>
        <v>7.9399999999999998E-2</v>
      </c>
      <c r="AC127" s="294">
        <f t="shared" ref="AC127:AC139" si="312">26+3</f>
        <v>29</v>
      </c>
      <c r="AD127" s="294">
        <f>40+50+38+50+17+(27+25)</f>
        <v>247</v>
      </c>
      <c r="AE127" s="294">
        <f t="shared" ref="AE127:AE136" si="313">11+8+8+11</f>
        <v>38</v>
      </c>
      <c r="AF127" s="294">
        <v>8</v>
      </c>
      <c r="AG127" s="294">
        <f t="shared" ref="AG127:AG139" si="314">ROUNDUP((SUM(AC127:AF127)*0.1),0)</f>
        <v>33</v>
      </c>
      <c r="AH127" s="311">
        <f t="shared" ref="AH127:AH139" si="315">SUM(AC127:AG127)</f>
        <v>355</v>
      </c>
      <c r="AI127" s="288">
        <f>IF(T127="AIR",'Catalogue Aluminium'!$K$9,IF(T127="TRENCH",'Catalogue Aluminium'!$K$12,"NA"))</f>
        <v>0.89</v>
      </c>
      <c r="AJ127" s="287">
        <f>IF(T127="Air",(IF(U127="1C",'Catalogue Aluminium'!$L$9,'Catalogue Aluminium'!$M$9)),IF(T127="DUCT",(IF($U127="1C",'Catalogue Aluminium'!$L$10,'Catalogue Aluminium'!$M$10)),IF(T127="GROUND",(IF($U127="1C",'Catalogue Aluminium'!$L$11,'Catalogue Aluminium'!$M$11)),IF(T127="TRENCH",(IF($U127="1C",'Catalogue Aluminium'!$L$12,'Catalogue Aluminium'!$M$12))))))</f>
        <v>0.66</v>
      </c>
      <c r="AK127" s="288" t="str">
        <f>IF(T127="Air",'Catalogue Aluminium'!$N$9,IF(T127="GROUND",'Catalogue Aluminium'!$N$10,IF(T127="DUCT",'Catalogue Aluminium'!$N$11,IF(T127="TRENCH",'Catalogue Aluminium'!$N$12,"NA"))))</f>
        <v>NA</v>
      </c>
      <c r="AL127" s="288" t="str">
        <f>IF(T127="Air",(IF(U127="1C",'Catalogue Aluminium'!$O$9,'Catalogue Aluminium'!$P$9)),IF(T127="DUCT",(IF($U127="1C",'Catalogue Aluminium'!$O$10,'Catalogue Aluminium'!$P$10)),IF(T127="GROUND",(IF($U127="1C",'Catalogue Aluminium'!$O$11,'Catalogue Aluminium'!$P$11)),IF(T127="TRENCH",(IF($U127="1C",'Catalogue Aluminium'!$O$12,'Catalogue Aluminium'!$P$12))))))</f>
        <v>NA</v>
      </c>
      <c r="AM127" s="288" t="str">
        <f>IF(T127="AIR","NA",IF(T127="TRENCH","NA",IF(T127="DUCT",IF(U127="1C",VLOOKUP(V127,'Catalogue Aluminium'!$Q$9:$S$28,2,FALSE),VLOOKUP(V127,'Catalogue Aluminium'!$Q$9:$S$28,3)),IF(T127="GROUND",IF(U127="1C",VLOOKUP(V127,'Catalogue Aluminium'!$Q$9:$S$28,2,FALSE),VLOOKUP(V127,'Catalogue Aluminium'!$Q$9:$S$28,3))))))</f>
        <v>NA</v>
      </c>
      <c r="AN127" s="312">
        <f t="shared" ref="AN127:AN139" si="316">IF(T127="AIR",AI127*AJ127,IF(T127="TRENCH",AI127*AJ127,IF(T127="DUCT",AJ127*AK127*AL127*AM127,IF(T127="GROUND",AJ127*AK127*AL127*AM127))))</f>
        <v>0.58740000000000003</v>
      </c>
      <c r="AO127" s="304">
        <f t="shared" ref="AO127:AO139" si="317">Z127*AN127</f>
        <v>68.725800000000007</v>
      </c>
      <c r="AP127" s="309">
        <f t="shared" si="220"/>
        <v>1</v>
      </c>
      <c r="AQ127" s="304" t="str">
        <f t="shared" ref="AQ127:AQ139" si="318">IF(AO127*AP127&gt;=N127,"YES","NO")</f>
        <v>YES</v>
      </c>
      <c r="AR127" s="312">
        <f t="shared" ref="AR127:AR139" si="319">SQRT(3)*AH127*N127*((AA127*L127)+(AB127*SIN(ACOS(L127))))*100/(AP127*K127*1000)</f>
        <v>2.0305796319765559</v>
      </c>
      <c r="AS127" s="294" t="str">
        <f t="shared" ref="AS127:AS139" si="320">IF(G127="INCOMER",(IF(AR127&lt;=2,"YES","NO")),IF(G127="POWER",(IF(AR127&lt;=2.5,"YES","NO")),IF(G127="MOTOR",(IF(AR127&lt;=3,"YES","NO")))))</f>
        <v>YES</v>
      </c>
      <c r="AT127" s="312" t="str">
        <f t="shared" ref="AT127:AT139" si="321">IF(G127="MOTOR",(SQRT(3)*AH127*O127*((AA127*P127)+(AB127*SIN(ACOS(P127))))*100/(AP127*K127*1000)),"NA")</f>
        <v>NA</v>
      </c>
      <c r="AU127" s="294" t="str">
        <f t="shared" ref="AU127:AU139" si="322">IF(G127="MOTOR",IF(AT127&lt;=15,"YES","NO"),"NA")</f>
        <v>NA</v>
      </c>
      <c r="AV127" s="353" t="str">
        <f t="shared" ref="AV127:AV139" si="323">IF(U127="1C",CONCATENATE(AP127,"R x ",Y127,"kV x ",U127," x ",V127," Sqmm/Phase"),CONCATENATE(AP127,"R x ",0.6,"/1kV x ",U127," x ",V127," Sqmm"))</f>
        <v>1R x 0.6/1kV x 3.5C x 35 Sqmm</v>
      </c>
      <c r="AW127" s="353" t="str">
        <f t="shared" ref="AW127:AW139" si="324">IF(U127="1C",CONCATENATE(AP127,"R x ",Y127,"kV x ",U127," x ",V127," Sqmm/Phase"),CONCATENATE(AP127,"R x ",0.6,"/1kV x ",U127," x ",V127,(IF(G127="MOTOR","+PE",""))," Sqmm"))</f>
        <v>1R x 0.6/1kV x 3.5C x 35 Sqmm</v>
      </c>
      <c r="AX127" s="294">
        <f t="shared" ref="AX127:AX139" si="325">(IF(K127=400,(IF(U127="1C",(4*AH127*AP127),(AH127*AP127))),IF(K127=230,(AH127*AP127))))</f>
        <v>355</v>
      </c>
      <c r="AY127" s="354"/>
    </row>
    <row r="128" spans="1:51" ht="29.25" customHeight="1">
      <c r="A128" s="285">
        <f t="shared" si="301"/>
        <v>87</v>
      </c>
      <c r="B128" s="285" t="s">
        <v>382</v>
      </c>
      <c r="C128" s="285" t="s">
        <v>344</v>
      </c>
      <c r="D128" s="244" t="s">
        <v>457</v>
      </c>
      <c r="E128" s="352" t="s">
        <v>310</v>
      </c>
      <c r="F128" s="285" t="s">
        <v>29</v>
      </c>
      <c r="G128" s="285" t="s">
        <v>298</v>
      </c>
      <c r="H128" s="304">
        <v>1</v>
      </c>
      <c r="I128" s="285" t="s">
        <v>299</v>
      </c>
      <c r="J128" s="285" t="s">
        <v>313</v>
      </c>
      <c r="K128" s="309">
        <v>230</v>
      </c>
      <c r="L128" s="294">
        <v>0.85</v>
      </c>
      <c r="M128" s="304">
        <v>0.95</v>
      </c>
      <c r="N128" s="287">
        <f t="shared" si="307"/>
        <v>5.3843047516489433</v>
      </c>
      <c r="O128" s="287">
        <f t="shared" si="303"/>
        <v>0</v>
      </c>
      <c r="P128" s="294" t="str">
        <f t="shared" si="308"/>
        <v>0.00</v>
      </c>
      <c r="Q128" s="304">
        <v>65</v>
      </c>
      <c r="R128" s="304">
        <v>0</v>
      </c>
      <c r="S128" s="304">
        <f t="shared" si="309"/>
        <v>0</v>
      </c>
      <c r="T128" s="294" t="s">
        <v>131</v>
      </c>
      <c r="U128" s="304" t="s">
        <v>302</v>
      </c>
      <c r="V128" s="294">
        <v>25</v>
      </c>
      <c r="W128" s="294" t="str">
        <f t="shared" si="310"/>
        <v>3C X 25</v>
      </c>
      <c r="X128" s="294" t="str">
        <f t="shared" si="311"/>
        <v>3C X 25</v>
      </c>
      <c r="Y128" s="294" t="s">
        <v>314</v>
      </c>
      <c r="Z128" s="288">
        <f>IF(T128="AIR",VLOOKUP(W128,'Catalogue Aluminium'!$B$9:$G$91,2,FALSE),IF(T128="GROUND",VLOOKUP(W128,'Catalogue Aluminium'!$B$9:$G$91,3,FALSE),IF(T128="DUCT",VLOOKUP(W128,'Catalogue Aluminium'!$B$9:$G$91,4,FALSE),IF(T128="TRENCH",VLOOKUP(W128,'Catalogue Aluminium'!$B$9:$G$91,2,FALSE)))))</f>
        <v>95</v>
      </c>
      <c r="AA128" s="295">
        <f>VLOOKUP(W128,'Catalogue Aluminium'!$B$9:$G$91,5,FALSE)</f>
        <v>1.54</v>
      </c>
      <c r="AB128" s="295">
        <f>VLOOKUP(W128,'Catalogue Aluminium'!$B$9:$G$91,6,FALSE)</f>
        <v>8.1600000000000006E-2</v>
      </c>
      <c r="AC128" s="294">
        <f t="shared" ref="AC128" si="326">17+3</f>
        <v>20</v>
      </c>
      <c r="AD128" s="294">
        <f>40+50+38+50+17+(27+34)</f>
        <v>256</v>
      </c>
      <c r="AE128" s="294">
        <f t="shared" si="313"/>
        <v>38</v>
      </c>
      <c r="AF128" s="294">
        <v>8</v>
      </c>
      <c r="AG128" s="294">
        <f t="shared" si="314"/>
        <v>33</v>
      </c>
      <c r="AH128" s="311">
        <f t="shared" si="315"/>
        <v>355</v>
      </c>
      <c r="AI128" s="288">
        <f>IF(T128="AIR",'Catalogue Aluminium'!$K$9,IF(T128="TRENCH",'Catalogue Aluminium'!$K$12,"NA"))</f>
        <v>0.89</v>
      </c>
      <c r="AJ128" s="287">
        <f>IF(T128="Air",(IF(U128="1C",'Catalogue Aluminium'!$L$9,'Catalogue Aluminium'!$M$9)),IF(T128="DUCT",(IF($U128="1C",'Catalogue Aluminium'!$L$10,'Catalogue Aluminium'!$M$10)),IF(T128="GROUND",(IF($U128="1C",'Catalogue Aluminium'!$L$11,'Catalogue Aluminium'!$M$11)),IF(T128="TRENCH",(IF($U128="1C",'Catalogue Aluminium'!$L$12,'Catalogue Aluminium'!$M$12))))))</f>
        <v>0.66</v>
      </c>
      <c r="AK128" s="288" t="str">
        <f>IF(T128="Air",'Catalogue Aluminium'!$N$9,IF(T128="GROUND",'Catalogue Aluminium'!$N$10,IF(T128="DUCT",'Catalogue Aluminium'!$N$11,IF(T128="TRENCH",'Catalogue Aluminium'!$N$12,"NA"))))</f>
        <v>NA</v>
      </c>
      <c r="AL128" s="288" t="str">
        <f>IF(T128="Air",(IF(U128="1C",'Catalogue Aluminium'!$O$9,'Catalogue Aluminium'!$P$9)),IF(T128="DUCT",(IF($U128="1C",'Catalogue Aluminium'!$O$10,'Catalogue Aluminium'!$P$10)),IF(T128="GROUND",(IF($U128="1C",'Catalogue Aluminium'!$O$11,'Catalogue Aluminium'!$P$11)),IF(T128="TRENCH",(IF($U128="1C",'Catalogue Aluminium'!$O$12,'Catalogue Aluminium'!$P$12))))))</f>
        <v>NA</v>
      </c>
      <c r="AM128" s="288" t="str">
        <f>IF(T128="AIR","NA",IF(T128="TRENCH","NA",IF(T128="DUCT",IF(U128="1C",VLOOKUP(V128,'Catalogue Aluminium'!$Q$9:$S$28,2,FALSE),VLOOKUP(V128,'Catalogue Aluminium'!$Q$9:$S$28,3)),IF(T128="GROUND",IF(U128="1C",VLOOKUP(V128,'Catalogue Aluminium'!$Q$9:$S$28,2,FALSE),VLOOKUP(V128,'Catalogue Aluminium'!$Q$9:$S$28,3))))))</f>
        <v>NA</v>
      </c>
      <c r="AN128" s="312">
        <f t="shared" si="316"/>
        <v>0.58740000000000003</v>
      </c>
      <c r="AO128" s="304">
        <f t="shared" si="317"/>
        <v>55.803000000000004</v>
      </c>
      <c r="AP128" s="309">
        <f t="shared" si="220"/>
        <v>1</v>
      </c>
      <c r="AQ128" s="304" t="str">
        <f t="shared" si="318"/>
        <v>YES</v>
      </c>
      <c r="AR128" s="312">
        <f t="shared" si="319"/>
        <v>1.9460894608552177</v>
      </c>
      <c r="AS128" s="294" t="str">
        <f t="shared" si="320"/>
        <v>YES</v>
      </c>
      <c r="AT128" s="312" t="str">
        <f t="shared" si="321"/>
        <v>NA</v>
      </c>
      <c r="AU128" s="294" t="str">
        <f t="shared" si="322"/>
        <v>NA</v>
      </c>
      <c r="AV128" s="353" t="str">
        <f t="shared" si="323"/>
        <v>1R x 0.6/1kV x 3C x 25 Sqmm</v>
      </c>
      <c r="AW128" s="353" t="str">
        <f t="shared" si="324"/>
        <v>1R x 0.6/1kV x 3C x 25 Sqmm</v>
      </c>
      <c r="AX128" s="294">
        <f t="shared" si="325"/>
        <v>355</v>
      </c>
      <c r="AY128" s="354"/>
    </row>
    <row r="129" spans="1:51" ht="20.149999999999999" customHeight="1">
      <c r="A129" s="285">
        <f t="shared" si="301"/>
        <v>88</v>
      </c>
      <c r="B129" s="285" t="s">
        <v>382</v>
      </c>
      <c r="C129" s="285" t="s">
        <v>344</v>
      </c>
      <c r="D129" s="244" t="s">
        <v>449</v>
      </c>
      <c r="E129" s="352" t="s">
        <v>310</v>
      </c>
      <c r="F129" s="285" t="s">
        <v>28</v>
      </c>
      <c r="G129" s="285" t="s">
        <v>298</v>
      </c>
      <c r="H129" s="304">
        <v>2</v>
      </c>
      <c r="I129" s="285" t="s">
        <v>299</v>
      </c>
      <c r="J129" s="285" t="s">
        <v>300</v>
      </c>
      <c r="K129" s="309">
        <v>400</v>
      </c>
      <c r="L129" s="294">
        <v>0.85</v>
      </c>
      <c r="M129" s="304">
        <v>0.95</v>
      </c>
      <c r="N129" s="287">
        <f t="shared" si="307"/>
        <v>3.5750291364874629</v>
      </c>
      <c r="O129" s="287">
        <f t="shared" si="303"/>
        <v>0</v>
      </c>
      <c r="P129" s="294" t="str">
        <f t="shared" si="308"/>
        <v>0.00</v>
      </c>
      <c r="Q129" s="304">
        <v>65</v>
      </c>
      <c r="R129" s="304">
        <v>0</v>
      </c>
      <c r="S129" s="304">
        <f t="shared" si="309"/>
        <v>0</v>
      </c>
      <c r="T129" s="294" t="s">
        <v>131</v>
      </c>
      <c r="U129" s="304" t="s">
        <v>377</v>
      </c>
      <c r="V129" s="294">
        <v>6</v>
      </c>
      <c r="W129" s="294" t="str">
        <f t="shared" si="310"/>
        <v>4C X 6</v>
      </c>
      <c r="X129" s="294" t="str">
        <f t="shared" si="311"/>
        <v>4C X 6</v>
      </c>
      <c r="Y129" s="294" t="s">
        <v>314</v>
      </c>
      <c r="Z129" s="288">
        <f>IF(T129="AIR",VLOOKUP(W129,'Catalogue Aluminium'!$B$9:$G$91,2,FALSE),IF(T129="GROUND",VLOOKUP(W129,'Catalogue Aluminium'!$B$9:$G$91,3,FALSE),IF(T129="DUCT",VLOOKUP(W129,'Catalogue Aluminium'!$B$9:$G$91,4,FALSE),IF(T129="TRENCH",VLOOKUP(W129,'Catalogue Aluminium'!$B$9:$G$91,2,FALSE)))))</f>
        <v>51</v>
      </c>
      <c r="AA129" s="295">
        <f>VLOOKUP(W129,'Catalogue Aluminium'!$B$9:$G$91,5,FALSE)</f>
        <v>3.94</v>
      </c>
      <c r="AB129" s="295">
        <f>VLOOKUP(W129,'Catalogue Aluminium'!$B$9:$G$91,6,FALSE)</f>
        <v>9.0200000000000002E-2</v>
      </c>
      <c r="AC129" s="294">
        <f t="shared" si="312"/>
        <v>29</v>
      </c>
      <c r="AD129" s="294">
        <f>40+50+38+50+17+(27+35)</f>
        <v>257</v>
      </c>
      <c r="AE129" s="294">
        <f t="shared" si="313"/>
        <v>38</v>
      </c>
      <c r="AF129" s="294">
        <v>8</v>
      </c>
      <c r="AG129" s="294">
        <f t="shared" si="314"/>
        <v>34</v>
      </c>
      <c r="AH129" s="311">
        <f t="shared" si="315"/>
        <v>366</v>
      </c>
      <c r="AI129" s="288">
        <f>IF(T129="AIR",'Catalogue Aluminium'!$K$9,IF(T129="TRENCH",'Catalogue Aluminium'!$K$12,"NA"))</f>
        <v>0.89</v>
      </c>
      <c r="AJ129" s="287">
        <f>IF(T129="Air",(IF(U129="1C",'Catalogue Aluminium'!$L$9,'Catalogue Aluminium'!$M$9)),IF(T129="DUCT",(IF($U129="1C",'Catalogue Aluminium'!$L$10,'Catalogue Aluminium'!$M$10)),IF(T129="GROUND",(IF($U129="1C",'Catalogue Aluminium'!$L$11,'Catalogue Aluminium'!$M$11)),IF(T129="TRENCH",(IF($U129="1C",'Catalogue Aluminium'!$L$12,'Catalogue Aluminium'!$M$12))))))</f>
        <v>0.66</v>
      </c>
      <c r="AK129" s="288" t="str">
        <f>IF(T129="Air",'Catalogue Aluminium'!$N$9,IF(T129="GROUND",'Catalogue Aluminium'!$N$10,IF(T129="DUCT",'Catalogue Aluminium'!$N$11,IF(T129="TRENCH",'Catalogue Aluminium'!$N$12,"NA"))))</f>
        <v>NA</v>
      </c>
      <c r="AL129" s="288" t="str">
        <f>IF(T129="Air",(IF(U129="1C",'Catalogue Aluminium'!$O$9,'Catalogue Aluminium'!$P$9)),IF(T129="DUCT",(IF($U129="1C",'Catalogue Aluminium'!$O$10,'Catalogue Aluminium'!$P$10)),IF(T129="GROUND",(IF($U129="1C",'Catalogue Aluminium'!$O$11,'Catalogue Aluminium'!$P$11)),IF(T129="TRENCH",(IF($U129="1C",'Catalogue Aluminium'!$O$12,'Catalogue Aluminium'!$P$12))))))</f>
        <v>NA</v>
      </c>
      <c r="AM129" s="288" t="str">
        <f>IF(T129="AIR","NA",IF(T129="TRENCH","NA",IF(T129="DUCT",IF(U129="1C",VLOOKUP(V129,'Catalogue Aluminium'!$Q$9:$S$28,2,FALSE),VLOOKUP(V129,'Catalogue Aluminium'!$Q$9:$S$28,3)),IF(T129="GROUND",IF(U129="1C",VLOOKUP(V129,'Catalogue Aluminium'!$Q$9:$S$28,2,FALSE),VLOOKUP(V129,'Catalogue Aluminium'!$Q$9:$S$28,3))))))</f>
        <v>NA</v>
      </c>
      <c r="AN129" s="312">
        <f t="shared" si="316"/>
        <v>0.58740000000000003</v>
      </c>
      <c r="AO129" s="304">
        <f t="shared" si="317"/>
        <v>29.957400000000003</v>
      </c>
      <c r="AP129" s="309">
        <f t="shared" si="220"/>
        <v>1</v>
      </c>
      <c r="AQ129" s="304" t="str">
        <f t="shared" si="318"/>
        <v>YES</v>
      </c>
      <c r="AR129" s="312">
        <f t="shared" si="319"/>
        <v>1.9243982179904555</v>
      </c>
      <c r="AS129" s="294" t="str">
        <f t="shared" si="320"/>
        <v>YES</v>
      </c>
      <c r="AT129" s="312" t="str">
        <f t="shared" si="321"/>
        <v>NA</v>
      </c>
      <c r="AU129" s="294" t="str">
        <f t="shared" si="322"/>
        <v>NA</v>
      </c>
      <c r="AV129" s="353" t="str">
        <f t="shared" si="323"/>
        <v>1R x 0.6/1kV x 4C x 6 Sqmm</v>
      </c>
      <c r="AW129" s="353" t="str">
        <f t="shared" si="324"/>
        <v>1R x 0.6/1kV x 4C x 6 Sqmm</v>
      </c>
      <c r="AX129" s="294">
        <f t="shared" si="325"/>
        <v>366</v>
      </c>
      <c r="AY129" s="354"/>
    </row>
    <row r="130" spans="1:51" ht="20.149999999999999" customHeight="1">
      <c r="A130" s="285">
        <f t="shared" si="301"/>
        <v>89</v>
      </c>
      <c r="B130" s="285" t="s">
        <v>382</v>
      </c>
      <c r="C130" s="285" t="s">
        <v>344</v>
      </c>
      <c r="D130" s="244" t="s">
        <v>450</v>
      </c>
      <c r="E130" s="352" t="s">
        <v>410</v>
      </c>
      <c r="F130" s="369" t="s">
        <v>29</v>
      </c>
      <c r="G130" s="285" t="s">
        <v>298</v>
      </c>
      <c r="H130" s="304">
        <v>2</v>
      </c>
      <c r="I130" s="285" t="s">
        <v>299</v>
      </c>
      <c r="J130" s="285" t="s">
        <v>313</v>
      </c>
      <c r="K130" s="309">
        <v>230</v>
      </c>
      <c r="L130" s="294">
        <v>0.85</v>
      </c>
      <c r="M130" s="304">
        <v>0.95</v>
      </c>
      <c r="N130" s="287">
        <f t="shared" si="307"/>
        <v>10.768609503297887</v>
      </c>
      <c r="O130" s="287">
        <f t="shared" si="303"/>
        <v>0</v>
      </c>
      <c r="P130" s="294" t="str">
        <f t="shared" si="308"/>
        <v>0.00</v>
      </c>
      <c r="Q130" s="304">
        <v>65</v>
      </c>
      <c r="R130" s="304">
        <v>0</v>
      </c>
      <c r="S130" s="304">
        <f t="shared" si="309"/>
        <v>0</v>
      </c>
      <c r="T130" s="294" t="s">
        <v>131</v>
      </c>
      <c r="U130" s="304" t="s">
        <v>302</v>
      </c>
      <c r="V130" s="294">
        <v>16</v>
      </c>
      <c r="W130" s="294" t="str">
        <f t="shared" si="310"/>
        <v>3C X 16</v>
      </c>
      <c r="X130" s="294" t="str">
        <f t="shared" si="311"/>
        <v>3C X 16</v>
      </c>
      <c r="Y130" s="294" t="s">
        <v>314</v>
      </c>
      <c r="Z130" s="288">
        <f>IF(T130="AIR",VLOOKUP(W130,'Catalogue Aluminium'!$B$9:$G$91,2,FALSE),IF(T130="GROUND",VLOOKUP(W130,'Catalogue Aluminium'!$B$9:$G$91,3,FALSE),IF(T130="DUCT",VLOOKUP(W130,'Catalogue Aluminium'!$B$9:$G$91,4,FALSE),IF(T130="TRENCH",VLOOKUP(W130,'Catalogue Aluminium'!$B$9:$G$91,2,FALSE)))))</f>
        <v>70</v>
      </c>
      <c r="AA130" s="295">
        <f>VLOOKUP(W130,'Catalogue Aluminium'!$B$9:$G$91,5,FALSE)</f>
        <v>2.44</v>
      </c>
      <c r="AB130" s="295">
        <f>VLOOKUP(W130,'Catalogue Aluminium'!$B$9:$G$91,6,FALSE)</f>
        <v>8.1500000000000003E-2</v>
      </c>
      <c r="AC130" s="294">
        <f t="shared" ref="AC130" si="327">17+3</f>
        <v>20</v>
      </c>
      <c r="AD130" s="294">
        <v>80</v>
      </c>
      <c r="AE130" s="294">
        <v>5</v>
      </c>
      <c r="AF130" s="294">
        <v>8</v>
      </c>
      <c r="AG130" s="294">
        <f t="shared" si="314"/>
        <v>12</v>
      </c>
      <c r="AH130" s="311">
        <f t="shared" si="315"/>
        <v>125</v>
      </c>
      <c r="AI130" s="288">
        <f>IF(T130="AIR",'Catalogue Aluminium'!$K$9,IF(T130="TRENCH",'Catalogue Aluminium'!$K$12,"NA"))</f>
        <v>0.89</v>
      </c>
      <c r="AJ130" s="287">
        <f>IF(T130="Air",(IF(U130="1C",'Catalogue Aluminium'!$L$9,'Catalogue Aluminium'!$M$9)),IF(T130="DUCT",(IF($U130="1C",'Catalogue Aluminium'!$L$10,'Catalogue Aluminium'!$M$10)),IF(T130="GROUND",(IF($U130="1C",'Catalogue Aluminium'!$L$11,'Catalogue Aluminium'!$M$11)),IF(T130="TRENCH",(IF($U130="1C",'Catalogue Aluminium'!$L$12,'Catalogue Aluminium'!$M$12))))))</f>
        <v>0.66</v>
      </c>
      <c r="AK130" s="288" t="str">
        <f>IF(T130="Air",'Catalogue Aluminium'!$N$9,IF(T130="GROUND",'Catalogue Aluminium'!$N$10,IF(T130="DUCT",'Catalogue Aluminium'!$N$11,IF(T130="TRENCH",'Catalogue Aluminium'!$N$12,"NA"))))</f>
        <v>NA</v>
      </c>
      <c r="AL130" s="288" t="str">
        <f>IF(T130="Air",(IF(U130="1C",'Catalogue Aluminium'!$O$9,'Catalogue Aluminium'!$P$9)),IF(T130="DUCT",(IF($U130="1C",'Catalogue Aluminium'!$O$10,'Catalogue Aluminium'!$P$10)),IF(T130="GROUND",(IF($U130="1C",'Catalogue Aluminium'!$O$11,'Catalogue Aluminium'!$P$11)),IF(T130="TRENCH",(IF($U130="1C",'Catalogue Aluminium'!$O$12,'Catalogue Aluminium'!$P$12))))))</f>
        <v>NA</v>
      </c>
      <c r="AM130" s="288" t="str">
        <f>IF(T130="AIR","NA",IF(T130="TRENCH","NA",IF(T130="DUCT",IF(U130="1C",VLOOKUP(V130,'Catalogue Aluminium'!$Q$9:$S$28,2,FALSE),VLOOKUP(V130,'Catalogue Aluminium'!$Q$9:$S$28,3)),IF(T130="GROUND",IF(U130="1C",VLOOKUP(V130,'Catalogue Aluminium'!$Q$9:$S$28,2,FALSE),VLOOKUP(V130,'Catalogue Aluminium'!$Q$9:$S$28,3))))))</f>
        <v>NA</v>
      </c>
      <c r="AN130" s="312">
        <f t="shared" si="316"/>
        <v>0.58740000000000003</v>
      </c>
      <c r="AO130" s="304">
        <f t="shared" si="317"/>
        <v>41.118000000000002</v>
      </c>
      <c r="AP130" s="309">
        <f t="shared" si="220"/>
        <v>1</v>
      </c>
      <c r="AQ130" s="304" t="str">
        <f t="shared" si="318"/>
        <v>YES</v>
      </c>
      <c r="AR130" s="312">
        <f t="shared" si="319"/>
        <v>2.1459001134395446</v>
      </c>
      <c r="AS130" s="294" t="str">
        <f t="shared" si="320"/>
        <v>YES</v>
      </c>
      <c r="AT130" s="312" t="str">
        <f t="shared" si="321"/>
        <v>NA</v>
      </c>
      <c r="AU130" s="294" t="str">
        <f t="shared" si="322"/>
        <v>NA</v>
      </c>
      <c r="AV130" s="353" t="str">
        <f t="shared" si="323"/>
        <v>1R x 0.6/1kV x 3C x 16 Sqmm</v>
      </c>
      <c r="AW130" s="353" t="str">
        <f t="shared" si="324"/>
        <v>1R x 0.6/1kV x 3C x 16 Sqmm</v>
      </c>
      <c r="AX130" s="294">
        <f t="shared" si="325"/>
        <v>125</v>
      </c>
      <c r="AY130" s="354"/>
    </row>
    <row r="131" spans="1:51" ht="20.149999999999999" customHeight="1">
      <c r="A131" s="285">
        <f t="shared" si="301"/>
        <v>90</v>
      </c>
      <c r="B131" s="285" t="s">
        <v>382</v>
      </c>
      <c r="C131" s="368" t="s">
        <v>344</v>
      </c>
      <c r="D131" s="244" t="s">
        <v>451</v>
      </c>
      <c r="E131" s="352" t="s">
        <v>410</v>
      </c>
      <c r="F131" s="369" t="s">
        <v>28</v>
      </c>
      <c r="G131" s="285" t="s">
        <v>298</v>
      </c>
      <c r="H131" s="366">
        <v>2</v>
      </c>
      <c r="I131" s="285" t="s">
        <v>299</v>
      </c>
      <c r="J131" s="285" t="s">
        <v>313</v>
      </c>
      <c r="K131" s="309">
        <v>230</v>
      </c>
      <c r="L131" s="294">
        <v>0.85</v>
      </c>
      <c r="M131" s="304">
        <v>0.95</v>
      </c>
      <c r="N131" s="287">
        <f t="shared" si="307"/>
        <v>10.768609503297887</v>
      </c>
      <c r="O131" s="287">
        <f t="shared" si="303"/>
        <v>0</v>
      </c>
      <c r="P131" s="294" t="str">
        <f t="shared" si="308"/>
        <v>0.00</v>
      </c>
      <c r="Q131" s="304">
        <v>65</v>
      </c>
      <c r="R131" s="304">
        <v>0</v>
      </c>
      <c r="S131" s="304">
        <f t="shared" si="309"/>
        <v>0</v>
      </c>
      <c r="T131" s="294" t="s">
        <v>131</v>
      </c>
      <c r="U131" s="304" t="s">
        <v>302</v>
      </c>
      <c r="V131" s="294">
        <v>16</v>
      </c>
      <c r="W131" s="294" t="str">
        <f t="shared" si="310"/>
        <v>3C X 16</v>
      </c>
      <c r="X131" s="294" t="str">
        <f t="shared" si="311"/>
        <v>3C X 16</v>
      </c>
      <c r="Y131" s="294" t="s">
        <v>314</v>
      </c>
      <c r="Z131" s="288">
        <f>IF(T131="AIR",VLOOKUP(W131,'Catalogue Aluminium'!$B$9:$G$91,2,FALSE),IF(T131="GROUND",VLOOKUP(W131,'Catalogue Aluminium'!$B$9:$G$91,3,FALSE),IF(T131="DUCT",VLOOKUP(W131,'Catalogue Aluminium'!$B$9:$G$91,4,FALSE),IF(T131="TRENCH",VLOOKUP(W131,'Catalogue Aluminium'!$B$9:$G$91,2,FALSE)))))</f>
        <v>70</v>
      </c>
      <c r="AA131" s="295">
        <f>VLOOKUP(W131,'Catalogue Aluminium'!$B$9:$G$91,5,FALSE)</f>
        <v>2.44</v>
      </c>
      <c r="AB131" s="295">
        <f>VLOOKUP(W131,'Catalogue Aluminium'!$B$9:$G$91,6,FALSE)</f>
        <v>8.1500000000000003E-2</v>
      </c>
      <c r="AC131" s="294">
        <f t="shared" si="312"/>
        <v>29</v>
      </c>
      <c r="AD131" s="294">
        <v>80</v>
      </c>
      <c r="AE131" s="294">
        <v>5</v>
      </c>
      <c r="AF131" s="294">
        <v>8</v>
      </c>
      <c r="AG131" s="294">
        <f t="shared" si="314"/>
        <v>13</v>
      </c>
      <c r="AH131" s="311">
        <f t="shared" si="315"/>
        <v>135</v>
      </c>
      <c r="AI131" s="288">
        <f>IF(T131="AIR",'Catalogue Aluminium'!$K$9,IF(T131="TRENCH",'Catalogue Aluminium'!$K$12,"NA"))</f>
        <v>0.89</v>
      </c>
      <c r="AJ131" s="287">
        <f>IF(T131="Air",(IF(U131="1C",'Catalogue Aluminium'!$L$9,'Catalogue Aluminium'!$M$9)),IF(T131="DUCT",(IF($U131="1C",'Catalogue Aluminium'!$L$10,'Catalogue Aluminium'!$M$10)),IF(T131="GROUND",(IF($U131="1C",'Catalogue Aluminium'!$L$11,'Catalogue Aluminium'!$M$11)),IF(T131="TRENCH",(IF($U131="1C",'Catalogue Aluminium'!$L$12,'Catalogue Aluminium'!$M$12))))))</f>
        <v>0.66</v>
      </c>
      <c r="AK131" s="288" t="str">
        <f>IF(T131="Air",'Catalogue Aluminium'!$N$9,IF(T131="GROUND",'Catalogue Aluminium'!$N$10,IF(T131="DUCT",'Catalogue Aluminium'!$N$11,IF(T131="TRENCH",'Catalogue Aluminium'!$N$12,"NA"))))</f>
        <v>NA</v>
      </c>
      <c r="AL131" s="288" t="str">
        <f>IF(T131="Air",(IF(U131="1C",'Catalogue Aluminium'!$O$9,'Catalogue Aluminium'!$P$9)),IF(T131="DUCT",(IF($U131="1C",'Catalogue Aluminium'!$O$10,'Catalogue Aluminium'!$P$10)),IF(T131="GROUND",(IF($U131="1C",'Catalogue Aluminium'!$O$11,'Catalogue Aluminium'!$P$11)),IF(T131="TRENCH",(IF($U131="1C",'Catalogue Aluminium'!$O$12,'Catalogue Aluminium'!$P$12))))))</f>
        <v>NA</v>
      </c>
      <c r="AM131" s="288" t="str">
        <f>IF(T131="AIR","NA",IF(T131="TRENCH","NA",IF(T131="DUCT",IF(U131="1C",VLOOKUP(V131,'Catalogue Aluminium'!$Q$9:$S$28,2,FALSE),VLOOKUP(V131,'Catalogue Aluminium'!$Q$9:$S$28,3)),IF(T131="GROUND",IF(U131="1C",VLOOKUP(V131,'Catalogue Aluminium'!$Q$9:$S$28,2,FALSE),VLOOKUP(V131,'Catalogue Aluminium'!$Q$9:$S$28,3))))))</f>
        <v>NA</v>
      </c>
      <c r="AN131" s="312">
        <f t="shared" si="316"/>
        <v>0.58740000000000003</v>
      </c>
      <c r="AO131" s="304">
        <f t="shared" si="317"/>
        <v>41.118000000000002</v>
      </c>
      <c r="AP131" s="309">
        <f t="shared" si="220"/>
        <v>1</v>
      </c>
      <c r="AQ131" s="304" t="str">
        <f t="shared" si="318"/>
        <v>YES</v>
      </c>
      <c r="AR131" s="312">
        <f t="shared" si="319"/>
        <v>2.3175721225147079</v>
      </c>
      <c r="AS131" s="294" t="str">
        <f t="shared" si="320"/>
        <v>YES</v>
      </c>
      <c r="AT131" s="312" t="str">
        <f t="shared" si="321"/>
        <v>NA</v>
      </c>
      <c r="AU131" s="294" t="str">
        <f t="shared" si="322"/>
        <v>NA</v>
      </c>
      <c r="AV131" s="353" t="str">
        <f t="shared" si="323"/>
        <v>1R x 0.6/1kV x 3C x 16 Sqmm</v>
      </c>
      <c r="AW131" s="353" t="str">
        <f t="shared" si="324"/>
        <v>1R x 0.6/1kV x 3C x 16 Sqmm</v>
      </c>
      <c r="AX131" s="294">
        <f t="shared" si="325"/>
        <v>135</v>
      </c>
      <c r="AY131" s="354"/>
    </row>
    <row r="132" spans="1:51" ht="20.149999999999999" customHeight="1">
      <c r="A132" s="285">
        <f t="shared" si="301"/>
        <v>91</v>
      </c>
      <c r="B132" s="285" t="s">
        <v>382</v>
      </c>
      <c r="C132" s="285" t="s">
        <v>344</v>
      </c>
      <c r="D132" s="244" t="s">
        <v>452</v>
      </c>
      <c r="E132" s="352" t="s">
        <v>410</v>
      </c>
      <c r="F132" s="369" t="s">
        <v>29</v>
      </c>
      <c r="G132" s="285" t="s">
        <v>298</v>
      </c>
      <c r="H132" s="304">
        <v>2</v>
      </c>
      <c r="I132" s="285" t="s">
        <v>299</v>
      </c>
      <c r="J132" s="285" t="s">
        <v>313</v>
      </c>
      <c r="K132" s="309">
        <v>230</v>
      </c>
      <c r="L132" s="294">
        <v>0.85</v>
      </c>
      <c r="M132" s="304">
        <v>0.95</v>
      </c>
      <c r="N132" s="287">
        <f t="shared" si="307"/>
        <v>10.768609503297887</v>
      </c>
      <c r="O132" s="287">
        <f t="shared" si="303"/>
        <v>0</v>
      </c>
      <c r="P132" s="294" t="str">
        <f t="shared" si="308"/>
        <v>0.00</v>
      </c>
      <c r="Q132" s="304">
        <v>65</v>
      </c>
      <c r="R132" s="304">
        <v>0</v>
      </c>
      <c r="S132" s="304">
        <f t="shared" si="309"/>
        <v>0</v>
      </c>
      <c r="T132" s="294" t="s">
        <v>131</v>
      </c>
      <c r="U132" s="304" t="s">
        <v>302</v>
      </c>
      <c r="V132" s="294">
        <v>16</v>
      </c>
      <c r="W132" s="294" t="str">
        <f t="shared" si="310"/>
        <v>3C X 16</v>
      </c>
      <c r="X132" s="294" t="str">
        <f t="shared" si="311"/>
        <v>3C X 16</v>
      </c>
      <c r="Y132" s="294" t="s">
        <v>314</v>
      </c>
      <c r="Z132" s="288">
        <f>IF(T132="AIR",VLOOKUP(W132,'Catalogue Aluminium'!$B$9:$G$91,2,FALSE),IF(T132="GROUND",VLOOKUP(W132,'Catalogue Aluminium'!$B$9:$G$91,3,FALSE),IF(T132="DUCT",VLOOKUP(W132,'Catalogue Aluminium'!$B$9:$G$91,4,FALSE),IF(T132="TRENCH",VLOOKUP(W132,'Catalogue Aluminium'!$B$9:$G$91,2,FALSE)))))</f>
        <v>70</v>
      </c>
      <c r="AA132" s="295">
        <f>VLOOKUP(W132,'Catalogue Aluminium'!$B$9:$G$91,5,FALSE)</f>
        <v>2.44</v>
      </c>
      <c r="AB132" s="295">
        <f>VLOOKUP(W132,'Catalogue Aluminium'!$B$9:$G$91,6,FALSE)</f>
        <v>8.1500000000000003E-2</v>
      </c>
      <c r="AC132" s="294">
        <f t="shared" ref="AC132" si="328">17+3</f>
        <v>20</v>
      </c>
      <c r="AD132" s="294">
        <v>80</v>
      </c>
      <c r="AE132" s="294">
        <v>5</v>
      </c>
      <c r="AF132" s="294">
        <v>8</v>
      </c>
      <c r="AG132" s="294">
        <f t="shared" si="314"/>
        <v>12</v>
      </c>
      <c r="AH132" s="311">
        <f t="shared" si="315"/>
        <v>125</v>
      </c>
      <c r="AI132" s="288">
        <f>IF(T132="AIR",'Catalogue Aluminium'!$K$9,IF(T132="TRENCH",'Catalogue Aluminium'!$K$12,"NA"))</f>
        <v>0.89</v>
      </c>
      <c r="AJ132" s="287">
        <f>IF(T132="Air",(IF(U132="1C",'Catalogue Aluminium'!$L$9,'Catalogue Aluminium'!$M$9)),IF(T132="DUCT",(IF($U132="1C",'Catalogue Aluminium'!$L$10,'Catalogue Aluminium'!$M$10)),IF(T132="GROUND",(IF($U132="1C",'Catalogue Aluminium'!$L$11,'Catalogue Aluminium'!$M$11)),IF(T132="TRENCH",(IF($U132="1C",'Catalogue Aluminium'!$L$12,'Catalogue Aluminium'!$M$12))))))</f>
        <v>0.66</v>
      </c>
      <c r="AK132" s="288" t="str">
        <f>IF(T132="Air",'Catalogue Aluminium'!$N$9,IF(T132="GROUND",'Catalogue Aluminium'!$N$10,IF(T132="DUCT",'Catalogue Aluminium'!$N$11,IF(T132="TRENCH",'Catalogue Aluminium'!$N$12,"NA"))))</f>
        <v>NA</v>
      </c>
      <c r="AL132" s="288" t="str">
        <f>IF(T132="Air",(IF(U132="1C",'Catalogue Aluminium'!$O$9,'Catalogue Aluminium'!$P$9)),IF(T132="DUCT",(IF($U132="1C",'Catalogue Aluminium'!$O$10,'Catalogue Aluminium'!$P$10)),IF(T132="GROUND",(IF($U132="1C",'Catalogue Aluminium'!$O$11,'Catalogue Aluminium'!$P$11)),IF(T132="TRENCH",(IF($U132="1C",'Catalogue Aluminium'!$O$12,'Catalogue Aluminium'!$P$12))))))</f>
        <v>NA</v>
      </c>
      <c r="AM132" s="288" t="str">
        <f>IF(T132="AIR","NA",IF(T132="TRENCH","NA",IF(T132="DUCT",IF(U132="1C",VLOOKUP(V132,'Catalogue Aluminium'!$Q$9:$S$28,2,FALSE),VLOOKUP(V132,'Catalogue Aluminium'!$Q$9:$S$28,3)),IF(T132="GROUND",IF(U132="1C",VLOOKUP(V132,'Catalogue Aluminium'!$Q$9:$S$28,2,FALSE),VLOOKUP(V132,'Catalogue Aluminium'!$Q$9:$S$28,3))))))</f>
        <v>NA</v>
      </c>
      <c r="AN132" s="312">
        <f t="shared" si="316"/>
        <v>0.58740000000000003</v>
      </c>
      <c r="AO132" s="304">
        <f t="shared" si="317"/>
        <v>41.118000000000002</v>
      </c>
      <c r="AP132" s="309">
        <f t="shared" si="220"/>
        <v>1</v>
      </c>
      <c r="AQ132" s="304" t="str">
        <f t="shared" si="318"/>
        <v>YES</v>
      </c>
      <c r="AR132" s="312">
        <f t="shared" si="319"/>
        <v>2.1459001134395446</v>
      </c>
      <c r="AS132" s="294" t="str">
        <f t="shared" si="320"/>
        <v>YES</v>
      </c>
      <c r="AT132" s="312" t="str">
        <f t="shared" si="321"/>
        <v>NA</v>
      </c>
      <c r="AU132" s="294" t="str">
        <f t="shared" si="322"/>
        <v>NA</v>
      </c>
      <c r="AV132" s="353" t="str">
        <f t="shared" si="323"/>
        <v>1R x 0.6/1kV x 3C x 16 Sqmm</v>
      </c>
      <c r="AW132" s="353" t="str">
        <f t="shared" si="324"/>
        <v>1R x 0.6/1kV x 3C x 16 Sqmm</v>
      </c>
      <c r="AX132" s="294">
        <f t="shared" si="325"/>
        <v>125</v>
      </c>
      <c r="AY132" s="354"/>
    </row>
    <row r="133" spans="1:51" ht="33" customHeight="1">
      <c r="A133" s="285">
        <f t="shared" si="301"/>
        <v>92</v>
      </c>
      <c r="B133" s="298" t="s">
        <v>1018</v>
      </c>
      <c r="C133" s="285" t="s">
        <v>344</v>
      </c>
      <c r="D133" s="244" t="s">
        <v>458</v>
      </c>
      <c r="E133" s="352" t="s">
        <v>310</v>
      </c>
      <c r="F133" s="285" t="s">
        <v>28</v>
      </c>
      <c r="G133" s="285" t="s">
        <v>298</v>
      </c>
      <c r="H133" s="304">
        <v>70</v>
      </c>
      <c r="I133" s="285" t="s">
        <v>299</v>
      </c>
      <c r="J133" s="285" t="s">
        <v>300</v>
      </c>
      <c r="K133" s="309">
        <v>400</v>
      </c>
      <c r="L133" s="294">
        <v>0.85</v>
      </c>
      <c r="M133" s="304">
        <v>0.95</v>
      </c>
      <c r="N133" s="287">
        <f t="shared" si="307"/>
        <v>125.1260197770612</v>
      </c>
      <c r="O133" s="287">
        <f t="shared" si="303"/>
        <v>0</v>
      </c>
      <c r="P133" s="294" t="str">
        <f t="shared" si="308"/>
        <v>0.00</v>
      </c>
      <c r="Q133" s="304">
        <v>65</v>
      </c>
      <c r="R133" s="304">
        <v>0</v>
      </c>
      <c r="S133" s="304">
        <f t="shared" si="309"/>
        <v>0</v>
      </c>
      <c r="T133" s="294" t="s">
        <v>131</v>
      </c>
      <c r="U133" s="304" t="s">
        <v>390</v>
      </c>
      <c r="V133" s="294">
        <v>150</v>
      </c>
      <c r="W133" s="294" t="str">
        <f t="shared" si="310"/>
        <v>3.5C X 150</v>
      </c>
      <c r="X133" s="294" t="str">
        <f t="shared" si="311"/>
        <v>3.5C X 150</v>
      </c>
      <c r="Y133" s="294" t="s">
        <v>314</v>
      </c>
      <c r="Z133" s="288">
        <f>IF(T133="AIR",VLOOKUP(W133,'Catalogue Aluminium'!$B$9:$G$91,2,FALSE),IF(T133="GROUND",VLOOKUP(W133,'Catalogue Aluminium'!$B$9:$G$91,3,FALSE),IF(T133="DUCT",VLOOKUP(W133,'Catalogue Aluminium'!$B$9:$G$91,4,FALSE),IF(T133="TRENCH",VLOOKUP(W133,'Catalogue Aluminium'!$B$9:$G$91,2,FALSE)))))</f>
        <v>293</v>
      </c>
      <c r="AA133" s="295">
        <f>VLOOKUP(W133,'Catalogue Aluminium'!$B$9:$G$91,5,FALSE)</f>
        <v>0.26400000000000001</v>
      </c>
      <c r="AB133" s="295">
        <f>VLOOKUP(W133,'Catalogue Aluminium'!$B$9:$G$91,6,FALSE)</f>
        <v>7.3200000000000001E-2</v>
      </c>
      <c r="AC133" s="294">
        <f t="shared" si="312"/>
        <v>29</v>
      </c>
      <c r="AD133" s="294">
        <f t="shared" ref="AD133" si="329">40+50+38+50+17+(27+25)</f>
        <v>247</v>
      </c>
      <c r="AE133" s="294">
        <f t="shared" si="313"/>
        <v>38</v>
      </c>
      <c r="AF133" s="294">
        <v>8</v>
      </c>
      <c r="AG133" s="294">
        <f t="shared" si="314"/>
        <v>33</v>
      </c>
      <c r="AH133" s="311">
        <v>350</v>
      </c>
      <c r="AI133" s="288">
        <f>IF(T133="AIR",'Catalogue Aluminium'!$K$9,IF(T133="TRENCH",'Catalogue Aluminium'!$K$12,"NA"))</f>
        <v>0.89</v>
      </c>
      <c r="AJ133" s="287">
        <f>IF(T133="Air",(IF(U133="1C",'Catalogue Aluminium'!$L$9,'Catalogue Aluminium'!$M$9)),IF(T133="DUCT",(IF($U133="1C",'Catalogue Aluminium'!$L$10,'Catalogue Aluminium'!$M$10)),IF(T133="GROUND",(IF($U133="1C",'Catalogue Aluminium'!$L$11,'Catalogue Aluminium'!$M$11)),IF(T133="TRENCH",(IF($U133="1C",'Catalogue Aluminium'!$L$12,'Catalogue Aluminium'!$M$12))))))</f>
        <v>0.66</v>
      </c>
      <c r="AK133" s="288" t="str">
        <f>IF(T133="Air",'Catalogue Aluminium'!$N$9,IF(T133="GROUND",'Catalogue Aluminium'!$N$10,IF(T133="DUCT",'Catalogue Aluminium'!$N$11,IF(T133="TRENCH",'Catalogue Aluminium'!$N$12,"NA"))))</f>
        <v>NA</v>
      </c>
      <c r="AL133" s="288" t="str">
        <f>IF(T133="Air",(IF(U133="1C",'Catalogue Aluminium'!$O$9,'Catalogue Aluminium'!$P$9)),IF(T133="DUCT",(IF($U133="1C",'Catalogue Aluminium'!$O$10,'Catalogue Aluminium'!$P$10)),IF(T133="GROUND",(IF($U133="1C",'Catalogue Aluminium'!$O$11,'Catalogue Aluminium'!$P$11)),IF(T133="TRENCH",(IF($U133="1C",'Catalogue Aluminium'!$O$12,'Catalogue Aluminium'!$P$12))))))</f>
        <v>NA</v>
      </c>
      <c r="AM133" s="288" t="str">
        <f>IF(T133="AIR","NA",IF(T133="TRENCH","NA",IF(T133="DUCT",IF(U133="1C",VLOOKUP(V133,'Catalogue Aluminium'!$Q$9:$S$28,2,FALSE),VLOOKUP(V133,'Catalogue Aluminium'!$Q$9:$S$28,3)),IF(T133="GROUND",IF(U133="1C",VLOOKUP(V133,'Catalogue Aluminium'!$Q$9:$S$28,2,FALSE),VLOOKUP(V133,'Catalogue Aluminium'!$Q$9:$S$28,3))))))</f>
        <v>NA</v>
      </c>
      <c r="AN133" s="312">
        <f t="shared" si="316"/>
        <v>0.58740000000000003</v>
      </c>
      <c r="AO133" s="304">
        <f t="shared" si="317"/>
        <v>172.10820000000001</v>
      </c>
      <c r="AP133" s="309">
        <v>2</v>
      </c>
      <c r="AQ133" s="304" t="str">
        <f t="shared" si="318"/>
        <v>YES</v>
      </c>
      <c r="AR133" s="312">
        <f t="shared" si="319"/>
        <v>2.4933131042084571</v>
      </c>
      <c r="AS133" s="294" t="str">
        <f t="shared" si="320"/>
        <v>YES</v>
      </c>
      <c r="AT133" s="312" t="str">
        <f t="shared" si="321"/>
        <v>NA</v>
      </c>
      <c r="AU133" s="294" t="str">
        <f t="shared" si="322"/>
        <v>NA</v>
      </c>
      <c r="AV133" s="353" t="str">
        <f t="shared" si="323"/>
        <v>2R x 0.6/1kV x 3.5C x 150 Sqmm</v>
      </c>
      <c r="AW133" s="353" t="str">
        <f t="shared" si="324"/>
        <v>2R x 0.6/1kV x 3.5C x 150 Sqmm</v>
      </c>
      <c r="AX133" s="294">
        <f t="shared" si="325"/>
        <v>700</v>
      </c>
      <c r="AY133" s="354"/>
    </row>
    <row r="134" spans="1:51" ht="36.75" customHeight="1">
      <c r="A134" s="285">
        <f t="shared" si="301"/>
        <v>93</v>
      </c>
      <c r="B134" s="298" t="s">
        <v>1019</v>
      </c>
      <c r="C134" s="285" t="s">
        <v>344</v>
      </c>
      <c r="D134" s="244" t="s">
        <v>456</v>
      </c>
      <c r="E134" s="352" t="s">
        <v>310</v>
      </c>
      <c r="F134" s="285" t="s">
        <v>29</v>
      </c>
      <c r="G134" s="285" t="s">
        <v>298</v>
      </c>
      <c r="H134" s="304">
        <v>7.5</v>
      </c>
      <c r="I134" s="285" t="s">
        <v>299</v>
      </c>
      <c r="J134" s="285" t="s">
        <v>300</v>
      </c>
      <c r="K134" s="309">
        <v>400</v>
      </c>
      <c r="L134" s="294">
        <v>0.85</v>
      </c>
      <c r="M134" s="304">
        <v>0.95</v>
      </c>
      <c r="N134" s="287">
        <f t="shared" si="307"/>
        <v>13.406359261827985</v>
      </c>
      <c r="O134" s="287">
        <f t="shared" si="303"/>
        <v>0</v>
      </c>
      <c r="P134" s="294" t="str">
        <f t="shared" si="308"/>
        <v>0.00</v>
      </c>
      <c r="Q134" s="304">
        <v>65</v>
      </c>
      <c r="R134" s="304">
        <v>0</v>
      </c>
      <c r="S134" s="304">
        <f t="shared" si="309"/>
        <v>0</v>
      </c>
      <c r="T134" s="294" t="s">
        <v>131</v>
      </c>
      <c r="U134" s="304" t="s">
        <v>390</v>
      </c>
      <c r="V134" s="294">
        <v>35</v>
      </c>
      <c r="W134" s="294" t="str">
        <f t="shared" si="310"/>
        <v>3.5C X 35</v>
      </c>
      <c r="X134" s="294" t="str">
        <f t="shared" si="311"/>
        <v>3.5C X 35</v>
      </c>
      <c r="Y134" s="294" t="s">
        <v>314</v>
      </c>
      <c r="Z134" s="288">
        <f>IF(T134="AIR",VLOOKUP(W134,'Catalogue Aluminium'!$B$9:$G$91,2,FALSE),IF(T134="GROUND",VLOOKUP(W134,'Catalogue Aluminium'!$B$9:$G$91,3,FALSE),IF(T134="DUCT",VLOOKUP(W134,'Catalogue Aluminium'!$B$9:$G$91,4,FALSE),IF(T134="TRENCH",VLOOKUP(W134,'Catalogue Aluminium'!$B$9:$G$91,2,FALSE)))))</f>
        <v>117</v>
      </c>
      <c r="AA134" s="295">
        <f>VLOOKUP(W134,'Catalogue Aluminium'!$B$9:$G$91,5,FALSE)</f>
        <v>1.1100000000000001</v>
      </c>
      <c r="AB134" s="295">
        <f>VLOOKUP(W134,'Catalogue Aluminium'!$B$9:$G$91,6,FALSE)</f>
        <v>7.9399999999999998E-2</v>
      </c>
      <c r="AC134" s="294">
        <f t="shared" ref="AC134" si="330">17+3</f>
        <v>20</v>
      </c>
      <c r="AD134" s="294">
        <f>40+50+38+50+17+(27+26)</f>
        <v>248</v>
      </c>
      <c r="AE134" s="294">
        <f t="shared" si="313"/>
        <v>38</v>
      </c>
      <c r="AF134" s="294">
        <v>8</v>
      </c>
      <c r="AG134" s="294">
        <f t="shared" si="314"/>
        <v>32</v>
      </c>
      <c r="AH134" s="311">
        <f t="shared" si="315"/>
        <v>346</v>
      </c>
      <c r="AI134" s="288">
        <f>IF(T134="AIR",'Catalogue Aluminium'!$K$9,IF(T134="TRENCH",'Catalogue Aluminium'!$K$12,"NA"))</f>
        <v>0.89</v>
      </c>
      <c r="AJ134" s="287">
        <f>IF(T134="Air",(IF(U134="1C",'Catalogue Aluminium'!$L$9,'Catalogue Aluminium'!$M$9)),IF(T134="DUCT",(IF($U134="1C",'Catalogue Aluminium'!$L$10,'Catalogue Aluminium'!$M$10)),IF(T134="GROUND",(IF($U134="1C",'Catalogue Aluminium'!$L$11,'Catalogue Aluminium'!$M$11)),IF(T134="TRENCH",(IF($U134="1C",'Catalogue Aluminium'!$L$12,'Catalogue Aluminium'!$M$12))))))</f>
        <v>0.66</v>
      </c>
      <c r="AK134" s="288" t="str">
        <f>IF(T134="Air",'Catalogue Aluminium'!$N$9,IF(T134="GROUND",'Catalogue Aluminium'!$N$10,IF(T134="DUCT",'Catalogue Aluminium'!$N$11,IF(T134="TRENCH",'Catalogue Aluminium'!$N$12,"NA"))))</f>
        <v>NA</v>
      </c>
      <c r="AL134" s="288" t="str">
        <f>IF(T134="Air",(IF(U134="1C",'Catalogue Aluminium'!$O$9,'Catalogue Aluminium'!$P$9)),IF(T134="DUCT",(IF($U134="1C",'Catalogue Aluminium'!$O$10,'Catalogue Aluminium'!$P$10)),IF(T134="GROUND",(IF($U134="1C",'Catalogue Aluminium'!$O$11,'Catalogue Aluminium'!$P$11)),IF(T134="TRENCH",(IF($U134="1C",'Catalogue Aluminium'!$O$12,'Catalogue Aluminium'!$P$12))))))</f>
        <v>NA</v>
      </c>
      <c r="AM134" s="288" t="str">
        <f>IF(T134="AIR","NA",IF(T134="TRENCH","NA",IF(T134="DUCT",IF(U134="1C",VLOOKUP(V134,'Catalogue Aluminium'!$Q$9:$S$28,2,FALSE),VLOOKUP(V134,'Catalogue Aluminium'!$Q$9:$S$28,3)),IF(T134="GROUND",IF(U134="1C",VLOOKUP(V134,'Catalogue Aluminium'!$Q$9:$S$28,2,FALSE),VLOOKUP(V134,'Catalogue Aluminium'!$Q$9:$S$28,3))))))</f>
        <v>NA</v>
      </c>
      <c r="AN134" s="312">
        <f t="shared" si="316"/>
        <v>0.58740000000000003</v>
      </c>
      <c r="AO134" s="304">
        <f t="shared" si="317"/>
        <v>68.725800000000007</v>
      </c>
      <c r="AP134" s="309">
        <f t="shared" si="220"/>
        <v>1</v>
      </c>
      <c r="AQ134" s="304" t="str">
        <f t="shared" si="318"/>
        <v>YES</v>
      </c>
      <c r="AR134" s="312">
        <f t="shared" si="319"/>
        <v>1.9791001483489812</v>
      </c>
      <c r="AS134" s="294" t="str">
        <f t="shared" si="320"/>
        <v>YES</v>
      </c>
      <c r="AT134" s="312" t="str">
        <f t="shared" si="321"/>
        <v>NA</v>
      </c>
      <c r="AU134" s="294" t="str">
        <f t="shared" si="322"/>
        <v>NA</v>
      </c>
      <c r="AV134" s="353" t="str">
        <f t="shared" si="323"/>
        <v>1R x 0.6/1kV x 3.5C x 35 Sqmm</v>
      </c>
      <c r="AW134" s="353" t="str">
        <f t="shared" si="324"/>
        <v>1R x 0.6/1kV x 3.5C x 35 Sqmm</v>
      </c>
      <c r="AX134" s="294">
        <f t="shared" si="325"/>
        <v>346</v>
      </c>
      <c r="AY134" s="354"/>
    </row>
    <row r="135" spans="1:51" ht="27" customHeight="1">
      <c r="A135" s="285">
        <f t="shared" si="301"/>
        <v>94</v>
      </c>
      <c r="B135" s="285" t="s">
        <v>382</v>
      </c>
      <c r="C135" s="285" t="s">
        <v>344</v>
      </c>
      <c r="D135" s="244" t="s">
        <v>459</v>
      </c>
      <c r="E135" s="352" t="s">
        <v>310</v>
      </c>
      <c r="F135" s="285" t="s">
        <v>28</v>
      </c>
      <c r="G135" s="285" t="s">
        <v>298</v>
      </c>
      <c r="H135" s="304">
        <v>1</v>
      </c>
      <c r="I135" s="285" t="s">
        <v>299</v>
      </c>
      <c r="J135" s="285" t="s">
        <v>313</v>
      </c>
      <c r="K135" s="309">
        <v>230</v>
      </c>
      <c r="L135" s="294">
        <v>0.85</v>
      </c>
      <c r="M135" s="304">
        <v>0.95</v>
      </c>
      <c r="N135" s="287">
        <f t="shared" si="307"/>
        <v>5.3843047516489433</v>
      </c>
      <c r="O135" s="287">
        <f t="shared" si="303"/>
        <v>0</v>
      </c>
      <c r="P135" s="294" t="str">
        <f t="shared" si="308"/>
        <v>0.00</v>
      </c>
      <c r="Q135" s="304">
        <v>65</v>
      </c>
      <c r="R135" s="304">
        <v>0</v>
      </c>
      <c r="S135" s="304">
        <f t="shared" si="309"/>
        <v>0</v>
      </c>
      <c r="T135" s="294" t="s">
        <v>131</v>
      </c>
      <c r="U135" s="304" t="s">
        <v>302</v>
      </c>
      <c r="V135" s="294">
        <v>25</v>
      </c>
      <c r="W135" s="294" t="str">
        <f t="shared" si="310"/>
        <v>3C X 25</v>
      </c>
      <c r="X135" s="294" t="str">
        <f t="shared" si="311"/>
        <v>3C X 25</v>
      </c>
      <c r="Y135" s="294" t="s">
        <v>314</v>
      </c>
      <c r="Z135" s="288">
        <f>IF(T135="AIR",VLOOKUP(W135,'Catalogue Aluminium'!$B$9:$G$91,2,FALSE),IF(T135="GROUND",VLOOKUP(W135,'Catalogue Aluminium'!$B$9:$G$91,3,FALSE),IF(T135="DUCT",VLOOKUP(W135,'Catalogue Aluminium'!$B$9:$G$91,4,FALSE),IF(T135="TRENCH",VLOOKUP(W135,'Catalogue Aluminium'!$B$9:$G$91,2,FALSE)))))</f>
        <v>95</v>
      </c>
      <c r="AA135" s="295">
        <f>VLOOKUP(W135,'Catalogue Aluminium'!$B$9:$G$91,5,FALSE)</f>
        <v>1.54</v>
      </c>
      <c r="AB135" s="295">
        <f>VLOOKUP(W135,'Catalogue Aluminium'!$B$9:$G$91,6,FALSE)</f>
        <v>8.1600000000000006E-2</v>
      </c>
      <c r="AC135" s="294">
        <f t="shared" si="312"/>
        <v>29</v>
      </c>
      <c r="AD135" s="294">
        <f>40+50+38+50+17+(27+40)</f>
        <v>262</v>
      </c>
      <c r="AE135" s="294">
        <f t="shared" si="313"/>
        <v>38</v>
      </c>
      <c r="AF135" s="294">
        <v>8</v>
      </c>
      <c r="AG135" s="294">
        <f t="shared" si="314"/>
        <v>34</v>
      </c>
      <c r="AH135" s="311">
        <f t="shared" si="315"/>
        <v>371</v>
      </c>
      <c r="AI135" s="288">
        <f>IF(T135="AIR",'Catalogue Aluminium'!$K$9,IF(T135="TRENCH",'Catalogue Aluminium'!$K$12,"NA"))</f>
        <v>0.89</v>
      </c>
      <c r="AJ135" s="287">
        <f>IF(T135="Air",(IF(U135="1C",'Catalogue Aluminium'!$L$9,'Catalogue Aluminium'!$M$9)),IF(T135="DUCT",(IF($U135="1C",'Catalogue Aluminium'!$L$10,'Catalogue Aluminium'!$M$10)),IF(T135="GROUND",(IF($U135="1C",'Catalogue Aluminium'!$L$11,'Catalogue Aluminium'!$M$11)),IF(T135="TRENCH",(IF($U135="1C",'Catalogue Aluminium'!$L$12,'Catalogue Aluminium'!$M$12))))))</f>
        <v>0.66</v>
      </c>
      <c r="AK135" s="288" t="str">
        <f>IF(T135="Air",'Catalogue Aluminium'!$N$9,IF(T135="GROUND",'Catalogue Aluminium'!$N$10,IF(T135="DUCT",'Catalogue Aluminium'!$N$11,IF(T135="TRENCH",'Catalogue Aluminium'!$N$12,"NA"))))</f>
        <v>NA</v>
      </c>
      <c r="AL135" s="288" t="str">
        <f>IF(T135="Air",(IF(U135="1C",'Catalogue Aluminium'!$O$9,'Catalogue Aluminium'!$P$9)),IF(T135="DUCT",(IF($U135="1C",'Catalogue Aluminium'!$O$10,'Catalogue Aluminium'!$P$10)),IF(T135="GROUND",(IF($U135="1C",'Catalogue Aluminium'!$O$11,'Catalogue Aluminium'!$P$11)),IF(T135="TRENCH",(IF($U135="1C",'Catalogue Aluminium'!$O$12,'Catalogue Aluminium'!$P$12))))))</f>
        <v>NA</v>
      </c>
      <c r="AM135" s="288" t="str">
        <f>IF(T135="AIR","NA",IF(T135="TRENCH","NA",IF(T135="DUCT",IF(U135="1C",VLOOKUP(V135,'Catalogue Aluminium'!$Q$9:$S$28,2,FALSE),VLOOKUP(V135,'Catalogue Aluminium'!$Q$9:$S$28,3)),IF(T135="GROUND",IF(U135="1C",VLOOKUP(V135,'Catalogue Aluminium'!$Q$9:$S$28,2,FALSE),VLOOKUP(V135,'Catalogue Aluminium'!$Q$9:$S$28,3))))))</f>
        <v>NA</v>
      </c>
      <c r="AN135" s="312">
        <f t="shared" si="316"/>
        <v>0.58740000000000003</v>
      </c>
      <c r="AO135" s="304">
        <f t="shared" si="317"/>
        <v>55.803000000000004</v>
      </c>
      <c r="AP135" s="309">
        <f t="shared" si="220"/>
        <v>1</v>
      </c>
      <c r="AQ135" s="304" t="str">
        <f t="shared" si="318"/>
        <v>YES</v>
      </c>
      <c r="AR135" s="312">
        <f t="shared" si="319"/>
        <v>2.0338005351472837</v>
      </c>
      <c r="AS135" s="294" t="str">
        <f t="shared" si="320"/>
        <v>YES</v>
      </c>
      <c r="AT135" s="312" t="str">
        <f t="shared" si="321"/>
        <v>NA</v>
      </c>
      <c r="AU135" s="294" t="str">
        <f t="shared" si="322"/>
        <v>NA</v>
      </c>
      <c r="AV135" s="353" t="str">
        <f t="shared" si="323"/>
        <v>1R x 0.6/1kV x 3C x 25 Sqmm</v>
      </c>
      <c r="AW135" s="353" t="str">
        <f t="shared" si="324"/>
        <v>1R x 0.6/1kV x 3C x 25 Sqmm</v>
      </c>
      <c r="AX135" s="294">
        <f t="shared" si="325"/>
        <v>371</v>
      </c>
      <c r="AY135" s="354"/>
    </row>
    <row r="136" spans="1:51" ht="20.149999999999999" customHeight="1">
      <c r="A136" s="285">
        <f t="shared" si="301"/>
        <v>95</v>
      </c>
      <c r="B136" s="285" t="s">
        <v>382</v>
      </c>
      <c r="C136" s="285" t="s">
        <v>344</v>
      </c>
      <c r="D136" s="244" t="s">
        <v>449</v>
      </c>
      <c r="E136" s="352" t="s">
        <v>310</v>
      </c>
      <c r="F136" s="285" t="s">
        <v>29</v>
      </c>
      <c r="G136" s="285" t="s">
        <v>298</v>
      </c>
      <c r="H136" s="304">
        <v>2</v>
      </c>
      <c r="I136" s="285" t="s">
        <v>299</v>
      </c>
      <c r="J136" s="285" t="s">
        <v>300</v>
      </c>
      <c r="K136" s="309">
        <v>400</v>
      </c>
      <c r="L136" s="294">
        <v>0.85</v>
      </c>
      <c r="M136" s="304">
        <v>0.95</v>
      </c>
      <c r="N136" s="287">
        <f t="shared" si="307"/>
        <v>3.5750291364874629</v>
      </c>
      <c r="O136" s="287">
        <f t="shared" si="303"/>
        <v>0</v>
      </c>
      <c r="P136" s="294" t="str">
        <f t="shared" si="308"/>
        <v>0.00</v>
      </c>
      <c r="Q136" s="304">
        <v>65</v>
      </c>
      <c r="R136" s="304">
        <v>0</v>
      </c>
      <c r="S136" s="304">
        <f t="shared" si="309"/>
        <v>0</v>
      </c>
      <c r="T136" s="294" t="s">
        <v>131</v>
      </c>
      <c r="U136" s="304" t="s">
        <v>377</v>
      </c>
      <c r="V136" s="294">
        <v>16</v>
      </c>
      <c r="W136" s="294" t="str">
        <f t="shared" si="310"/>
        <v>4C X 16</v>
      </c>
      <c r="X136" s="294" t="str">
        <f t="shared" si="311"/>
        <v>4C X 16</v>
      </c>
      <c r="Y136" s="294" t="s">
        <v>314</v>
      </c>
      <c r="Z136" s="288">
        <f>IF(T136="AIR",VLOOKUP(W136,'Catalogue Aluminium'!$B$9:$G$91,2,FALSE),IF(T136="GROUND",VLOOKUP(W136,'Catalogue Aluminium'!$B$9:$G$91,3,FALSE),IF(T136="DUCT",VLOOKUP(W136,'Catalogue Aluminium'!$B$9:$G$91,4,FALSE),IF(T136="TRENCH",VLOOKUP(W136,'Catalogue Aluminium'!$B$9:$G$91,2,FALSE)))))</f>
        <v>70</v>
      </c>
      <c r="AA136" s="295">
        <f>VLOOKUP(W136,'Catalogue Aluminium'!$B$9:$G$91,5,FALSE)</f>
        <v>2.44</v>
      </c>
      <c r="AB136" s="295">
        <f>VLOOKUP(W136,'Catalogue Aluminium'!$B$9:$G$91,6,FALSE)</f>
        <v>8.1500000000000003E-2</v>
      </c>
      <c r="AC136" s="294">
        <f t="shared" ref="AC136" si="331">17+3</f>
        <v>20</v>
      </c>
      <c r="AD136" s="294">
        <f>40+50+38+50+17+(27+41)</f>
        <v>263</v>
      </c>
      <c r="AE136" s="294">
        <f t="shared" si="313"/>
        <v>38</v>
      </c>
      <c r="AF136" s="294">
        <v>8</v>
      </c>
      <c r="AG136" s="294">
        <f t="shared" si="314"/>
        <v>33</v>
      </c>
      <c r="AH136" s="311">
        <f t="shared" si="315"/>
        <v>362</v>
      </c>
      <c r="AI136" s="288">
        <f>IF(T136="AIR",'Catalogue Aluminium'!$K$9,IF(T136="TRENCH",'Catalogue Aluminium'!$K$12,"NA"))</f>
        <v>0.89</v>
      </c>
      <c r="AJ136" s="287">
        <f>IF(T136="Air",(IF(U136="1C",'Catalogue Aluminium'!$L$9,'Catalogue Aluminium'!$M$9)),IF(T136="DUCT",(IF($U136="1C",'Catalogue Aluminium'!$L$10,'Catalogue Aluminium'!$M$10)),IF(T136="GROUND",(IF($U136="1C",'Catalogue Aluminium'!$L$11,'Catalogue Aluminium'!$M$11)),IF(T136="TRENCH",(IF($U136="1C",'Catalogue Aluminium'!$L$12,'Catalogue Aluminium'!$M$12))))))</f>
        <v>0.66</v>
      </c>
      <c r="AK136" s="288" t="str">
        <f>IF(T136="Air",'Catalogue Aluminium'!$N$9,IF(T136="GROUND",'Catalogue Aluminium'!$N$10,IF(T136="DUCT",'Catalogue Aluminium'!$N$11,IF(T136="TRENCH",'Catalogue Aluminium'!$N$12,"NA"))))</f>
        <v>NA</v>
      </c>
      <c r="AL136" s="288" t="str">
        <f>IF(T136="Air",(IF(U136="1C",'Catalogue Aluminium'!$O$9,'Catalogue Aluminium'!$P$9)),IF(T136="DUCT",(IF($U136="1C",'Catalogue Aluminium'!$O$10,'Catalogue Aluminium'!$P$10)),IF(T136="GROUND",(IF($U136="1C",'Catalogue Aluminium'!$O$11,'Catalogue Aluminium'!$P$11)),IF(T136="TRENCH",(IF($U136="1C",'Catalogue Aluminium'!$O$12,'Catalogue Aluminium'!$P$12))))))</f>
        <v>NA</v>
      </c>
      <c r="AM136" s="288" t="str">
        <f>IF(T136="AIR","NA",IF(T136="TRENCH","NA",IF(T136="DUCT",IF(U136="1C",VLOOKUP(V136,'Catalogue Aluminium'!$Q$9:$S$28,2,FALSE),VLOOKUP(V136,'Catalogue Aluminium'!$Q$9:$S$28,3)),IF(T136="GROUND",IF(U136="1C",VLOOKUP(V136,'Catalogue Aluminium'!$Q$9:$S$28,2,FALSE),VLOOKUP(V136,'Catalogue Aluminium'!$Q$9:$S$28,3))))))</f>
        <v>NA</v>
      </c>
      <c r="AN136" s="312">
        <f t="shared" si="316"/>
        <v>0.58740000000000003</v>
      </c>
      <c r="AO136" s="304">
        <f t="shared" si="317"/>
        <v>41.118000000000002</v>
      </c>
      <c r="AP136" s="309">
        <f t="shared" si="220"/>
        <v>1</v>
      </c>
      <c r="AQ136" s="304" t="str">
        <f t="shared" si="318"/>
        <v>YES</v>
      </c>
      <c r="AR136" s="312">
        <f t="shared" si="319"/>
        <v>1.1863036371923961</v>
      </c>
      <c r="AS136" s="294" t="str">
        <f t="shared" si="320"/>
        <v>YES</v>
      </c>
      <c r="AT136" s="312" t="str">
        <f t="shared" si="321"/>
        <v>NA</v>
      </c>
      <c r="AU136" s="294" t="str">
        <f t="shared" si="322"/>
        <v>NA</v>
      </c>
      <c r="AV136" s="353" t="str">
        <f t="shared" si="323"/>
        <v>1R x 0.6/1kV x 4C x 16 Sqmm</v>
      </c>
      <c r="AW136" s="353" t="str">
        <f t="shared" si="324"/>
        <v>1R x 0.6/1kV x 4C x 16 Sqmm</v>
      </c>
      <c r="AX136" s="294">
        <f t="shared" si="325"/>
        <v>362</v>
      </c>
      <c r="AY136" s="354"/>
    </row>
    <row r="137" spans="1:51" ht="24" customHeight="1">
      <c r="A137" s="285">
        <f t="shared" si="301"/>
        <v>96</v>
      </c>
      <c r="B137" s="285" t="s">
        <v>382</v>
      </c>
      <c r="C137" s="285" t="s">
        <v>344</v>
      </c>
      <c r="D137" s="244" t="s">
        <v>450</v>
      </c>
      <c r="E137" s="352" t="s">
        <v>410</v>
      </c>
      <c r="F137" s="369" t="s">
        <v>28</v>
      </c>
      <c r="G137" s="285" t="s">
        <v>298</v>
      </c>
      <c r="H137" s="304">
        <v>2</v>
      </c>
      <c r="I137" s="285" t="s">
        <v>299</v>
      </c>
      <c r="J137" s="285" t="s">
        <v>313</v>
      </c>
      <c r="K137" s="309">
        <v>230</v>
      </c>
      <c r="L137" s="294">
        <v>0.85</v>
      </c>
      <c r="M137" s="304">
        <v>0.95</v>
      </c>
      <c r="N137" s="287">
        <f t="shared" si="307"/>
        <v>10.768609503297887</v>
      </c>
      <c r="O137" s="287">
        <f t="shared" si="303"/>
        <v>0</v>
      </c>
      <c r="P137" s="294" t="str">
        <f t="shared" si="308"/>
        <v>0.00</v>
      </c>
      <c r="Q137" s="304">
        <v>65</v>
      </c>
      <c r="R137" s="304">
        <v>0</v>
      </c>
      <c r="S137" s="304">
        <f t="shared" si="309"/>
        <v>0</v>
      </c>
      <c r="T137" s="294" t="s">
        <v>131</v>
      </c>
      <c r="U137" s="304" t="s">
        <v>302</v>
      </c>
      <c r="V137" s="294">
        <v>16</v>
      </c>
      <c r="W137" s="294" t="str">
        <f t="shared" si="310"/>
        <v>3C X 16</v>
      </c>
      <c r="X137" s="294" t="str">
        <f t="shared" si="311"/>
        <v>3C X 16</v>
      </c>
      <c r="Y137" s="294" t="s">
        <v>314</v>
      </c>
      <c r="Z137" s="288">
        <f>IF(T137="AIR",VLOOKUP(W137,'Catalogue Aluminium'!$B$9:$G$91,2,FALSE),IF(T137="GROUND",VLOOKUP(W137,'Catalogue Aluminium'!$B$9:$G$91,3,FALSE),IF(T137="DUCT",VLOOKUP(W137,'Catalogue Aluminium'!$B$9:$G$91,4,FALSE),IF(T137="TRENCH",VLOOKUP(W137,'Catalogue Aluminium'!$B$9:$G$91,2,FALSE)))))</f>
        <v>70</v>
      </c>
      <c r="AA137" s="295">
        <f>VLOOKUP(W137,'Catalogue Aluminium'!$B$9:$G$91,5,FALSE)</f>
        <v>2.44</v>
      </c>
      <c r="AB137" s="295">
        <f>VLOOKUP(W137,'Catalogue Aluminium'!$B$9:$G$91,6,FALSE)</f>
        <v>8.1500000000000003E-2</v>
      </c>
      <c r="AC137" s="294">
        <f t="shared" si="312"/>
        <v>29</v>
      </c>
      <c r="AD137" s="294">
        <v>80</v>
      </c>
      <c r="AE137" s="294">
        <v>5</v>
      </c>
      <c r="AF137" s="294">
        <v>8</v>
      </c>
      <c r="AG137" s="294">
        <f t="shared" si="314"/>
        <v>13</v>
      </c>
      <c r="AH137" s="311">
        <f t="shared" si="315"/>
        <v>135</v>
      </c>
      <c r="AI137" s="288">
        <f>IF(T137="AIR",'Catalogue Aluminium'!$K$9,IF(T137="TRENCH",'Catalogue Aluminium'!$K$12,"NA"))</f>
        <v>0.89</v>
      </c>
      <c r="AJ137" s="287">
        <f>IF(T137="Air",(IF(U137="1C",'Catalogue Aluminium'!$L$9,'Catalogue Aluminium'!$M$9)),IF(T137="DUCT",(IF($U137="1C",'Catalogue Aluminium'!$L$10,'Catalogue Aluminium'!$M$10)),IF(T137="GROUND",(IF($U137="1C",'Catalogue Aluminium'!$L$11,'Catalogue Aluminium'!$M$11)),IF(T137="TRENCH",(IF($U137="1C",'Catalogue Aluminium'!$L$12,'Catalogue Aluminium'!$M$12))))))</f>
        <v>0.66</v>
      </c>
      <c r="AK137" s="288" t="str">
        <f>IF(T137="Air",'Catalogue Aluminium'!$N$9,IF(T137="GROUND",'Catalogue Aluminium'!$N$10,IF(T137="DUCT",'Catalogue Aluminium'!$N$11,IF(T137="TRENCH",'Catalogue Aluminium'!$N$12,"NA"))))</f>
        <v>NA</v>
      </c>
      <c r="AL137" s="288" t="str">
        <f>IF(T137="Air",(IF(U137="1C",'Catalogue Aluminium'!$O$9,'Catalogue Aluminium'!$P$9)),IF(T137="DUCT",(IF($U137="1C",'Catalogue Aluminium'!$O$10,'Catalogue Aluminium'!$P$10)),IF(T137="GROUND",(IF($U137="1C",'Catalogue Aluminium'!$O$11,'Catalogue Aluminium'!$P$11)),IF(T137="TRENCH",(IF($U137="1C",'Catalogue Aluminium'!$O$12,'Catalogue Aluminium'!$P$12))))))</f>
        <v>NA</v>
      </c>
      <c r="AM137" s="288" t="str">
        <f>IF(T137="AIR","NA",IF(T137="TRENCH","NA",IF(T137="DUCT",IF(U137="1C",VLOOKUP(V137,'Catalogue Aluminium'!$Q$9:$S$28,2,FALSE),VLOOKUP(V137,'Catalogue Aluminium'!$Q$9:$S$28,3)),IF(T137="GROUND",IF(U137="1C",VLOOKUP(V137,'Catalogue Aluminium'!$Q$9:$S$28,2,FALSE),VLOOKUP(V137,'Catalogue Aluminium'!$Q$9:$S$28,3))))))</f>
        <v>NA</v>
      </c>
      <c r="AN137" s="312">
        <f t="shared" si="316"/>
        <v>0.58740000000000003</v>
      </c>
      <c r="AO137" s="304">
        <f t="shared" si="317"/>
        <v>41.118000000000002</v>
      </c>
      <c r="AP137" s="309">
        <f t="shared" si="220"/>
        <v>1</v>
      </c>
      <c r="AQ137" s="304" t="str">
        <f t="shared" si="318"/>
        <v>YES</v>
      </c>
      <c r="AR137" s="312">
        <f t="shared" si="319"/>
        <v>2.3175721225147079</v>
      </c>
      <c r="AS137" s="294" t="str">
        <f t="shared" si="320"/>
        <v>YES</v>
      </c>
      <c r="AT137" s="312" t="str">
        <f t="shared" si="321"/>
        <v>NA</v>
      </c>
      <c r="AU137" s="294" t="str">
        <f t="shared" si="322"/>
        <v>NA</v>
      </c>
      <c r="AV137" s="353" t="str">
        <f t="shared" si="323"/>
        <v>1R x 0.6/1kV x 3C x 16 Sqmm</v>
      </c>
      <c r="AW137" s="353" t="str">
        <f t="shared" si="324"/>
        <v>1R x 0.6/1kV x 3C x 16 Sqmm</v>
      </c>
      <c r="AX137" s="294">
        <f t="shared" si="325"/>
        <v>135</v>
      </c>
      <c r="AY137" s="354"/>
    </row>
    <row r="138" spans="1:51" ht="24" customHeight="1">
      <c r="A138" s="285">
        <f t="shared" si="301"/>
        <v>97</v>
      </c>
      <c r="B138" s="285" t="s">
        <v>382</v>
      </c>
      <c r="C138" s="368" t="s">
        <v>344</v>
      </c>
      <c r="D138" s="244" t="s">
        <v>451</v>
      </c>
      <c r="E138" s="352" t="s">
        <v>410</v>
      </c>
      <c r="F138" s="369" t="s">
        <v>29</v>
      </c>
      <c r="G138" s="285" t="s">
        <v>298</v>
      </c>
      <c r="H138" s="366">
        <v>2</v>
      </c>
      <c r="I138" s="285" t="s">
        <v>299</v>
      </c>
      <c r="J138" s="285" t="s">
        <v>313</v>
      </c>
      <c r="K138" s="309">
        <v>230</v>
      </c>
      <c r="L138" s="294">
        <v>0.85</v>
      </c>
      <c r="M138" s="304">
        <v>0.95</v>
      </c>
      <c r="N138" s="287">
        <f t="shared" si="307"/>
        <v>10.768609503297887</v>
      </c>
      <c r="O138" s="287">
        <f t="shared" si="303"/>
        <v>0</v>
      </c>
      <c r="P138" s="294" t="str">
        <f t="shared" si="308"/>
        <v>0.00</v>
      </c>
      <c r="Q138" s="304">
        <v>65</v>
      </c>
      <c r="R138" s="304">
        <v>0</v>
      </c>
      <c r="S138" s="304">
        <f t="shared" si="309"/>
        <v>0</v>
      </c>
      <c r="T138" s="294" t="s">
        <v>131</v>
      </c>
      <c r="U138" s="304" t="s">
        <v>302</v>
      </c>
      <c r="V138" s="294">
        <v>16</v>
      </c>
      <c r="W138" s="294" t="str">
        <f t="shared" si="310"/>
        <v>3C X 16</v>
      </c>
      <c r="X138" s="294" t="str">
        <f t="shared" si="311"/>
        <v>3C X 16</v>
      </c>
      <c r="Y138" s="294" t="s">
        <v>314</v>
      </c>
      <c r="Z138" s="288">
        <f>IF(T138="AIR",VLOOKUP(W138,'Catalogue Aluminium'!$B$9:$G$91,2,FALSE),IF(T138="GROUND",VLOOKUP(W138,'Catalogue Aluminium'!$B$9:$G$91,3,FALSE),IF(T138="DUCT",VLOOKUP(W138,'Catalogue Aluminium'!$B$9:$G$91,4,FALSE),IF(T138="TRENCH",VLOOKUP(W138,'Catalogue Aluminium'!$B$9:$G$91,2,FALSE)))))</f>
        <v>70</v>
      </c>
      <c r="AA138" s="295">
        <f>VLOOKUP(W138,'Catalogue Aluminium'!$B$9:$G$91,5,FALSE)</f>
        <v>2.44</v>
      </c>
      <c r="AB138" s="295">
        <f>VLOOKUP(W138,'Catalogue Aluminium'!$B$9:$G$91,6,FALSE)</f>
        <v>8.1500000000000003E-2</v>
      </c>
      <c r="AC138" s="294">
        <f t="shared" si="312"/>
        <v>29</v>
      </c>
      <c r="AD138" s="294">
        <v>80</v>
      </c>
      <c r="AE138" s="294">
        <v>5</v>
      </c>
      <c r="AF138" s="294">
        <v>8</v>
      </c>
      <c r="AG138" s="294">
        <f t="shared" si="314"/>
        <v>13</v>
      </c>
      <c r="AH138" s="311">
        <f t="shared" si="315"/>
        <v>135</v>
      </c>
      <c r="AI138" s="288">
        <f>IF(T138="AIR",'Catalogue Aluminium'!$K$9,IF(T138="TRENCH",'Catalogue Aluminium'!$K$12,"NA"))</f>
        <v>0.89</v>
      </c>
      <c r="AJ138" s="287">
        <f>IF(T138="Air",(IF(U138="1C",'Catalogue Aluminium'!$L$9,'Catalogue Aluminium'!$M$9)),IF(T138="DUCT",(IF($U138="1C",'Catalogue Aluminium'!$L$10,'Catalogue Aluminium'!$M$10)),IF(T138="GROUND",(IF($U138="1C",'Catalogue Aluminium'!$L$11,'Catalogue Aluminium'!$M$11)),IF(T138="TRENCH",(IF($U138="1C",'Catalogue Aluminium'!$L$12,'Catalogue Aluminium'!$M$12))))))</f>
        <v>0.66</v>
      </c>
      <c r="AK138" s="288" t="str">
        <f>IF(T138="Air",'Catalogue Aluminium'!$N$9,IF(T138="GROUND",'Catalogue Aluminium'!$N$10,IF(T138="DUCT",'Catalogue Aluminium'!$N$11,IF(T138="TRENCH",'Catalogue Aluminium'!$N$12,"NA"))))</f>
        <v>NA</v>
      </c>
      <c r="AL138" s="288" t="str">
        <f>IF(T138="Air",(IF(U138="1C",'Catalogue Aluminium'!$O$9,'Catalogue Aluminium'!$P$9)),IF(T138="DUCT",(IF($U138="1C",'Catalogue Aluminium'!$O$10,'Catalogue Aluminium'!$P$10)),IF(T138="GROUND",(IF($U138="1C",'Catalogue Aluminium'!$O$11,'Catalogue Aluminium'!$P$11)),IF(T138="TRENCH",(IF($U138="1C",'Catalogue Aluminium'!$O$12,'Catalogue Aluminium'!$P$12))))))</f>
        <v>NA</v>
      </c>
      <c r="AM138" s="288" t="str">
        <f>IF(T138="AIR","NA",IF(T138="TRENCH","NA",IF(T138="DUCT",IF(U138="1C",VLOOKUP(V138,'Catalogue Aluminium'!$Q$9:$S$28,2,FALSE),VLOOKUP(V138,'Catalogue Aluminium'!$Q$9:$S$28,3)),IF(T138="GROUND",IF(U138="1C",VLOOKUP(V138,'Catalogue Aluminium'!$Q$9:$S$28,2,FALSE),VLOOKUP(V138,'Catalogue Aluminium'!$Q$9:$S$28,3))))))</f>
        <v>NA</v>
      </c>
      <c r="AN138" s="312">
        <f t="shared" si="316"/>
        <v>0.58740000000000003</v>
      </c>
      <c r="AO138" s="304">
        <f t="shared" si="317"/>
        <v>41.118000000000002</v>
      </c>
      <c r="AP138" s="309">
        <f t="shared" si="220"/>
        <v>1</v>
      </c>
      <c r="AQ138" s="304" t="str">
        <f t="shared" si="318"/>
        <v>YES</v>
      </c>
      <c r="AR138" s="312">
        <f t="shared" si="319"/>
        <v>2.3175721225147079</v>
      </c>
      <c r="AS138" s="294" t="str">
        <f t="shared" si="320"/>
        <v>YES</v>
      </c>
      <c r="AT138" s="312" t="str">
        <f t="shared" si="321"/>
        <v>NA</v>
      </c>
      <c r="AU138" s="294" t="str">
        <f t="shared" si="322"/>
        <v>NA</v>
      </c>
      <c r="AV138" s="353" t="str">
        <f t="shared" si="323"/>
        <v>1R x 0.6/1kV x 3C x 16 Sqmm</v>
      </c>
      <c r="AW138" s="353" t="str">
        <f t="shared" si="324"/>
        <v>1R x 0.6/1kV x 3C x 16 Sqmm</v>
      </c>
      <c r="AX138" s="294">
        <f t="shared" si="325"/>
        <v>135</v>
      </c>
      <c r="AY138" s="354"/>
    </row>
    <row r="139" spans="1:51" ht="24" customHeight="1">
      <c r="A139" s="285">
        <f t="shared" si="301"/>
        <v>98</v>
      </c>
      <c r="B139" s="285" t="s">
        <v>382</v>
      </c>
      <c r="C139" s="285" t="s">
        <v>344</v>
      </c>
      <c r="D139" s="244" t="s">
        <v>452</v>
      </c>
      <c r="E139" s="352" t="s">
        <v>410</v>
      </c>
      <c r="F139" s="285" t="s">
        <v>28</v>
      </c>
      <c r="G139" s="285" t="s">
        <v>298</v>
      </c>
      <c r="H139" s="304">
        <v>2</v>
      </c>
      <c r="I139" s="285" t="s">
        <v>299</v>
      </c>
      <c r="J139" s="285" t="s">
        <v>313</v>
      </c>
      <c r="K139" s="309">
        <v>230</v>
      </c>
      <c r="L139" s="294">
        <v>0.85</v>
      </c>
      <c r="M139" s="304">
        <v>0.95</v>
      </c>
      <c r="N139" s="287">
        <f t="shared" si="307"/>
        <v>10.768609503297887</v>
      </c>
      <c r="O139" s="287">
        <f t="shared" si="303"/>
        <v>0</v>
      </c>
      <c r="P139" s="294" t="str">
        <f t="shared" si="308"/>
        <v>0.00</v>
      </c>
      <c r="Q139" s="304">
        <v>65</v>
      </c>
      <c r="R139" s="304">
        <v>0</v>
      </c>
      <c r="S139" s="304">
        <f t="shared" si="309"/>
        <v>0</v>
      </c>
      <c r="T139" s="294" t="s">
        <v>131</v>
      </c>
      <c r="U139" s="304" t="s">
        <v>302</v>
      </c>
      <c r="V139" s="294">
        <v>16</v>
      </c>
      <c r="W139" s="294" t="str">
        <f t="shared" si="310"/>
        <v>3C X 16</v>
      </c>
      <c r="X139" s="294" t="str">
        <f t="shared" si="311"/>
        <v>3C X 16</v>
      </c>
      <c r="Y139" s="294" t="s">
        <v>314</v>
      </c>
      <c r="Z139" s="288">
        <f>IF(T139="AIR",VLOOKUP(W139,'Catalogue Aluminium'!$B$9:$G$91,2,FALSE),IF(T139="GROUND",VLOOKUP(W139,'Catalogue Aluminium'!$B$9:$G$91,3,FALSE),IF(T139="DUCT",VLOOKUP(W139,'Catalogue Aluminium'!$B$9:$G$91,4,FALSE),IF(T139="TRENCH",VLOOKUP(W139,'Catalogue Aluminium'!$B$9:$G$91,2,FALSE)))))</f>
        <v>70</v>
      </c>
      <c r="AA139" s="295">
        <f>VLOOKUP(W139,'Catalogue Aluminium'!$B$9:$G$91,5,FALSE)</f>
        <v>2.44</v>
      </c>
      <c r="AB139" s="295">
        <f>VLOOKUP(W139,'Catalogue Aluminium'!$B$9:$G$91,6,FALSE)</f>
        <v>8.1500000000000003E-2</v>
      </c>
      <c r="AC139" s="294">
        <f t="shared" si="312"/>
        <v>29</v>
      </c>
      <c r="AD139" s="294">
        <v>80</v>
      </c>
      <c r="AE139" s="294">
        <v>5</v>
      </c>
      <c r="AF139" s="294">
        <v>8</v>
      </c>
      <c r="AG139" s="294">
        <f t="shared" si="314"/>
        <v>13</v>
      </c>
      <c r="AH139" s="311">
        <f t="shared" si="315"/>
        <v>135</v>
      </c>
      <c r="AI139" s="288">
        <f>IF(T139="AIR",'Catalogue Aluminium'!$K$9,IF(T139="TRENCH",'Catalogue Aluminium'!$K$12,"NA"))</f>
        <v>0.89</v>
      </c>
      <c r="AJ139" s="287">
        <f>IF(T139="Air",(IF(U139="1C",'Catalogue Aluminium'!$L$9,'Catalogue Aluminium'!$M$9)),IF(T139="DUCT",(IF($U139="1C",'Catalogue Aluminium'!$L$10,'Catalogue Aluminium'!$M$10)),IF(T139="GROUND",(IF($U139="1C",'Catalogue Aluminium'!$L$11,'Catalogue Aluminium'!$M$11)),IF(T139="TRENCH",(IF($U139="1C",'Catalogue Aluminium'!$L$12,'Catalogue Aluminium'!$M$12))))))</f>
        <v>0.66</v>
      </c>
      <c r="AK139" s="288" t="str">
        <f>IF(T139="Air",'Catalogue Aluminium'!$N$9,IF(T139="GROUND",'Catalogue Aluminium'!$N$10,IF(T139="DUCT",'Catalogue Aluminium'!$N$11,IF(T139="TRENCH",'Catalogue Aluminium'!$N$12,"NA"))))</f>
        <v>NA</v>
      </c>
      <c r="AL139" s="288" t="str">
        <f>IF(T139="Air",(IF(U139="1C",'Catalogue Aluminium'!$O$9,'Catalogue Aluminium'!$P$9)),IF(T139="DUCT",(IF($U139="1C",'Catalogue Aluminium'!$O$10,'Catalogue Aluminium'!$P$10)),IF(T139="GROUND",(IF($U139="1C",'Catalogue Aluminium'!$O$11,'Catalogue Aluminium'!$P$11)),IF(T139="TRENCH",(IF($U139="1C",'Catalogue Aluminium'!$O$12,'Catalogue Aluminium'!$P$12))))))</f>
        <v>NA</v>
      </c>
      <c r="AM139" s="288" t="str">
        <f>IF(T139="AIR","NA",IF(T139="TRENCH","NA",IF(T139="DUCT",IF(U139="1C",VLOOKUP(V139,'Catalogue Aluminium'!$Q$9:$S$28,2,FALSE),VLOOKUP(V139,'Catalogue Aluminium'!$Q$9:$S$28,3)),IF(T139="GROUND",IF(U139="1C",VLOOKUP(V139,'Catalogue Aluminium'!$Q$9:$S$28,2,FALSE),VLOOKUP(V139,'Catalogue Aluminium'!$Q$9:$S$28,3))))))</f>
        <v>NA</v>
      </c>
      <c r="AN139" s="312">
        <f t="shared" si="316"/>
        <v>0.58740000000000003</v>
      </c>
      <c r="AO139" s="304">
        <f t="shared" si="317"/>
        <v>41.118000000000002</v>
      </c>
      <c r="AP139" s="309">
        <f t="shared" si="220"/>
        <v>1</v>
      </c>
      <c r="AQ139" s="304" t="str">
        <f t="shared" si="318"/>
        <v>YES</v>
      </c>
      <c r="AR139" s="312">
        <f t="shared" si="319"/>
        <v>2.3175721225147079</v>
      </c>
      <c r="AS139" s="294" t="str">
        <f t="shared" si="320"/>
        <v>YES</v>
      </c>
      <c r="AT139" s="312" t="str">
        <f t="shared" si="321"/>
        <v>NA</v>
      </c>
      <c r="AU139" s="294" t="str">
        <f t="shared" si="322"/>
        <v>NA</v>
      </c>
      <c r="AV139" s="353" t="str">
        <f t="shared" si="323"/>
        <v>1R x 0.6/1kV x 3C x 16 Sqmm</v>
      </c>
      <c r="AW139" s="353" t="str">
        <f t="shared" si="324"/>
        <v>1R x 0.6/1kV x 3C x 16 Sqmm</v>
      </c>
      <c r="AX139" s="294">
        <f t="shared" si="325"/>
        <v>135</v>
      </c>
      <c r="AY139" s="354"/>
    </row>
    <row r="140" spans="1:51" s="70" customFormat="1" ht="20.149999999999999" customHeight="1">
      <c r="A140" s="273"/>
      <c r="B140" s="273"/>
      <c r="C140" s="273"/>
      <c r="D140" s="357" t="s">
        <v>460</v>
      </c>
      <c r="E140" s="358"/>
      <c r="F140" s="359"/>
      <c r="G140" s="273"/>
      <c r="H140" s="281"/>
      <c r="I140" s="273"/>
      <c r="J140" s="273"/>
      <c r="K140" s="280"/>
      <c r="L140" s="275"/>
      <c r="M140" s="281"/>
      <c r="N140" s="274"/>
      <c r="O140" s="274"/>
      <c r="P140" s="275"/>
      <c r="Q140" s="281"/>
      <c r="R140" s="281"/>
      <c r="S140" s="281"/>
      <c r="T140" s="275"/>
      <c r="U140" s="281"/>
      <c r="V140" s="275"/>
      <c r="W140" s="275"/>
      <c r="X140" s="275"/>
      <c r="Y140" s="275"/>
      <c r="Z140" s="276"/>
      <c r="AA140" s="277"/>
      <c r="AB140" s="277"/>
      <c r="AC140" s="277"/>
      <c r="AD140" s="277"/>
      <c r="AE140" s="277"/>
      <c r="AF140" s="277"/>
      <c r="AG140" s="277"/>
      <c r="AH140" s="277"/>
      <c r="AI140" s="276"/>
      <c r="AJ140" s="274"/>
      <c r="AK140" s="276"/>
      <c r="AL140" s="276"/>
      <c r="AM140" s="276"/>
      <c r="AN140" s="282"/>
      <c r="AO140" s="281"/>
      <c r="AP140" s="280"/>
      <c r="AQ140" s="281"/>
      <c r="AR140" s="282"/>
      <c r="AS140" s="275"/>
      <c r="AT140" s="282"/>
      <c r="AU140" s="282"/>
      <c r="AV140" s="283"/>
      <c r="AW140" s="283"/>
      <c r="AX140" s="275"/>
      <c r="AY140" s="284"/>
    </row>
    <row r="141" spans="1:51" ht="20.149999999999999" customHeight="1">
      <c r="A141" s="243">
        <f>1+A139</f>
        <v>99</v>
      </c>
      <c r="B141" s="243" t="s">
        <v>461</v>
      </c>
      <c r="C141" s="243" t="str">
        <f t="shared" ref="C141:C149" si="332">$D$6</f>
        <v>PMCC-1</v>
      </c>
      <c r="D141" s="272" t="s">
        <v>462</v>
      </c>
      <c r="E141" s="351" t="s">
        <v>463</v>
      </c>
      <c r="F141" s="364" t="s">
        <v>28</v>
      </c>
      <c r="G141" s="243" t="s">
        <v>298</v>
      </c>
      <c r="H141" s="256">
        <v>85</v>
      </c>
      <c r="I141" s="243" t="s">
        <v>299</v>
      </c>
      <c r="J141" s="243" t="s">
        <v>300</v>
      </c>
      <c r="K141" s="255">
        <v>400</v>
      </c>
      <c r="L141" s="249">
        <v>0.85</v>
      </c>
      <c r="M141" s="256">
        <v>0.95</v>
      </c>
      <c r="N141" s="248">
        <f t="shared" ref="N141:N160" si="333">IF(I141="kVA",IF(J141="3Ph",(H141*1000/(1.732*M141*K141)),(H141*1000/(M141*K141))),IF(I141="kW",IF(J141="3Ph",(H141*1000/(1.732*M141*K141*L141)),(H141*1000/(M141*K141*L141)))))</f>
        <v>151.93873830071718</v>
      </c>
      <c r="O141" s="248">
        <f t="shared" si="303"/>
        <v>0</v>
      </c>
      <c r="P141" s="249" t="str">
        <f t="shared" ref="P141:P157" si="334">IF(G141="MOTOR",0.2,"0.00")</f>
        <v>0.00</v>
      </c>
      <c r="Q141" s="256">
        <v>65</v>
      </c>
      <c r="R141" s="256">
        <v>0</v>
      </c>
      <c r="S141" s="256">
        <f t="shared" ref="S141:S157" si="335">(Q141*1000*SQRT(R141)/143)</f>
        <v>0</v>
      </c>
      <c r="T141" s="249" t="s">
        <v>131</v>
      </c>
      <c r="U141" s="609" t="s">
        <v>390</v>
      </c>
      <c r="V141" s="608">
        <v>150</v>
      </c>
      <c r="W141" s="249" t="str">
        <f t="shared" ref="W141:W157" si="336">CONCATENATE(U141," X ",V141)</f>
        <v>3.5C X 150</v>
      </c>
      <c r="X141" s="249" t="str">
        <f t="shared" ref="X141:X157" si="337">(IF(J141="1Ph",W141,IF(J141="3Ph",(IF(G141="MOTOR",(CONCATENATE(W141,"+PE")),W141)))))</f>
        <v>3.5C X 150</v>
      </c>
      <c r="Y141" s="249" t="s">
        <v>314</v>
      </c>
      <c r="Z141" s="250">
        <f>IF(T141="AIR",VLOOKUP(W141,'Catalogue Aluminium'!$B$9:$G$91,2,FALSE),IF(T141="GROUND",VLOOKUP(W141,'Catalogue Aluminium'!$B$9:$G$91,3,FALSE),IF(T141="DUCT",VLOOKUP(W141,'Catalogue Aluminium'!$B$9:$G$91,4,FALSE),IF(T141="TRENCH",VLOOKUP(W141,'Catalogue Aluminium'!$B$9:$G$91,2,FALSE)))))</f>
        <v>293</v>
      </c>
      <c r="AA141" s="251">
        <f>VLOOKUP(W141,'Catalogue Aluminium'!$B$9:$G$91,5,FALSE)</f>
        <v>0.26400000000000001</v>
      </c>
      <c r="AB141" s="251">
        <f>VLOOKUP(W141,'Catalogue Aluminium'!$B$9:$G$91,6,FALSE)</f>
        <v>7.3200000000000001E-2</v>
      </c>
      <c r="AC141" s="294">
        <f>26+8</f>
        <v>34</v>
      </c>
      <c r="AD141" s="294">
        <v>0</v>
      </c>
      <c r="AE141" s="294">
        <v>5</v>
      </c>
      <c r="AF141" s="294">
        <v>8</v>
      </c>
      <c r="AG141" s="294">
        <f t="shared" ref="AG141:AG157" si="338">ROUNDUP((SUM(AC141:AF141)*0.1),0)</f>
        <v>5</v>
      </c>
      <c r="AH141" s="253">
        <f t="shared" ref="AH141:AH157" si="339">SUM(AC141:AG141)</f>
        <v>52</v>
      </c>
      <c r="AI141" s="250">
        <f>IF(T141="AIR",'Catalogue Aluminium'!$K$9,IF(T141="TRENCH",'Catalogue Aluminium'!$K$12,"NA"))</f>
        <v>0.89</v>
      </c>
      <c r="AJ141" s="248">
        <f>IF(T141="Air",(IF(U141="1C",'Catalogue Aluminium'!$L$9,'Catalogue Aluminium'!$M$9)),IF(T141="DUCT",(IF($U141="1C",'Catalogue Aluminium'!$L$10,'Catalogue Aluminium'!$M$10)),IF(T141="GROUND",(IF($U141="1C",'Catalogue Aluminium'!$L$11,'Catalogue Aluminium'!$M$11)),IF(T141="TRENCH",(IF($U141="1C",'Catalogue Aluminium'!$L$12,'Catalogue Aluminium'!$M$12))))))</f>
        <v>0.66</v>
      </c>
      <c r="AK141" s="250" t="str">
        <f>IF(T141="Air",'Catalogue Aluminium'!$N$9,IF(T141="GROUND",'Catalogue Aluminium'!$N$10,IF(T141="DUCT",'Catalogue Aluminium'!$N$11,IF(T141="TRENCH",'Catalogue Aluminium'!$N$12,"NA"))))</f>
        <v>NA</v>
      </c>
      <c r="AL141" s="250" t="str">
        <f>IF(T141="Air",(IF(U141="1C",'Catalogue Aluminium'!$O$9,'Catalogue Aluminium'!$P$9)),IF(T141="DUCT",(IF($U141="1C",'Catalogue Aluminium'!$O$10,'Catalogue Aluminium'!$P$10)),IF(T141="GROUND",(IF($U141="1C",'Catalogue Aluminium'!$O$11,'Catalogue Aluminium'!$P$11)),IF(T141="TRENCH",(IF($U141="1C",'Catalogue Aluminium'!$O$12,'Catalogue Aluminium'!$P$12))))))</f>
        <v>NA</v>
      </c>
      <c r="AM141" s="250" t="str">
        <f>IF(T141="AIR","NA",IF(T141="TRENCH","NA",IF(T141="DUCT",IF(U141="1C",VLOOKUP(V141,'Catalogue Aluminium'!$Q$9:$S$28,2,FALSE),VLOOKUP(V141,'Catalogue Aluminium'!$Q$9:$S$28,3)),IF(T141="GROUND",IF(U141="1C",VLOOKUP(V141,'Catalogue Aluminium'!$Q$9:$S$28,2,FALSE),VLOOKUP(V141,'Catalogue Aluminium'!$Q$9:$S$28,3))))))</f>
        <v>NA</v>
      </c>
      <c r="AN141" s="257">
        <f t="shared" ref="AN141:AN157" si="340">IF(T141="AIR",AI141*AJ141,IF(T141="TRENCH",AI141*AJ141,IF(T141="DUCT",AJ141*AK141*AL141*AM141,IF(T141="GROUND",AJ141*AK141*AL141*AM141))))</f>
        <v>0.58740000000000003</v>
      </c>
      <c r="AO141" s="256">
        <f t="shared" ref="AO141:AO157" si="341">Z141*AN141</f>
        <v>172.10820000000001</v>
      </c>
      <c r="AP141" s="255">
        <f t="shared" si="220"/>
        <v>1</v>
      </c>
      <c r="AQ141" s="256" t="str">
        <f t="shared" ref="AQ141:AQ157" si="342">IF(AO141*AP141&gt;=N141,"YES","NO")</f>
        <v>YES</v>
      </c>
      <c r="AR141" s="257">
        <f t="shared" ref="AR141:AR157" si="343">SQRT(3)*AH141*N141*((AA141*L141)+(AB141*SIN(ACOS(L141))))*100/(AP141*K141*1000)</f>
        <v>0.89962807515113308</v>
      </c>
      <c r="AS141" s="249" t="str">
        <f t="shared" ref="AS141:AS157" si="344">IF(G141="INCOMER",(IF(AR141&lt;=2,"YES","NO")),IF(G141="POWER",(IF(AR141&lt;=2.5,"YES","NO")),IF(G141="MOTOR",(IF(AR141&lt;=3,"YES","NO")))))</f>
        <v>YES</v>
      </c>
      <c r="AT141" s="257" t="str">
        <f t="shared" ref="AT141:AT149" si="345">IF(G141="MOTOR",(SQRT(3)*AH141*O141*((AA141*P141)+(AB141*SIN(ACOS(P141))))*100/(AP141*K141*1000)),"NA")</f>
        <v>NA</v>
      </c>
      <c r="AU141" s="249" t="str">
        <f t="shared" ref="AU141:AU157" si="346">IF(G141="MOTOR",IF(AT141&lt;=15,"YES","NO"),"NA")</f>
        <v>NA</v>
      </c>
      <c r="AV141" s="260" t="str">
        <f t="shared" ref="AV141:AV146" si="347">IF(U141="1C",CONCATENATE(AP141,"R x ",Y141,"kV x ",U141," x ",V141," Sqmm/Phase"),CONCATENATE(AP141,"R x ",0.6,"/1kV x ",U141," x ",V141," Sqmm"))</f>
        <v>1R x 0.6/1kV x 3.5C x 150 Sqmm</v>
      </c>
      <c r="AW141" s="260" t="str">
        <f t="shared" ref="AW141:AW157" si="348">IF(U141="1C",CONCATENATE(AP141,"R x ",Y141,"kV x ",U141," x ",V141," Sqmm/Phase"),CONCATENATE(AP141,"R x ",0.6,"/1kV x ",U141," x ",V141,(IF(G141="MOTOR","+PE",""))," Sqmm"))</f>
        <v>1R x 0.6/1kV x 3.5C x 150 Sqmm</v>
      </c>
      <c r="AX141" s="249">
        <f>(IF(K141=400,(IF(U141="1C",(4*AH141*AP141),(AH141*AP141))),IF(K141=230,(AH141*AP141))))</f>
        <v>52</v>
      </c>
      <c r="AY141" s="261"/>
    </row>
    <row r="142" spans="1:51" ht="20.149999999999999" customHeight="1">
      <c r="A142" s="243">
        <f t="shared" ref="A142:A160" si="349">1+A141</f>
        <v>100</v>
      </c>
      <c r="B142" s="243" t="s">
        <v>461</v>
      </c>
      <c r="C142" s="243" t="str">
        <f t="shared" si="332"/>
        <v>PMCC-1</v>
      </c>
      <c r="D142" s="272" t="s">
        <v>464</v>
      </c>
      <c r="E142" s="351" t="s">
        <v>463</v>
      </c>
      <c r="F142" s="364" t="s">
        <v>29</v>
      </c>
      <c r="G142" s="243" t="s">
        <v>298</v>
      </c>
      <c r="H142" s="256">
        <v>85</v>
      </c>
      <c r="I142" s="243" t="s">
        <v>299</v>
      </c>
      <c r="J142" s="243" t="s">
        <v>300</v>
      </c>
      <c r="K142" s="255">
        <v>400</v>
      </c>
      <c r="L142" s="249">
        <v>0.85</v>
      </c>
      <c r="M142" s="256">
        <v>0.95</v>
      </c>
      <c r="N142" s="248">
        <f t="shared" si="333"/>
        <v>151.93873830071718</v>
      </c>
      <c r="O142" s="248">
        <f t="shared" si="303"/>
        <v>0</v>
      </c>
      <c r="P142" s="249" t="str">
        <f t="shared" si="334"/>
        <v>0.00</v>
      </c>
      <c r="Q142" s="256">
        <v>65</v>
      </c>
      <c r="R142" s="256">
        <v>0</v>
      </c>
      <c r="S142" s="256">
        <f t="shared" si="335"/>
        <v>0</v>
      </c>
      <c r="T142" s="249" t="s">
        <v>131</v>
      </c>
      <c r="U142" s="609" t="s">
        <v>390</v>
      </c>
      <c r="V142" s="608">
        <v>150</v>
      </c>
      <c r="W142" s="249" t="str">
        <f t="shared" si="336"/>
        <v>3.5C X 150</v>
      </c>
      <c r="X142" s="249" t="str">
        <f t="shared" si="337"/>
        <v>3.5C X 150</v>
      </c>
      <c r="Y142" s="249" t="s">
        <v>314</v>
      </c>
      <c r="Z142" s="250">
        <f>IF(T142="AIR",VLOOKUP(W142,'Catalogue Aluminium'!$B$9:$G$91,2,FALSE),IF(T142="GROUND",VLOOKUP(W142,'Catalogue Aluminium'!$B$9:$G$91,3,FALSE),IF(T142="DUCT",VLOOKUP(W142,'Catalogue Aluminium'!$B$9:$G$91,4,FALSE),IF(T142="TRENCH",VLOOKUP(W142,'Catalogue Aluminium'!$B$9:$G$91,2,FALSE)))))</f>
        <v>293</v>
      </c>
      <c r="AA142" s="251">
        <f>VLOOKUP(W142,'Catalogue Aluminium'!$B$9:$G$91,5,FALSE)</f>
        <v>0.26400000000000001</v>
      </c>
      <c r="AB142" s="251">
        <f>VLOOKUP(W142,'Catalogue Aluminium'!$B$9:$G$91,6,FALSE)</f>
        <v>7.3200000000000001E-2</v>
      </c>
      <c r="AC142" s="294">
        <f>10+8</f>
        <v>18</v>
      </c>
      <c r="AD142" s="294">
        <v>0</v>
      </c>
      <c r="AE142" s="294">
        <v>5</v>
      </c>
      <c r="AF142" s="294">
        <v>8</v>
      </c>
      <c r="AG142" s="294">
        <f t="shared" si="338"/>
        <v>4</v>
      </c>
      <c r="AH142" s="253">
        <f t="shared" si="339"/>
        <v>35</v>
      </c>
      <c r="AI142" s="250">
        <f>IF(T142="AIR",'Catalogue Aluminium'!$K$9,IF(T142="TRENCH",'Catalogue Aluminium'!$K$12,"NA"))</f>
        <v>0.89</v>
      </c>
      <c r="AJ142" s="248">
        <f>IF(T142="Air",(IF(U142="1C",'Catalogue Aluminium'!$L$9,'Catalogue Aluminium'!$M$9)),IF(T142="DUCT",(IF($U142="1C",'Catalogue Aluminium'!$L$10,'Catalogue Aluminium'!$M$10)),IF(T142="GROUND",(IF($U142="1C",'Catalogue Aluminium'!$L$11,'Catalogue Aluminium'!$M$11)),IF(T142="TRENCH",(IF($U142="1C",'Catalogue Aluminium'!$L$12,'Catalogue Aluminium'!$M$12))))))</f>
        <v>0.66</v>
      </c>
      <c r="AK142" s="250" t="str">
        <f>IF(T142="Air",'Catalogue Aluminium'!$N$9,IF(T142="GROUND",'Catalogue Aluminium'!$N$10,IF(T142="DUCT",'Catalogue Aluminium'!$N$11,IF(T142="TRENCH",'Catalogue Aluminium'!$N$12,"NA"))))</f>
        <v>NA</v>
      </c>
      <c r="AL142" s="250" t="str">
        <f>IF(T142="Air",(IF(U142="1C",'Catalogue Aluminium'!$O$9,'Catalogue Aluminium'!$P$9)),IF(T142="DUCT",(IF($U142="1C",'Catalogue Aluminium'!$O$10,'Catalogue Aluminium'!$P$10)),IF(T142="GROUND",(IF($U142="1C",'Catalogue Aluminium'!$O$11,'Catalogue Aluminium'!$P$11)),IF(T142="TRENCH",(IF($U142="1C",'Catalogue Aluminium'!$O$12,'Catalogue Aluminium'!$P$12))))))</f>
        <v>NA</v>
      </c>
      <c r="AM142" s="250" t="str">
        <f>IF(T142="AIR","NA",IF(T142="TRENCH","NA",IF(T142="DUCT",IF(U142="1C",VLOOKUP(V142,'Catalogue Aluminium'!$Q$9:$S$28,2,FALSE),VLOOKUP(V142,'Catalogue Aluminium'!$Q$9:$S$28,3)),IF(T142="GROUND",IF(U142="1C",VLOOKUP(V142,'Catalogue Aluminium'!$Q$9:$S$28,2,FALSE),VLOOKUP(V142,'Catalogue Aluminium'!$Q$9:$S$28,3))))))</f>
        <v>NA</v>
      </c>
      <c r="AN142" s="257">
        <f t="shared" si="340"/>
        <v>0.58740000000000003</v>
      </c>
      <c r="AO142" s="256">
        <f t="shared" si="341"/>
        <v>172.10820000000001</v>
      </c>
      <c r="AP142" s="255">
        <f t="shared" si="220"/>
        <v>1</v>
      </c>
      <c r="AQ142" s="256" t="str">
        <f t="shared" si="342"/>
        <v>YES</v>
      </c>
      <c r="AR142" s="257">
        <f t="shared" si="343"/>
        <v>0.60551889673633963</v>
      </c>
      <c r="AS142" s="249" t="str">
        <f t="shared" si="344"/>
        <v>YES</v>
      </c>
      <c r="AT142" s="257" t="str">
        <f t="shared" si="345"/>
        <v>NA</v>
      </c>
      <c r="AU142" s="249" t="str">
        <f t="shared" si="346"/>
        <v>NA</v>
      </c>
      <c r="AV142" s="260" t="str">
        <f t="shared" si="347"/>
        <v>1R x 0.6/1kV x 3.5C x 150 Sqmm</v>
      </c>
      <c r="AW142" s="260" t="str">
        <f t="shared" si="348"/>
        <v>1R x 0.6/1kV x 3.5C x 150 Sqmm</v>
      </c>
      <c r="AX142" s="249">
        <f>(IF(K142=400,(IF(U142="1C",(4*AH142*AP142),(AH142*AP142))),IF(K142=230,(AH142*AP142))))</f>
        <v>35</v>
      </c>
      <c r="AY142" s="261"/>
    </row>
    <row r="143" spans="1:51" ht="20.149999999999999" customHeight="1">
      <c r="A143" s="243">
        <f t="shared" si="349"/>
        <v>101</v>
      </c>
      <c r="B143" s="243" t="s">
        <v>465</v>
      </c>
      <c r="C143" s="243" t="str">
        <f t="shared" si="332"/>
        <v>PMCC-1</v>
      </c>
      <c r="D143" s="272" t="s">
        <v>466</v>
      </c>
      <c r="E143" s="351" t="s">
        <v>463</v>
      </c>
      <c r="F143" s="364" t="s">
        <v>28</v>
      </c>
      <c r="G143" s="243" t="s">
        <v>298</v>
      </c>
      <c r="H143" s="256">
        <v>60</v>
      </c>
      <c r="I143" s="243" t="s">
        <v>299</v>
      </c>
      <c r="J143" s="243" t="s">
        <v>300</v>
      </c>
      <c r="K143" s="255">
        <v>400</v>
      </c>
      <c r="L143" s="249">
        <v>0.85</v>
      </c>
      <c r="M143" s="256">
        <v>0.95</v>
      </c>
      <c r="N143" s="248">
        <f t="shared" si="333"/>
        <v>107.25087409462388</v>
      </c>
      <c r="O143" s="248">
        <f t="shared" si="303"/>
        <v>0</v>
      </c>
      <c r="P143" s="249" t="str">
        <f t="shared" si="334"/>
        <v>0.00</v>
      </c>
      <c r="Q143" s="256">
        <v>65</v>
      </c>
      <c r="R143" s="256">
        <v>0</v>
      </c>
      <c r="S143" s="256">
        <f t="shared" si="335"/>
        <v>0</v>
      </c>
      <c r="T143" s="249" t="s">
        <v>131</v>
      </c>
      <c r="U143" s="609" t="s">
        <v>390</v>
      </c>
      <c r="V143" s="608">
        <v>95</v>
      </c>
      <c r="W143" s="249" t="str">
        <f t="shared" si="336"/>
        <v>3.5C X 95</v>
      </c>
      <c r="X143" s="249" t="str">
        <f t="shared" si="337"/>
        <v>3.5C X 95</v>
      </c>
      <c r="Y143" s="249" t="s">
        <v>314</v>
      </c>
      <c r="Z143" s="250">
        <f>IF(T143="AIR",VLOOKUP(W143,'Catalogue Aluminium'!$B$9:$G$91,2,FALSE),IF(T143="GROUND",VLOOKUP(W143,'Catalogue Aluminium'!$B$9:$G$91,3,FALSE),IF(T143="DUCT",VLOOKUP(W143,'Catalogue Aluminium'!$B$9:$G$91,4,FALSE),IF(T143="TRENCH",VLOOKUP(W143,'Catalogue Aluminium'!$B$9:$G$91,2,FALSE)))))</f>
        <v>221</v>
      </c>
      <c r="AA143" s="251">
        <f>VLOOKUP(W143,'Catalogue Aluminium'!$B$9:$G$91,5,FALSE)</f>
        <v>0.41</v>
      </c>
      <c r="AB143" s="251">
        <f>VLOOKUP(W143,'Catalogue Aluminium'!$B$9:$G$91,6,FALSE)</f>
        <v>7.3400000000000007E-2</v>
      </c>
      <c r="AC143" s="294">
        <f>26+8</f>
        <v>34</v>
      </c>
      <c r="AD143" s="294">
        <v>0</v>
      </c>
      <c r="AE143" s="294">
        <v>5</v>
      </c>
      <c r="AF143" s="294">
        <v>8</v>
      </c>
      <c r="AG143" s="294">
        <f t="shared" si="338"/>
        <v>5</v>
      </c>
      <c r="AH143" s="253">
        <f t="shared" si="339"/>
        <v>52</v>
      </c>
      <c r="AI143" s="250">
        <f>IF(T143="AIR",'Catalogue Aluminium'!$K$9,IF(T143="TRENCH",'Catalogue Aluminium'!$K$12,"NA"))</f>
        <v>0.89</v>
      </c>
      <c r="AJ143" s="248">
        <f>IF(T143="Air",(IF(U143="1C",'Catalogue Aluminium'!$L$9,'Catalogue Aluminium'!$M$9)),IF(T143="DUCT",(IF($U143="1C",'Catalogue Aluminium'!$L$10,'Catalogue Aluminium'!$M$10)),IF(T143="GROUND",(IF($U143="1C",'Catalogue Aluminium'!$L$11,'Catalogue Aluminium'!$M$11)),IF(T143="TRENCH",(IF($U143="1C",'Catalogue Aluminium'!$L$12,'Catalogue Aluminium'!$M$12))))))</f>
        <v>0.66</v>
      </c>
      <c r="AK143" s="250" t="str">
        <f>IF(T143="Air",'Catalogue Aluminium'!$N$9,IF(T143="GROUND",'Catalogue Aluminium'!$N$10,IF(T143="DUCT",'Catalogue Aluminium'!$N$11,IF(T143="TRENCH",'Catalogue Aluminium'!$N$12,"NA"))))</f>
        <v>NA</v>
      </c>
      <c r="AL143" s="250" t="str">
        <f>IF(T143="Air",(IF(U143="1C",'Catalogue Aluminium'!$O$9,'Catalogue Aluminium'!$P$9)),IF(T143="DUCT",(IF($U143="1C",'Catalogue Aluminium'!$O$10,'Catalogue Aluminium'!$P$10)),IF(T143="GROUND",(IF($U143="1C",'Catalogue Aluminium'!$O$11,'Catalogue Aluminium'!$P$11)),IF(T143="TRENCH",(IF($U143="1C",'Catalogue Aluminium'!$O$12,'Catalogue Aluminium'!$P$12))))))</f>
        <v>NA</v>
      </c>
      <c r="AM143" s="250" t="str">
        <f>IF(T143="AIR","NA",IF(T143="TRENCH","NA",IF(T143="DUCT",IF(U143="1C",VLOOKUP(V143,'Catalogue Aluminium'!$Q$9:$S$28,2,FALSE),VLOOKUP(V143,'Catalogue Aluminium'!$Q$9:$S$28,3)),IF(T143="GROUND",IF(U143="1C",VLOOKUP(V143,'Catalogue Aluminium'!$Q$9:$S$28,2,FALSE),VLOOKUP(V143,'Catalogue Aluminium'!$Q$9:$S$28,3))))))</f>
        <v>NA</v>
      </c>
      <c r="AN143" s="257">
        <f t="shared" si="340"/>
        <v>0.58740000000000003</v>
      </c>
      <c r="AO143" s="256">
        <f t="shared" si="341"/>
        <v>129.81540000000001</v>
      </c>
      <c r="AP143" s="255">
        <f t="shared" si="220"/>
        <v>1</v>
      </c>
      <c r="AQ143" s="256" t="str">
        <f t="shared" si="342"/>
        <v>YES</v>
      </c>
      <c r="AR143" s="257">
        <f t="shared" si="343"/>
        <v>0.9349790129329234</v>
      </c>
      <c r="AS143" s="249" t="str">
        <f t="shared" si="344"/>
        <v>YES</v>
      </c>
      <c r="AT143" s="257" t="str">
        <f t="shared" si="345"/>
        <v>NA</v>
      </c>
      <c r="AU143" s="249" t="str">
        <f t="shared" si="346"/>
        <v>NA</v>
      </c>
      <c r="AV143" s="260" t="str">
        <f t="shared" si="347"/>
        <v>1R x 0.6/1kV x 3.5C x 95 Sqmm</v>
      </c>
      <c r="AW143" s="260" t="str">
        <f t="shared" si="348"/>
        <v>1R x 0.6/1kV x 3.5C x 95 Sqmm</v>
      </c>
      <c r="AX143" s="249">
        <f>(IF(K143=400,(IF(U143="1C",(4*AH143*AP143),(AH143*AP143))),IF(K143=230,(AH143*AP143))))</f>
        <v>52</v>
      </c>
      <c r="AY143" s="261"/>
    </row>
    <row r="144" spans="1:51" ht="20.149999999999999" customHeight="1">
      <c r="A144" s="243">
        <f t="shared" si="349"/>
        <v>102</v>
      </c>
      <c r="B144" s="243" t="s">
        <v>467</v>
      </c>
      <c r="C144" s="243" t="str">
        <f t="shared" si="332"/>
        <v>PMCC-1</v>
      </c>
      <c r="D144" s="272" t="s">
        <v>468</v>
      </c>
      <c r="E144" s="351" t="s">
        <v>463</v>
      </c>
      <c r="F144" s="364" t="s">
        <v>28</v>
      </c>
      <c r="G144" s="243" t="s">
        <v>298</v>
      </c>
      <c r="H144" s="421">
        <v>363.56</v>
      </c>
      <c r="I144" s="243" t="s">
        <v>299</v>
      </c>
      <c r="J144" s="243" t="s">
        <v>300</v>
      </c>
      <c r="K144" s="255">
        <v>400</v>
      </c>
      <c r="L144" s="249">
        <v>0.84999999999999987</v>
      </c>
      <c r="M144" s="256">
        <v>0.95099999999999985</v>
      </c>
      <c r="N144" s="248">
        <f t="shared" si="333"/>
        <v>649.18544333244643</v>
      </c>
      <c r="O144" s="248">
        <f t="shared" si="303"/>
        <v>0</v>
      </c>
      <c r="P144" s="249" t="str">
        <f t="shared" si="334"/>
        <v>0.00</v>
      </c>
      <c r="Q144" s="256">
        <v>65</v>
      </c>
      <c r="R144" s="256">
        <v>0</v>
      </c>
      <c r="S144" s="256">
        <f t="shared" si="335"/>
        <v>0</v>
      </c>
      <c r="T144" s="249" t="s">
        <v>131</v>
      </c>
      <c r="U144" s="256" t="s">
        <v>305</v>
      </c>
      <c r="V144" s="249">
        <v>500</v>
      </c>
      <c r="W144" s="249" t="str">
        <f t="shared" si="336"/>
        <v>1C X 500</v>
      </c>
      <c r="X144" s="249" t="str">
        <f t="shared" si="337"/>
        <v>1C X 500</v>
      </c>
      <c r="Y144" s="249" t="s">
        <v>314</v>
      </c>
      <c r="Z144" s="250">
        <f>IF(T144="AIR",VLOOKUP(W144,'Catalogue Aluminium'!$B$9:$G$91,2,FALSE),IF(T144="GROUND",VLOOKUP(W144,'Catalogue Aluminium'!$B$9:$G$91,3,FALSE),IF(T144="DUCT",VLOOKUP(W144,'Catalogue Aluminium'!$B$9:$G$91,4,FALSE),IF(T144="TRENCH",VLOOKUP(W144,'Catalogue Aluminium'!$B$9:$G$91,2,FALSE)))))</f>
        <v>704</v>
      </c>
      <c r="AA144" s="251">
        <f>VLOOKUP(W144,'Catalogue Aluminium'!$B$9:$G$91,5,FALSE)</f>
        <v>7.7399999999999997E-2</v>
      </c>
      <c r="AB144" s="251">
        <f>VLOOKUP(W144,'Catalogue Aluminium'!$B$9:$G$91,6,FALSE)</f>
        <v>8.5099999999999995E-2</v>
      </c>
      <c r="AC144" s="294">
        <f>26+6</f>
        <v>32</v>
      </c>
      <c r="AD144" s="294">
        <v>0</v>
      </c>
      <c r="AE144" s="294">
        <v>5</v>
      </c>
      <c r="AF144" s="294">
        <v>8</v>
      </c>
      <c r="AG144" s="294">
        <f t="shared" si="338"/>
        <v>5</v>
      </c>
      <c r="AH144" s="253">
        <f t="shared" si="339"/>
        <v>50</v>
      </c>
      <c r="AI144" s="250">
        <f>IF(T144="AIR",'Catalogue Aluminium'!$K$9,IF(T144="TRENCH",'Catalogue Aluminium'!$K$12,"NA"))</f>
        <v>0.89</v>
      </c>
      <c r="AJ144" s="248">
        <f>IF(T144="Air",(IF(U144="1C",'Catalogue Aluminium'!$L$9,'Catalogue Aluminium'!$M$9)),IF(T144="DUCT",(IF($U144="1C",'Catalogue Aluminium'!$L$10,'Catalogue Aluminium'!$M$10)),IF(T144="GROUND",(IF($U144="1C",'Catalogue Aluminium'!$L$11,'Catalogue Aluminium'!$M$11)),IF(T144="TRENCH",(IF($U144="1C",'Catalogue Aluminium'!$L$12,'Catalogue Aluminium'!$M$12))))))</f>
        <v>0.81</v>
      </c>
      <c r="AK144" s="250" t="str">
        <f>IF(T144="Air",'Catalogue Aluminium'!$N$9,IF(T144="GROUND",'Catalogue Aluminium'!$N$10,IF(T144="DUCT",'Catalogue Aluminium'!$N$11,IF(T144="TRENCH",'Catalogue Aluminium'!$N$12,"NA"))))</f>
        <v>NA</v>
      </c>
      <c r="AL144" s="250" t="str">
        <f>IF(T144="Air",(IF(U144="1C",'Catalogue Aluminium'!$O$9,'Catalogue Aluminium'!$P$9)),IF(T144="DUCT",(IF($U144="1C",'Catalogue Aluminium'!$O$10,'Catalogue Aluminium'!$P$10)),IF(T144="GROUND",(IF($U144="1C",'Catalogue Aluminium'!$O$11,'Catalogue Aluminium'!$P$11)),IF(T144="TRENCH",(IF($U144="1C",'Catalogue Aluminium'!$O$12,'Catalogue Aluminium'!$P$12))))))</f>
        <v>NA</v>
      </c>
      <c r="AM144" s="250" t="str">
        <f>IF(T144="AIR","NA",IF(T144="TRENCH","NA",IF(T144="DUCT",IF(U144="1C",VLOOKUP(V144,'Catalogue Aluminium'!$Q$9:$S$28,2,FALSE),VLOOKUP(V144,'Catalogue Aluminium'!$Q$9:$S$28,3)),IF(T144="GROUND",IF(U144="1C",VLOOKUP(V144,'Catalogue Aluminium'!$Q$9:$S$28,2,FALSE),VLOOKUP(V144,'Catalogue Aluminium'!$Q$9:$S$28,3))))))</f>
        <v>NA</v>
      </c>
      <c r="AN144" s="257">
        <f t="shared" si="340"/>
        <v>0.7209000000000001</v>
      </c>
      <c r="AO144" s="256">
        <f t="shared" si="341"/>
        <v>507.51360000000005</v>
      </c>
      <c r="AP144" s="255">
        <f t="shared" si="220"/>
        <v>2</v>
      </c>
      <c r="AQ144" s="256" t="str">
        <f t="shared" si="342"/>
        <v>YES</v>
      </c>
      <c r="AR144" s="257">
        <f t="shared" si="343"/>
        <v>0.77739180384549134</v>
      </c>
      <c r="AS144" s="249" t="str">
        <f t="shared" si="344"/>
        <v>YES</v>
      </c>
      <c r="AT144" s="257" t="str">
        <f t="shared" si="345"/>
        <v>NA</v>
      </c>
      <c r="AU144" s="249" t="str">
        <f t="shared" si="346"/>
        <v>NA</v>
      </c>
      <c r="AV144" s="260" t="str">
        <f t="shared" si="347"/>
        <v>2R x 0.6/1.0kV x 1C x 500 Sqmm/Phase</v>
      </c>
      <c r="AW144" s="260" t="str">
        <f t="shared" si="348"/>
        <v>2R x 0.6/1.0kV x 1C x 500 Sqmm/Phase</v>
      </c>
      <c r="AX144" s="372">
        <f>(IF(K144=400,(IF(U144="1C",(4*AH144*AP144),(AH144*AP144))),IF(K144=230,(AH144*AP144))))</f>
        <v>400</v>
      </c>
      <c r="AY144" s="547"/>
    </row>
    <row r="145" spans="1:51" ht="20.149999999999999" customHeight="1">
      <c r="A145" s="243">
        <f t="shared" si="349"/>
        <v>103</v>
      </c>
      <c r="B145" s="243" t="s">
        <v>467</v>
      </c>
      <c r="C145" s="243" t="str">
        <f t="shared" si="332"/>
        <v>PMCC-1</v>
      </c>
      <c r="D145" s="272" t="s">
        <v>469</v>
      </c>
      <c r="E145" s="351" t="s">
        <v>463</v>
      </c>
      <c r="F145" s="364" t="s">
        <v>29</v>
      </c>
      <c r="G145" s="243" t="s">
        <v>298</v>
      </c>
      <c r="H145" s="421">
        <v>363.56</v>
      </c>
      <c r="I145" s="243" t="s">
        <v>299</v>
      </c>
      <c r="J145" s="243" t="s">
        <v>300</v>
      </c>
      <c r="K145" s="255">
        <v>400</v>
      </c>
      <c r="L145" s="249">
        <v>0.84999999999999987</v>
      </c>
      <c r="M145" s="256">
        <v>0.95099999999999985</v>
      </c>
      <c r="N145" s="248">
        <f t="shared" si="333"/>
        <v>649.18544333244643</v>
      </c>
      <c r="O145" s="248">
        <f t="shared" si="303"/>
        <v>0</v>
      </c>
      <c r="P145" s="249" t="str">
        <f t="shared" si="334"/>
        <v>0.00</v>
      </c>
      <c r="Q145" s="256">
        <v>65</v>
      </c>
      <c r="R145" s="256">
        <v>0</v>
      </c>
      <c r="S145" s="256">
        <f t="shared" si="335"/>
        <v>0</v>
      </c>
      <c r="T145" s="249" t="s">
        <v>131</v>
      </c>
      <c r="U145" s="256" t="s">
        <v>305</v>
      </c>
      <c r="V145" s="249">
        <v>500</v>
      </c>
      <c r="W145" s="249" t="str">
        <f t="shared" si="336"/>
        <v>1C X 500</v>
      </c>
      <c r="X145" s="249" t="str">
        <f t="shared" si="337"/>
        <v>1C X 500</v>
      </c>
      <c r="Y145" s="249" t="s">
        <v>314</v>
      </c>
      <c r="Z145" s="250">
        <f>IF(T145="AIR",VLOOKUP(W145,'Catalogue Aluminium'!$B$9:$G$91,2,FALSE),IF(T145="GROUND",VLOOKUP(W145,'Catalogue Aluminium'!$B$9:$G$91,3,FALSE),IF(T145="DUCT",VLOOKUP(W145,'Catalogue Aluminium'!$B$9:$G$91,4,FALSE),IF(T145="TRENCH",VLOOKUP(W145,'Catalogue Aluminium'!$B$9:$G$91,2,FALSE)))))</f>
        <v>704</v>
      </c>
      <c r="AA145" s="251">
        <f>VLOOKUP(W145,'Catalogue Aluminium'!$B$9:$G$91,5,FALSE)</f>
        <v>7.7399999999999997E-2</v>
      </c>
      <c r="AB145" s="251">
        <f>VLOOKUP(W145,'Catalogue Aluminium'!$B$9:$G$91,6,FALSE)</f>
        <v>8.5099999999999995E-2</v>
      </c>
      <c r="AC145" s="294">
        <f>10+6</f>
        <v>16</v>
      </c>
      <c r="AD145" s="294">
        <v>0</v>
      </c>
      <c r="AE145" s="294">
        <v>5</v>
      </c>
      <c r="AF145" s="294">
        <v>8</v>
      </c>
      <c r="AG145" s="294">
        <f t="shared" si="338"/>
        <v>3</v>
      </c>
      <c r="AH145" s="253">
        <f t="shared" si="339"/>
        <v>32</v>
      </c>
      <c r="AI145" s="250">
        <f>IF(T145="AIR",'Catalogue Aluminium'!$K$9,IF(T145="TRENCH",'Catalogue Aluminium'!$K$12,"NA"))</f>
        <v>0.89</v>
      </c>
      <c r="AJ145" s="248">
        <f>IF(T145="Air",(IF(U145="1C",'Catalogue Aluminium'!$L$9,'Catalogue Aluminium'!$M$9)),IF(T145="DUCT",(IF($U145="1C",'Catalogue Aluminium'!$L$10,'Catalogue Aluminium'!$M$10)),IF(T145="GROUND",(IF($U145="1C",'Catalogue Aluminium'!$L$11,'Catalogue Aluminium'!$M$11)),IF(T145="TRENCH",(IF($U145="1C",'Catalogue Aluminium'!$L$12,'Catalogue Aluminium'!$M$12))))))</f>
        <v>0.81</v>
      </c>
      <c r="AK145" s="250" t="str">
        <f>IF(T145="Air",'Catalogue Aluminium'!$N$9,IF(T145="GROUND",'Catalogue Aluminium'!$N$10,IF(T145="DUCT",'Catalogue Aluminium'!$N$11,IF(T145="TRENCH",'Catalogue Aluminium'!$N$12,"NA"))))</f>
        <v>NA</v>
      </c>
      <c r="AL145" s="250" t="str">
        <f>IF(T145="Air",(IF(U145="1C",'Catalogue Aluminium'!$O$9,'Catalogue Aluminium'!$P$9)),IF(T145="DUCT",(IF($U145="1C",'Catalogue Aluminium'!$O$10,'Catalogue Aluminium'!$P$10)),IF(T145="GROUND",(IF($U145="1C",'Catalogue Aluminium'!$O$11,'Catalogue Aluminium'!$P$11)),IF(T145="TRENCH",(IF($U145="1C",'Catalogue Aluminium'!$O$12,'Catalogue Aluminium'!$P$12))))))</f>
        <v>NA</v>
      </c>
      <c r="AM145" s="250" t="str">
        <f>IF(T145="AIR","NA",IF(T145="TRENCH","NA",IF(T145="DUCT",IF(U145="1C",VLOOKUP(V145,'Catalogue Aluminium'!$Q$9:$S$28,2,FALSE),VLOOKUP(V145,'Catalogue Aluminium'!$Q$9:$S$28,3)),IF(T145="GROUND",IF(U145="1C",VLOOKUP(V145,'Catalogue Aluminium'!$Q$9:$S$28,2,FALSE),VLOOKUP(V145,'Catalogue Aluminium'!$Q$9:$S$28,3))))))</f>
        <v>NA</v>
      </c>
      <c r="AN145" s="257">
        <f t="shared" si="340"/>
        <v>0.7209000000000001</v>
      </c>
      <c r="AO145" s="256">
        <f t="shared" si="341"/>
        <v>507.51360000000005</v>
      </c>
      <c r="AP145" s="255">
        <f t="shared" si="220"/>
        <v>2</v>
      </c>
      <c r="AQ145" s="256" t="str">
        <f t="shared" si="342"/>
        <v>YES</v>
      </c>
      <c r="AR145" s="257">
        <f t="shared" si="343"/>
        <v>0.49753075446111439</v>
      </c>
      <c r="AS145" s="249" t="str">
        <f t="shared" si="344"/>
        <v>YES</v>
      </c>
      <c r="AT145" s="257" t="str">
        <f t="shared" si="345"/>
        <v>NA</v>
      </c>
      <c r="AU145" s="249" t="str">
        <f t="shared" si="346"/>
        <v>NA</v>
      </c>
      <c r="AV145" s="260" t="str">
        <f t="shared" si="347"/>
        <v>2R x 0.6/1.0kV x 1C x 500 Sqmm/Phase</v>
      </c>
      <c r="AW145" s="260" t="str">
        <f t="shared" si="348"/>
        <v>2R x 0.6/1.0kV x 1C x 500 Sqmm/Phase</v>
      </c>
      <c r="AX145" s="372">
        <f>(IF(K145=400,(IF(U145="1C",(4*AH145*AP145),(AH145*AP145))),IF(K145=230,(AH145*AP145))))</f>
        <v>256</v>
      </c>
      <c r="AY145" s="547"/>
    </row>
    <row r="146" spans="1:51" ht="33" customHeight="1">
      <c r="A146" s="243">
        <f t="shared" si="349"/>
        <v>104</v>
      </c>
      <c r="B146" s="243" t="s">
        <v>470</v>
      </c>
      <c r="C146" s="243" t="str">
        <f t="shared" si="332"/>
        <v>PMCC-1</v>
      </c>
      <c r="D146" s="272" t="s">
        <v>471</v>
      </c>
      <c r="E146" s="351" t="s">
        <v>304</v>
      </c>
      <c r="F146" s="364" t="s">
        <v>28</v>
      </c>
      <c r="G146" s="243" t="s">
        <v>298</v>
      </c>
      <c r="H146" s="256">
        <v>1600</v>
      </c>
      <c r="I146" s="243" t="s">
        <v>319</v>
      </c>
      <c r="J146" s="243" t="s">
        <v>300</v>
      </c>
      <c r="K146" s="255">
        <v>400</v>
      </c>
      <c r="L146" s="249">
        <v>0.84664865012052015</v>
      </c>
      <c r="M146" s="256">
        <v>0.92832394366197268</v>
      </c>
      <c r="N146" s="248">
        <f t="shared" si="333"/>
        <v>2487.7833195389812</v>
      </c>
      <c r="O146" s="248">
        <f t="shared" si="303"/>
        <v>0</v>
      </c>
      <c r="P146" s="249" t="str">
        <f t="shared" si="334"/>
        <v>0.00</v>
      </c>
      <c r="Q146" s="256">
        <v>65</v>
      </c>
      <c r="R146" s="256">
        <v>1</v>
      </c>
      <c r="S146" s="256">
        <f t="shared" si="335"/>
        <v>454.54545454545456</v>
      </c>
      <c r="T146" s="249" t="s">
        <v>131</v>
      </c>
      <c r="U146" s="256" t="s">
        <v>305</v>
      </c>
      <c r="V146" s="249">
        <v>630</v>
      </c>
      <c r="W146" s="249" t="str">
        <f t="shared" si="336"/>
        <v>1C X 630</v>
      </c>
      <c r="X146" s="249" t="str">
        <f t="shared" si="337"/>
        <v>1C X 630</v>
      </c>
      <c r="Y146" s="249" t="s">
        <v>314</v>
      </c>
      <c r="Z146" s="250">
        <f>IF(T146="AIR",VLOOKUP(W146,'Catalogue Aluminium'!$B$9:$G$91,2,FALSE),IF(T146="GROUND",VLOOKUP(W146,'Catalogue Aluminium'!$B$9:$G$91,3,FALSE),IF(T146="DUCT",VLOOKUP(W146,'Catalogue Aluminium'!$B$9:$G$91,4,FALSE),IF(T146="TRENCH",VLOOKUP(W146,'Catalogue Aluminium'!$B$9:$G$91,2,FALSE)))))</f>
        <v>822</v>
      </c>
      <c r="AA146" s="251">
        <f>VLOOKUP(W146,'Catalogue Aluminium'!$B$9:$G$91,5,FALSE)</f>
        <v>0.06</v>
      </c>
      <c r="AB146" s="251">
        <f>VLOOKUP(W146,'Catalogue Aluminium'!$B$9:$G$91,6,FALSE)</f>
        <v>8.43E-2</v>
      </c>
      <c r="AC146" s="294">
        <f>15+5</f>
        <v>20</v>
      </c>
      <c r="AD146" s="294">
        <v>0</v>
      </c>
      <c r="AE146" s="294">
        <v>5</v>
      </c>
      <c r="AF146" s="294">
        <v>8</v>
      </c>
      <c r="AG146" s="294">
        <f t="shared" si="338"/>
        <v>4</v>
      </c>
      <c r="AH146" s="253">
        <f t="shared" si="339"/>
        <v>37</v>
      </c>
      <c r="AI146" s="250">
        <f>IF(T146="AIR",'Catalogue Aluminium'!$K$9,IF(T146="TRENCH",'Catalogue Aluminium'!$K$12,"NA"))</f>
        <v>0.89</v>
      </c>
      <c r="AJ146" s="248">
        <f>IF(T146="Air",(IF(U146="1C",'Catalogue Aluminium'!$L$9,'Catalogue Aluminium'!$M$9)),IF(T146="DUCT",(IF($U146="1C",'Catalogue Aluminium'!$L$10,'Catalogue Aluminium'!$M$10)),IF(T146="GROUND",(IF($U146="1C",'Catalogue Aluminium'!$L$11,'Catalogue Aluminium'!$M$11)),IF(T146="TRENCH",(IF($U146="1C",'Catalogue Aluminium'!$L$12,'Catalogue Aluminium'!$M$12))))))</f>
        <v>0.81</v>
      </c>
      <c r="AK146" s="250" t="str">
        <f>IF(T146="Air",'Catalogue Aluminium'!$N$9,IF(T146="GROUND",'Catalogue Aluminium'!$N$10,IF(T146="DUCT",'Catalogue Aluminium'!$N$11,IF(T146="TRENCH",'Catalogue Aluminium'!$N$12,"NA"))))</f>
        <v>NA</v>
      </c>
      <c r="AL146" s="250" t="str">
        <f>IF(T146="Air",(IF(U146="1C",'Catalogue Aluminium'!$O$9,'Catalogue Aluminium'!$P$9)),IF(T146="DUCT",(IF($U146="1C",'Catalogue Aluminium'!$O$10,'Catalogue Aluminium'!$P$10)),IF(T146="GROUND",(IF($U146="1C",'Catalogue Aluminium'!$O$11,'Catalogue Aluminium'!$P$11)),IF(T146="TRENCH",(IF($U146="1C",'Catalogue Aluminium'!$O$12,'Catalogue Aluminium'!$P$12))))))</f>
        <v>NA</v>
      </c>
      <c r="AM146" s="250" t="str">
        <f>IF(T146="AIR","NA",IF(T146="TRENCH","NA",IF(T146="DUCT",IF(U146="1C",VLOOKUP(V146,'Catalogue Aluminium'!$Q$9:$S$28,2,FALSE),VLOOKUP(V146,'Catalogue Aluminium'!$Q$9:$S$28,3)),IF(T146="GROUND",IF(U146="1C",VLOOKUP(V146,'Catalogue Aluminium'!$Q$9:$S$28,2,FALSE),VLOOKUP(V146,'Catalogue Aluminium'!$Q$9:$S$28,3))))))</f>
        <v>NA</v>
      </c>
      <c r="AN146" s="257">
        <f t="shared" si="340"/>
        <v>0.7209000000000001</v>
      </c>
      <c r="AO146" s="256">
        <f t="shared" si="341"/>
        <v>592.57980000000009</v>
      </c>
      <c r="AP146" s="255">
        <v>5</v>
      </c>
      <c r="AQ146" s="256" t="str">
        <f t="shared" si="342"/>
        <v>YES</v>
      </c>
      <c r="AR146" s="257">
        <f t="shared" si="343"/>
        <v>0.76255709491879498</v>
      </c>
      <c r="AS146" s="249" t="str">
        <f t="shared" si="344"/>
        <v>YES</v>
      </c>
      <c r="AT146" s="257" t="str">
        <f t="shared" si="345"/>
        <v>NA</v>
      </c>
      <c r="AU146" s="249" t="str">
        <f t="shared" si="346"/>
        <v>NA</v>
      </c>
      <c r="AV146" s="260" t="str">
        <f t="shared" si="347"/>
        <v>5R x 0.6/1.0kV x 1C x 630 Sqmm/Phase</v>
      </c>
      <c r="AW146" s="260" t="str">
        <f t="shared" si="348"/>
        <v>5R x 0.6/1.0kV x 1C x 630 Sqmm/Phase</v>
      </c>
      <c r="AX146" s="372">
        <f>(IF(K146=400,(IF(U146="1C",(3*AH146*AP146),(AH146*AP146))),IF(K146=230,(AH146*AP146))))</f>
        <v>555</v>
      </c>
      <c r="AY146" s="547"/>
    </row>
    <row r="147" spans="1:51" ht="30.75" customHeight="1">
      <c r="A147" s="243">
        <f t="shared" si="349"/>
        <v>105</v>
      </c>
      <c r="B147" s="243" t="s">
        <v>470</v>
      </c>
      <c r="C147" s="243" t="str">
        <f t="shared" si="332"/>
        <v>PMCC-1</v>
      </c>
      <c r="D147" s="272" t="s">
        <v>472</v>
      </c>
      <c r="E147" s="351" t="s">
        <v>304</v>
      </c>
      <c r="F147" s="364" t="s">
        <v>28</v>
      </c>
      <c r="G147" s="243" t="s">
        <v>298</v>
      </c>
      <c r="H147" s="256">
        <f>1600/1.732</f>
        <v>923.78752886836025</v>
      </c>
      <c r="I147" s="243" t="s">
        <v>319</v>
      </c>
      <c r="J147" s="243" t="s">
        <v>300</v>
      </c>
      <c r="K147" s="255">
        <v>400</v>
      </c>
      <c r="L147" s="249">
        <v>0.84664865012052015</v>
      </c>
      <c r="M147" s="256">
        <v>0.92832394366197268</v>
      </c>
      <c r="N147" s="248">
        <f t="shared" ref="N147" si="350">IF(I147="kVA",IF(J147="3Ph",(H147*1000/(1.732*M147*K147)),(H147*1000/(M147*K147))),IF(I147="kW",IF(J147="3Ph",(H147*1000/(1.732*M147*K147*L147)),(H147*1000/(M147*K147*L147)))))</f>
        <v>1436.3645031980261</v>
      </c>
      <c r="O147" s="248">
        <f t="shared" ref="O147" si="351">IF(G147="MOTOR",(6*N147),IF(G147="VFD",(1*N147),0))</f>
        <v>0</v>
      </c>
      <c r="P147" s="249" t="str">
        <f t="shared" ref="P147" si="352">IF(G147="MOTOR",0.2,"0.00")</f>
        <v>0.00</v>
      </c>
      <c r="Q147" s="256">
        <v>65</v>
      </c>
      <c r="R147" s="256">
        <v>1</v>
      </c>
      <c r="S147" s="256">
        <f t="shared" ref="S147" si="353">(Q147*1000*SQRT(R147)/143)</f>
        <v>454.54545454545456</v>
      </c>
      <c r="T147" s="249" t="s">
        <v>131</v>
      </c>
      <c r="U147" s="256" t="s">
        <v>305</v>
      </c>
      <c r="V147" s="249">
        <v>630</v>
      </c>
      <c r="W147" s="249" t="str">
        <f t="shared" ref="W147" si="354">CONCATENATE(U147," X ",V147)</f>
        <v>1C X 630</v>
      </c>
      <c r="X147" s="249" t="str">
        <f t="shared" ref="X147" si="355">(IF(J147="1Ph",W147,IF(J147="3Ph",(IF(G147="MOTOR",(CONCATENATE(W147,"+PE")),W147)))))</f>
        <v>1C X 630</v>
      </c>
      <c r="Y147" s="249" t="s">
        <v>314</v>
      </c>
      <c r="Z147" s="250">
        <f>IF(T147="AIR",VLOOKUP(W147,'Catalogue Aluminium'!$B$9:$G$91,2,FALSE),IF(T147="GROUND",VLOOKUP(W147,'Catalogue Aluminium'!$B$9:$G$91,3,FALSE),IF(T147="DUCT",VLOOKUP(W147,'Catalogue Aluminium'!$B$9:$G$91,4,FALSE),IF(T147="TRENCH",VLOOKUP(W147,'Catalogue Aluminium'!$B$9:$G$91,2,FALSE)))))</f>
        <v>822</v>
      </c>
      <c r="AA147" s="251">
        <f>VLOOKUP(W147,'Catalogue Aluminium'!$B$9:$G$91,5,FALSE)</f>
        <v>0.06</v>
      </c>
      <c r="AB147" s="251">
        <f>VLOOKUP(W147,'Catalogue Aluminium'!$B$9:$G$91,6,FALSE)</f>
        <v>8.43E-2</v>
      </c>
      <c r="AC147" s="294">
        <f t="shared" ref="AC147:AC149" si="356">15+5</f>
        <v>20</v>
      </c>
      <c r="AD147" s="294">
        <v>0</v>
      </c>
      <c r="AE147" s="294">
        <v>5</v>
      </c>
      <c r="AF147" s="294">
        <v>8</v>
      </c>
      <c r="AG147" s="294">
        <f t="shared" ref="AG147" si="357">ROUNDUP((SUM(AC147:AF147)*0.1),0)</f>
        <v>4</v>
      </c>
      <c r="AH147" s="253">
        <f t="shared" ref="AH147" si="358">SUM(AC147:AG147)</f>
        <v>37</v>
      </c>
      <c r="AI147" s="250">
        <f>IF(T147="AIR",'Catalogue Aluminium'!$K$9,IF(T147="TRENCH",'Catalogue Aluminium'!$K$12,"NA"))</f>
        <v>0.89</v>
      </c>
      <c r="AJ147" s="248">
        <f>IF(T147="Air",(IF(U147="1C",'Catalogue Aluminium'!$L$9,'Catalogue Aluminium'!$M$9)),IF(T147="DUCT",(IF($U147="1C",'Catalogue Aluminium'!$L$10,'Catalogue Aluminium'!$M$10)),IF(T147="GROUND",(IF($U147="1C",'Catalogue Aluminium'!$L$11,'Catalogue Aluminium'!$M$11)),IF(T147="TRENCH",(IF($U147="1C",'Catalogue Aluminium'!$L$12,'Catalogue Aluminium'!$M$12))))))</f>
        <v>0.81</v>
      </c>
      <c r="AK147" s="250" t="str">
        <f>IF(T147="Air",'Catalogue Aluminium'!$N$9,IF(T147="GROUND",'Catalogue Aluminium'!$N$10,IF(T147="DUCT",'Catalogue Aluminium'!$N$11,IF(T147="TRENCH",'Catalogue Aluminium'!$N$12,"NA"))))</f>
        <v>NA</v>
      </c>
      <c r="AL147" s="250" t="str">
        <f>IF(T147="Air",(IF(U147="1C",'Catalogue Aluminium'!$O$9,'Catalogue Aluminium'!$P$9)),IF(T147="DUCT",(IF($U147="1C",'Catalogue Aluminium'!$O$10,'Catalogue Aluminium'!$P$10)),IF(T147="GROUND",(IF($U147="1C",'Catalogue Aluminium'!$O$11,'Catalogue Aluminium'!$P$11)),IF(T147="TRENCH",(IF($U147="1C",'Catalogue Aluminium'!$O$12,'Catalogue Aluminium'!$P$12))))))</f>
        <v>NA</v>
      </c>
      <c r="AM147" s="250" t="str">
        <f>IF(T147="AIR","NA",IF(T147="TRENCH","NA",IF(T147="DUCT",IF(U147="1C",VLOOKUP(V147,'Catalogue Aluminium'!$Q$9:$S$28,2,FALSE),VLOOKUP(V147,'Catalogue Aluminium'!$Q$9:$S$28,3)),IF(T147="GROUND",IF(U147="1C",VLOOKUP(V147,'Catalogue Aluminium'!$Q$9:$S$28,2,FALSE),VLOOKUP(V147,'Catalogue Aluminium'!$Q$9:$S$28,3))))))</f>
        <v>NA</v>
      </c>
      <c r="AN147" s="257">
        <f t="shared" ref="AN147" si="359">IF(T147="AIR",AI147*AJ147,IF(T147="TRENCH",AI147*AJ147,IF(T147="DUCT",AJ147*AK147*AL147*AM147,IF(T147="GROUND",AJ147*AK147*AL147*AM147))))</f>
        <v>0.7209000000000001</v>
      </c>
      <c r="AO147" s="256">
        <f t="shared" ref="AO147" si="360">Z147*AN147</f>
        <v>592.57980000000009</v>
      </c>
      <c r="AP147" s="255">
        <f t="shared" si="220"/>
        <v>3</v>
      </c>
      <c r="AQ147" s="256" t="str">
        <f t="shared" ref="AQ147" si="361">IF(AO147*AP147&gt;=N147,"YES","NO")</f>
        <v>YES</v>
      </c>
      <c r="AR147" s="257">
        <f t="shared" ref="AR147" si="362">SQRT(3)*AH147*N147*((AA147*L147)+(AB147*SIN(ACOS(L147))))*100/(AP147*K147*1000)</f>
        <v>0.73379243160007224</v>
      </c>
      <c r="AS147" s="249" t="str">
        <f t="shared" ref="AS147" si="363">IF(G147="INCOMER",(IF(AR147&lt;=2,"YES","NO")),IF(G147="POWER",(IF(AR147&lt;=2.5,"YES","NO")),IF(G147="MOTOR",(IF(AR147&lt;=3,"YES","NO")))))</f>
        <v>YES</v>
      </c>
      <c r="AT147" s="257" t="str">
        <f t="shared" si="345"/>
        <v>NA</v>
      </c>
      <c r="AU147" s="249" t="str">
        <f t="shared" si="346"/>
        <v>NA</v>
      </c>
      <c r="AV147" s="260" t="s">
        <v>473</v>
      </c>
      <c r="AW147" s="260" t="str">
        <f t="shared" si="348"/>
        <v>3R x 0.6/1.0kV x 1C x 630 Sqmm/Phase</v>
      </c>
      <c r="AX147" s="372">
        <f>(IF(K147=400,(IF(U147="1C",(AH147*AP147),(AH147*AP147))),IF(K147=230,(AH147*AP147))))</f>
        <v>111</v>
      </c>
      <c r="AY147" s="547"/>
    </row>
    <row r="148" spans="1:51" ht="30" customHeight="1">
      <c r="A148" s="243">
        <f t="shared" si="349"/>
        <v>106</v>
      </c>
      <c r="B148" s="243" t="s">
        <v>470</v>
      </c>
      <c r="C148" s="243" t="str">
        <f t="shared" si="332"/>
        <v>PMCC-1</v>
      </c>
      <c r="D148" s="272" t="s">
        <v>474</v>
      </c>
      <c r="E148" s="351" t="s">
        <v>304</v>
      </c>
      <c r="F148" s="364" t="s">
        <v>29</v>
      </c>
      <c r="G148" s="243" t="s">
        <v>298</v>
      </c>
      <c r="H148" s="256">
        <v>1600</v>
      </c>
      <c r="I148" s="243" t="s">
        <v>319</v>
      </c>
      <c r="J148" s="243" t="s">
        <v>300</v>
      </c>
      <c r="K148" s="255">
        <v>400</v>
      </c>
      <c r="L148" s="249">
        <v>0.84664865012052015</v>
      </c>
      <c r="M148" s="256">
        <v>0.92832394366197268</v>
      </c>
      <c r="N148" s="248">
        <f t="shared" si="333"/>
        <v>2487.7833195389812</v>
      </c>
      <c r="O148" s="248">
        <f t="shared" si="303"/>
        <v>0</v>
      </c>
      <c r="P148" s="249" t="str">
        <f t="shared" si="334"/>
        <v>0.00</v>
      </c>
      <c r="Q148" s="256">
        <v>65</v>
      </c>
      <c r="R148" s="256">
        <v>1</v>
      </c>
      <c r="S148" s="256">
        <f t="shared" si="335"/>
        <v>454.54545454545456</v>
      </c>
      <c r="T148" s="249" t="s">
        <v>131</v>
      </c>
      <c r="U148" s="256" t="s">
        <v>305</v>
      </c>
      <c r="V148" s="249">
        <v>630</v>
      </c>
      <c r="W148" s="249" t="str">
        <f t="shared" si="336"/>
        <v>1C X 630</v>
      </c>
      <c r="X148" s="249" t="str">
        <f t="shared" si="337"/>
        <v>1C X 630</v>
      </c>
      <c r="Y148" s="249" t="s">
        <v>314</v>
      </c>
      <c r="Z148" s="250">
        <f>IF(T148="AIR",VLOOKUP(W148,'Catalogue Aluminium'!$B$9:$G$91,2,FALSE),IF(T148="GROUND",VLOOKUP(W148,'Catalogue Aluminium'!$B$9:$G$91,3,FALSE),IF(T148="DUCT",VLOOKUP(W148,'Catalogue Aluminium'!$B$9:$G$91,4,FALSE),IF(T148="TRENCH",VLOOKUP(W148,'Catalogue Aluminium'!$B$9:$G$91,2,FALSE)))))</f>
        <v>822</v>
      </c>
      <c r="AA148" s="251">
        <f>VLOOKUP(W148,'Catalogue Aluminium'!$B$9:$G$91,5,FALSE)</f>
        <v>0.06</v>
      </c>
      <c r="AB148" s="251">
        <f>VLOOKUP(W148,'Catalogue Aluminium'!$B$9:$G$91,6,FALSE)</f>
        <v>8.43E-2</v>
      </c>
      <c r="AC148" s="294">
        <f t="shared" si="356"/>
        <v>20</v>
      </c>
      <c r="AD148" s="294">
        <v>0</v>
      </c>
      <c r="AE148" s="294">
        <v>5</v>
      </c>
      <c r="AF148" s="294">
        <v>8</v>
      </c>
      <c r="AG148" s="294">
        <f t="shared" si="338"/>
        <v>4</v>
      </c>
      <c r="AH148" s="253">
        <f t="shared" si="339"/>
        <v>37</v>
      </c>
      <c r="AI148" s="250">
        <f>IF(T148="AIR",'Catalogue Aluminium'!$K$9,IF(T148="TRENCH",'Catalogue Aluminium'!$K$12,"NA"))</f>
        <v>0.89</v>
      </c>
      <c r="AJ148" s="248">
        <f>IF(T148="Air",(IF(U148="1C",'Catalogue Aluminium'!$L$9,'Catalogue Aluminium'!$M$9)),IF(T148="DUCT",(IF($U148="1C",'Catalogue Aluminium'!$L$10,'Catalogue Aluminium'!$M$10)),IF(T148="GROUND",(IF($U148="1C",'Catalogue Aluminium'!$L$11,'Catalogue Aluminium'!$M$11)),IF(T148="TRENCH",(IF($U148="1C",'Catalogue Aluminium'!$L$12,'Catalogue Aluminium'!$M$12))))))</f>
        <v>0.81</v>
      </c>
      <c r="AK148" s="250" t="str">
        <f>IF(T148="Air",'Catalogue Aluminium'!$N$9,IF(T148="GROUND",'Catalogue Aluminium'!$N$10,IF(T148="DUCT",'Catalogue Aluminium'!$N$11,IF(T148="TRENCH",'Catalogue Aluminium'!$N$12,"NA"))))</f>
        <v>NA</v>
      </c>
      <c r="AL148" s="250" t="str">
        <f>IF(T148="Air",(IF(U148="1C",'Catalogue Aluminium'!$O$9,'Catalogue Aluminium'!$P$9)),IF(T148="DUCT",(IF($U148="1C",'Catalogue Aluminium'!$O$10,'Catalogue Aluminium'!$P$10)),IF(T148="GROUND",(IF($U148="1C",'Catalogue Aluminium'!$O$11,'Catalogue Aluminium'!$P$11)),IF(T148="TRENCH",(IF($U148="1C",'Catalogue Aluminium'!$O$12,'Catalogue Aluminium'!$P$12))))))</f>
        <v>NA</v>
      </c>
      <c r="AM148" s="250" t="str">
        <f>IF(T148="AIR","NA",IF(T148="TRENCH","NA",IF(T148="DUCT",IF(U148="1C",VLOOKUP(V148,'Catalogue Aluminium'!$Q$9:$S$28,2,FALSE),VLOOKUP(V148,'Catalogue Aluminium'!$Q$9:$S$28,3)),IF(T148="GROUND",IF(U148="1C",VLOOKUP(V148,'Catalogue Aluminium'!$Q$9:$S$28,2,FALSE),VLOOKUP(V148,'Catalogue Aluminium'!$Q$9:$S$28,3))))))</f>
        <v>NA</v>
      </c>
      <c r="AN148" s="257">
        <f t="shared" si="340"/>
        <v>0.7209000000000001</v>
      </c>
      <c r="AO148" s="256">
        <f t="shared" si="341"/>
        <v>592.57980000000009</v>
      </c>
      <c r="AP148" s="255">
        <f t="shared" si="220"/>
        <v>5</v>
      </c>
      <c r="AQ148" s="256" t="str">
        <f t="shared" si="342"/>
        <v>YES</v>
      </c>
      <c r="AR148" s="257">
        <f t="shared" si="343"/>
        <v>0.76255709491879498</v>
      </c>
      <c r="AS148" s="249" t="str">
        <f t="shared" si="344"/>
        <v>YES</v>
      </c>
      <c r="AT148" s="257" t="str">
        <f t="shared" si="345"/>
        <v>NA</v>
      </c>
      <c r="AU148" s="249" t="str">
        <f t="shared" si="346"/>
        <v>NA</v>
      </c>
      <c r="AV148" s="260" t="str">
        <f>IF(U148="1C",CONCATENATE(AP148,"R x ",Y148,"kV x ",U148," x ",V148," Sqmm/Phase"),CONCATENATE(AP148,"R x ",0.6,"/1kV x ",U148," x ",V148," Sqmm"))</f>
        <v>5R x 0.6/1.0kV x 1C x 630 Sqmm/Phase</v>
      </c>
      <c r="AW148" s="260" t="str">
        <f t="shared" si="348"/>
        <v>5R x 0.6/1.0kV x 1C x 630 Sqmm/Phase</v>
      </c>
      <c r="AX148" s="372">
        <f>(IF(K148=400,(IF(U148="1C",(3*AH148*AP148),(AH148*AP148))),IF(K148=230,(AH148*AP148))))</f>
        <v>555</v>
      </c>
      <c r="AY148" s="547"/>
    </row>
    <row r="149" spans="1:51" ht="27.75" customHeight="1">
      <c r="A149" s="243">
        <f t="shared" si="349"/>
        <v>107</v>
      </c>
      <c r="B149" s="243" t="s">
        <v>470</v>
      </c>
      <c r="C149" s="243" t="str">
        <f t="shared" si="332"/>
        <v>PMCC-1</v>
      </c>
      <c r="D149" s="272" t="s">
        <v>475</v>
      </c>
      <c r="E149" s="351" t="s">
        <v>304</v>
      </c>
      <c r="F149" s="364" t="s">
        <v>29</v>
      </c>
      <c r="G149" s="243" t="s">
        <v>298</v>
      </c>
      <c r="H149" s="256">
        <f>1600/1.732</f>
        <v>923.78752886836025</v>
      </c>
      <c r="I149" s="243" t="s">
        <v>319</v>
      </c>
      <c r="J149" s="243" t="s">
        <v>300</v>
      </c>
      <c r="K149" s="255">
        <v>400</v>
      </c>
      <c r="L149" s="249">
        <v>0.84664865012052015</v>
      </c>
      <c r="M149" s="256">
        <v>0.92832394366197268</v>
      </c>
      <c r="N149" s="248">
        <f t="shared" ref="N149" si="364">IF(I149="kVA",IF(J149="3Ph",(H149*1000/(1.732*M149*K149)),(H149*1000/(M149*K149))),IF(I149="kW",IF(J149="3Ph",(H149*1000/(1.732*M149*K149*L149)),(H149*1000/(M149*K149*L149)))))</f>
        <v>1436.3645031980261</v>
      </c>
      <c r="O149" s="248">
        <f t="shared" ref="O149" si="365">IF(G149="MOTOR",(6*N149),IF(G149="VFD",(1*N149),0))</f>
        <v>0</v>
      </c>
      <c r="P149" s="249" t="str">
        <f t="shared" ref="P149" si="366">IF(G149="MOTOR",0.2,"0.00")</f>
        <v>0.00</v>
      </c>
      <c r="Q149" s="256">
        <v>65</v>
      </c>
      <c r="R149" s="256">
        <v>1</v>
      </c>
      <c r="S149" s="256">
        <f t="shared" ref="S149" si="367">(Q149*1000*SQRT(R149)/143)</f>
        <v>454.54545454545456</v>
      </c>
      <c r="T149" s="249" t="s">
        <v>131</v>
      </c>
      <c r="U149" s="256" t="s">
        <v>305</v>
      </c>
      <c r="V149" s="249">
        <v>630</v>
      </c>
      <c r="W149" s="249" t="str">
        <f t="shared" ref="W149" si="368">CONCATENATE(U149," X ",V149)</f>
        <v>1C X 630</v>
      </c>
      <c r="X149" s="249" t="str">
        <f t="shared" ref="X149" si="369">(IF(J149="1Ph",W149,IF(J149="3Ph",(IF(G149="MOTOR",(CONCATENATE(W149,"+PE")),W149)))))</f>
        <v>1C X 630</v>
      </c>
      <c r="Y149" s="249" t="s">
        <v>314</v>
      </c>
      <c r="Z149" s="250">
        <f>IF(T149="AIR",VLOOKUP(W149,'Catalogue Aluminium'!$B$9:$G$91,2,FALSE),IF(T149="GROUND",VLOOKUP(W149,'Catalogue Aluminium'!$B$9:$G$91,3,FALSE),IF(T149="DUCT",VLOOKUP(W149,'Catalogue Aluminium'!$B$9:$G$91,4,FALSE),IF(T149="TRENCH",VLOOKUP(W149,'Catalogue Aluminium'!$B$9:$G$91,2,FALSE)))))</f>
        <v>822</v>
      </c>
      <c r="AA149" s="251">
        <f>VLOOKUP(W149,'Catalogue Aluminium'!$B$9:$G$91,5,FALSE)</f>
        <v>0.06</v>
      </c>
      <c r="AB149" s="251">
        <f>VLOOKUP(W149,'Catalogue Aluminium'!$B$9:$G$91,6,FALSE)</f>
        <v>8.43E-2</v>
      </c>
      <c r="AC149" s="294">
        <f t="shared" si="356"/>
        <v>20</v>
      </c>
      <c r="AD149" s="294">
        <v>0</v>
      </c>
      <c r="AE149" s="294">
        <v>5</v>
      </c>
      <c r="AF149" s="294">
        <v>8</v>
      </c>
      <c r="AG149" s="294">
        <f t="shared" ref="AG149" si="370">ROUNDUP((SUM(AC149:AF149)*0.1),0)</f>
        <v>4</v>
      </c>
      <c r="AH149" s="253">
        <f t="shared" ref="AH149" si="371">SUM(AC149:AG149)</f>
        <v>37</v>
      </c>
      <c r="AI149" s="250">
        <f>IF(T149="AIR",'Catalogue Aluminium'!$K$9,IF(T149="TRENCH",'Catalogue Aluminium'!$K$12,"NA"))</f>
        <v>0.89</v>
      </c>
      <c r="AJ149" s="248">
        <f>IF(T149="Air",(IF(U149="1C",'Catalogue Aluminium'!$L$9,'Catalogue Aluminium'!$M$9)),IF(T149="DUCT",(IF($U149="1C",'Catalogue Aluminium'!$L$10,'Catalogue Aluminium'!$M$10)),IF(T149="GROUND",(IF($U149="1C",'Catalogue Aluminium'!$L$11,'Catalogue Aluminium'!$M$11)),IF(T149="TRENCH",(IF($U149="1C",'Catalogue Aluminium'!$L$12,'Catalogue Aluminium'!$M$12))))))</f>
        <v>0.81</v>
      </c>
      <c r="AK149" s="250" t="str">
        <f>IF(T149="Air",'Catalogue Aluminium'!$N$9,IF(T149="GROUND",'Catalogue Aluminium'!$N$10,IF(T149="DUCT",'Catalogue Aluminium'!$N$11,IF(T149="TRENCH",'Catalogue Aluminium'!$N$12,"NA"))))</f>
        <v>NA</v>
      </c>
      <c r="AL149" s="250" t="str">
        <f>IF(T149="Air",(IF(U149="1C",'Catalogue Aluminium'!$O$9,'Catalogue Aluminium'!$P$9)),IF(T149="DUCT",(IF($U149="1C",'Catalogue Aluminium'!$O$10,'Catalogue Aluminium'!$P$10)),IF(T149="GROUND",(IF($U149="1C",'Catalogue Aluminium'!$O$11,'Catalogue Aluminium'!$P$11)),IF(T149="TRENCH",(IF($U149="1C",'Catalogue Aluminium'!$O$12,'Catalogue Aluminium'!$P$12))))))</f>
        <v>NA</v>
      </c>
      <c r="AM149" s="250" t="str">
        <f>IF(T149="AIR","NA",IF(T149="TRENCH","NA",IF(T149="DUCT",IF(U149="1C",VLOOKUP(V149,'Catalogue Aluminium'!$Q$9:$S$28,2,FALSE),VLOOKUP(V149,'Catalogue Aluminium'!$Q$9:$S$28,3)),IF(T149="GROUND",IF(U149="1C",VLOOKUP(V149,'Catalogue Aluminium'!$Q$9:$S$28,2,FALSE),VLOOKUP(V149,'Catalogue Aluminium'!$Q$9:$S$28,3))))))</f>
        <v>NA</v>
      </c>
      <c r="AN149" s="257">
        <f t="shared" ref="AN149" si="372">IF(T149="AIR",AI149*AJ149,IF(T149="TRENCH",AI149*AJ149,IF(T149="DUCT",AJ149*AK149*AL149*AM149,IF(T149="GROUND",AJ149*AK149*AL149*AM149))))</f>
        <v>0.7209000000000001</v>
      </c>
      <c r="AO149" s="256">
        <f t="shared" ref="AO149" si="373">Z149*AN149</f>
        <v>592.57980000000009</v>
      </c>
      <c r="AP149" s="255">
        <f t="shared" si="220"/>
        <v>3</v>
      </c>
      <c r="AQ149" s="256" t="str">
        <f t="shared" ref="AQ149" si="374">IF(AO149*AP149&gt;=N149,"YES","NO")</f>
        <v>YES</v>
      </c>
      <c r="AR149" s="257">
        <f t="shared" ref="AR149" si="375">SQRT(3)*AH149*N149*((AA149*L149)+(AB149*SIN(ACOS(L149))))*100/(AP149*K149*1000)</f>
        <v>0.73379243160007224</v>
      </c>
      <c r="AS149" s="249" t="str">
        <f t="shared" ref="AS149" si="376">IF(G149="INCOMER",(IF(AR149&lt;=2,"YES","NO")),IF(G149="POWER",(IF(AR149&lt;=2.5,"YES","NO")),IF(G149="MOTOR",(IF(AR149&lt;=3,"YES","NO")))))</f>
        <v>YES</v>
      </c>
      <c r="AT149" s="257" t="str">
        <f t="shared" si="345"/>
        <v>NA</v>
      </c>
      <c r="AU149" s="249" t="str">
        <f t="shared" si="346"/>
        <v>NA</v>
      </c>
      <c r="AV149" s="260" t="s">
        <v>473</v>
      </c>
      <c r="AW149" s="260" t="str">
        <f t="shared" si="348"/>
        <v>3R x 0.6/1.0kV x 1C x 630 Sqmm/Phase</v>
      </c>
      <c r="AX149" s="372">
        <f>(IF(K149=400,(IF(U149="1C",(AH149*AP149),(AH149*AP149))),IF(K149=230,(AH149*AP149))))</f>
        <v>111</v>
      </c>
      <c r="AY149" s="547"/>
    </row>
    <row r="150" spans="1:51" ht="32.25" customHeight="1">
      <c r="A150" s="243">
        <f t="shared" si="349"/>
        <v>108</v>
      </c>
      <c r="B150" s="373" t="s">
        <v>470</v>
      </c>
      <c r="C150" s="243" t="s">
        <v>476</v>
      </c>
      <c r="D150" s="272" t="s">
        <v>477</v>
      </c>
      <c r="E150" s="351" t="s">
        <v>304</v>
      </c>
      <c r="F150" s="364"/>
      <c r="G150" s="246" t="s">
        <v>306</v>
      </c>
      <c r="H150" s="256">
        <v>1600</v>
      </c>
      <c r="I150" s="243" t="s">
        <v>319</v>
      </c>
      <c r="J150" s="243" t="s">
        <v>300</v>
      </c>
      <c r="K150" s="255">
        <v>400</v>
      </c>
      <c r="L150" s="249">
        <v>0.84664865012052015</v>
      </c>
      <c r="M150" s="256">
        <v>0.92832394366197268</v>
      </c>
      <c r="N150" s="248">
        <f t="shared" si="333"/>
        <v>2487.7833195389812</v>
      </c>
      <c r="O150" s="248">
        <f t="shared" si="303"/>
        <v>0</v>
      </c>
      <c r="P150" s="249" t="str">
        <f>IF(G150="MOTOR",0.2,"0.00")</f>
        <v>0.00</v>
      </c>
      <c r="Q150" s="256">
        <v>65</v>
      </c>
      <c r="R150" s="256">
        <v>1</v>
      </c>
      <c r="S150" s="256">
        <f>(Q150*1000*SQRT(R150)/143)</f>
        <v>454.54545454545456</v>
      </c>
      <c r="T150" s="249" t="s">
        <v>131</v>
      </c>
      <c r="U150" s="256" t="s">
        <v>305</v>
      </c>
      <c r="V150" s="249">
        <v>630</v>
      </c>
      <c r="W150" s="249" t="str">
        <f>CONCATENATE(U150," X ",V150)</f>
        <v>1C X 630</v>
      </c>
      <c r="X150" s="249" t="str">
        <f>(IF(J150="1Ph",W150,IF(J150="3Ph",(IF(G150="MOTOR",(CONCATENATE(W150,"+PE")),W150)))))</f>
        <v>1C X 630</v>
      </c>
      <c r="Y150" s="249" t="s">
        <v>314</v>
      </c>
      <c r="Z150" s="250">
        <f>IF(T150="AIR",VLOOKUP(W150,'Catalogue Aluminium'!$B$9:$G$91,2,FALSE),IF(T150="GROUND",VLOOKUP(W150,'Catalogue Aluminium'!$B$9:$G$91,3,FALSE),IF(T150="DUCT",VLOOKUP(W150,'Catalogue Aluminium'!$B$9:$G$91,4,FALSE),IF(T150="TRENCH",VLOOKUP(W150,'Catalogue Aluminium'!$B$9:$G$91,2,FALSE)))))</f>
        <v>822</v>
      </c>
      <c r="AA150" s="251">
        <f>VLOOKUP(W150,'Catalogue Aluminium'!$B$9:$G$91,5,FALSE)</f>
        <v>0.06</v>
      </c>
      <c r="AB150" s="251">
        <f>VLOOKUP(W150,'Catalogue Aluminium'!$B$9:$G$91,6,FALSE)</f>
        <v>8.43E-2</v>
      </c>
      <c r="AC150" s="294">
        <f t="shared" ref="AC150:AC151" si="377">27+6</f>
        <v>33</v>
      </c>
      <c r="AD150" s="323">
        <v>7</v>
      </c>
      <c r="AE150" s="294">
        <v>10</v>
      </c>
      <c r="AF150" s="294">
        <v>8</v>
      </c>
      <c r="AG150" s="294">
        <f t="shared" si="338"/>
        <v>6</v>
      </c>
      <c r="AH150" s="253">
        <f t="shared" si="339"/>
        <v>64</v>
      </c>
      <c r="AI150" s="250">
        <f>IF(T150="AIR",'Catalogue Aluminium'!$K$9,IF(T150="TRENCH",'Catalogue Aluminium'!$K$12,"NA"))</f>
        <v>0.89</v>
      </c>
      <c r="AJ150" s="248">
        <f>IF(T150="Air",(IF(U150="1C",'Catalogue Aluminium'!$L$9,'Catalogue Aluminium'!$M$9)),IF(T150="DUCT",(IF($U150="1C",'Catalogue Aluminium'!$L$10,'Catalogue Aluminium'!$M$10)),IF(T150="GROUND",(IF($U150="1C",'Catalogue Aluminium'!$L$11,'Catalogue Aluminium'!$M$11)),IF(T150="TRENCH",(IF($U150="1C",'Catalogue Aluminium'!$L$12,'Catalogue Aluminium'!$M$12))))))</f>
        <v>0.81</v>
      </c>
      <c r="AK150" s="250" t="str">
        <f>IF(T150="Air",'Catalogue Aluminium'!$N$9,IF(T150="GROUND",'Catalogue Aluminium'!$N$10,IF(T150="DUCT",'Catalogue Aluminium'!$N$11,IF(T150="TRENCH",'Catalogue Aluminium'!$N$12,"NA"))))</f>
        <v>NA</v>
      </c>
      <c r="AL150" s="250" t="str">
        <f>IF(T150="Air",(IF(U150="1C",'Catalogue Aluminium'!$O$9,'Catalogue Aluminium'!$P$9)),IF(T150="DUCT",(IF($U150="1C",'Catalogue Aluminium'!$O$10,'Catalogue Aluminium'!$P$10)),IF(T150="GROUND",(IF($U150="1C",'Catalogue Aluminium'!$O$11,'Catalogue Aluminium'!$P$11)),IF(T150="TRENCH",(IF($U150="1C",'Catalogue Aluminium'!$O$12,'Catalogue Aluminium'!$P$12))))))</f>
        <v>NA</v>
      </c>
      <c r="AM150" s="250" t="str">
        <f>IF(T150="AIR","NA",IF(T150="TRENCH","NA",IF(T150="DUCT",IF(U150="1C",VLOOKUP(V150,'Catalogue Aluminium'!$Q$9:$S$28,2,FALSE),VLOOKUP(V150,'Catalogue Aluminium'!$Q$9:$S$28,3)),IF(T150="GROUND",IF(U150="1C",VLOOKUP(V150,'Catalogue Aluminium'!$Q$9:$S$28,2,FALSE),VLOOKUP(V150,'Catalogue Aluminium'!$Q$9:$S$28,3))))))</f>
        <v>NA</v>
      </c>
      <c r="AN150" s="257">
        <f>IF(T150="AIR",AI150*AJ150,IF(T150="TRENCH",AI150*AJ150,IF(T150="DUCT",AJ150*AK150*AL150*AM150,IF(T150="GROUND",AJ150*AK150*AL150*AM150))))</f>
        <v>0.7209000000000001</v>
      </c>
      <c r="AO150" s="256">
        <f>Z150*AN150</f>
        <v>592.57980000000009</v>
      </c>
      <c r="AP150" s="255">
        <f t="shared" si="220"/>
        <v>5</v>
      </c>
      <c r="AQ150" s="256" t="str">
        <f>IF(AO150*AP150&gt;=N150,"YES","NO")</f>
        <v>YES</v>
      </c>
      <c r="AR150" s="257">
        <f>SQRT(3)*AH150*N150*((AA150*L150)+(AB150*SIN(ACOS(L150))))*100/(AP150*K150*1000)</f>
        <v>1.3190176776973752</v>
      </c>
      <c r="AS150" s="249" t="str">
        <f>IF(G150="INCOMER",(IF(AR150&lt;=2,"YES","NO")),IF(G150="POWER",(IF(AR150&lt;=2.5,"YES","NO")),IF(G150="MOTOR",(IF(AR150&lt;=3,"YES","NO")))))</f>
        <v>YES</v>
      </c>
      <c r="AT150" s="257" t="str">
        <f>IF(G150="MOTOR",(SQRT(3)*AH150*O150*((AA150*L150)+(AB150*SIN(ACOS(L150))))*100/(AP150*K150*1000)),"NA")</f>
        <v>NA</v>
      </c>
      <c r="AU150" s="249" t="str">
        <f t="shared" si="346"/>
        <v>NA</v>
      </c>
      <c r="AV150" s="260" t="str">
        <f t="shared" ref="AV150:AV157" si="378">IF(U150="1C",CONCATENATE(AP150,"R x ",Y150,"kV x ",U150," x ",V150," Sqmm/Phase"),CONCATENATE(AP150,"R x ",0.6,"/1kV x ",U150," x ",V150," Sqmm"))</f>
        <v>5R x 0.6/1.0kV x 1C x 630 Sqmm/Phase</v>
      </c>
      <c r="AW150" s="260" t="str">
        <f t="shared" si="348"/>
        <v>5R x 0.6/1.0kV x 1C x 630 Sqmm/Phase</v>
      </c>
      <c r="AX150" s="372">
        <f>(IF(K150=400,(IF(U150="1C",(3*AH150*AP150),(AH150*AP150))),IF(K150=230,(AH150*AP150))))</f>
        <v>960</v>
      </c>
      <c r="AY150" s="547"/>
    </row>
    <row r="151" spans="1:51" ht="32.25" customHeight="1">
      <c r="A151" s="243">
        <f t="shared" si="349"/>
        <v>109</v>
      </c>
      <c r="B151" s="373" t="s">
        <v>470</v>
      </c>
      <c r="C151" s="243" t="s">
        <v>476</v>
      </c>
      <c r="D151" s="272" t="s">
        <v>478</v>
      </c>
      <c r="E151" s="351" t="s">
        <v>304</v>
      </c>
      <c r="F151" s="364"/>
      <c r="G151" s="246" t="s">
        <v>306</v>
      </c>
      <c r="H151" s="256">
        <f>1600/1.732</f>
        <v>923.78752886836025</v>
      </c>
      <c r="I151" s="243" t="s">
        <v>319</v>
      </c>
      <c r="J151" s="243" t="s">
        <v>300</v>
      </c>
      <c r="K151" s="255">
        <v>400</v>
      </c>
      <c r="L151" s="249">
        <v>0.84664865012052015</v>
      </c>
      <c r="M151" s="256">
        <v>0.92832394366197268</v>
      </c>
      <c r="N151" s="248">
        <f t="shared" ref="N151" si="379">IF(I151="kVA",IF(J151="3Ph",(H151*1000/(1.732*M151*K151)),(H151*1000/(M151*K151))),IF(I151="kW",IF(J151="3Ph",(H151*1000/(1.732*M151*K151*L151)),(H151*1000/(M151*K151*L151)))))</f>
        <v>1436.3645031980261</v>
      </c>
      <c r="O151" s="248">
        <f t="shared" ref="O151" si="380">IF(G151="MOTOR",(6*N151),IF(G151="VFD",(1*N151),0))</f>
        <v>0</v>
      </c>
      <c r="P151" s="249" t="str">
        <f>IF(G151="MOTOR",0.2,"0.00")</f>
        <v>0.00</v>
      </c>
      <c r="Q151" s="256">
        <v>65</v>
      </c>
      <c r="R151" s="256">
        <v>1</v>
      </c>
      <c r="S151" s="256">
        <f>(Q151*1000*SQRT(R151)/143)</f>
        <v>454.54545454545456</v>
      </c>
      <c r="T151" s="249" t="s">
        <v>131</v>
      </c>
      <c r="U151" s="256" t="s">
        <v>305</v>
      </c>
      <c r="V151" s="249">
        <v>630</v>
      </c>
      <c r="W151" s="249" t="str">
        <f>CONCATENATE(U151," X ",V151)</f>
        <v>1C X 630</v>
      </c>
      <c r="X151" s="249" t="str">
        <f>(IF(J151="1Ph",W151,IF(J151="3Ph",(IF(G151="MOTOR",(CONCATENATE(W151,"+PE")),W151)))))</f>
        <v>1C X 630</v>
      </c>
      <c r="Y151" s="249" t="s">
        <v>314</v>
      </c>
      <c r="Z151" s="250">
        <f>IF(T151="AIR",VLOOKUP(W151,'Catalogue Aluminium'!$B$9:$G$91,2,FALSE),IF(T151="GROUND",VLOOKUP(W151,'Catalogue Aluminium'!$B$9:$G$91,3,FALSE),IF(T151="DUCT",VLOOKUP(W151,'Catalogue Aluminium'!$B$9:$G$91,4,FALSE),IF(T151="TRENCH",VLOOKUP(W151,'Catalogue Aluminium'!$B$9:$G$91,2,FALSE)))))</f>
        <v>822</v>
      </c>
      <c r="AA151" s="251">
        <f>VLOOKUP(W151,'Catalogue Aluminium'!$B$9:$G$91,5,FALSE)</f>
        <v>0.06</v>
      </c>
      <c r="AB151" s="251">
        <f>VLOOKUP(W151,'Catalogue Aluminium'!$B$9:$G$91,6,FALSE)</f>
        <v>8.43E-2</v>
      </c>
      <c r="AC151" s="294">
        <f t="shared" si="377"/>
        <v>33</v>
      </c>
      <c r="AD151" s="323">
        <v>7</v>
      </c>
      <c r="AE151" s="294">
        <v>10</v>
      </c>
      <c r="AF151" s="294">
        <v>8</v>
      </c>
      <c r="AG151" s="294">
        <f t="shared" ref="AG151" si="381">ROUNDUP((SUM(AC151:AF151)*0.1),0)</f>
        <v>6</v>
      </c>
      <c r="AH151" s="253">
        <f t="shared" ref="AH151" si="382">SUM(AC151:AG151)</f>
        <v>64</v>
      </c>
      <c r="AI151" s="250">
        <f>IF(T151="AIR",'Catalogue Aluminium'!$K$9,IF(T151="TRENCH",'Catalogue Aluminium'!$K$12,"NA"))</f>
        <v>0.89</v>
      </c>
      <c r="AJ151" s="248">
        <f>IF(T151="Air",(IF(U151="1C",'Catalogue Aluminium'!$L$9,'Catalogue Aluminium'!$M$9)),IF(T151="DUCT",(IF($U151="1C",'Catalogue Aluminium'!$L$10,'Catalogue Aluminium'!$M$10)),IF(T151="GROUND",(IF($U151="1C",'Catalogue Aluminium'!$L$11,'Catalogue Aluminium'!$M$11)),IF(T151="TRENCH",(IF($U151="1C",'Catalogue Aluminium'!$L$12,'Catalogue Aluminium'!$M$12))))))</f>
        <v>0.81</v>
      </c>
      <c r="AK151" s="250" t="str">
        <f>IF(T151="Air",'Catalogue Aluminium'!$N$9,IF(T151="GROUND",'Catalogue Aluminium'!$N$10,IF(T151="DUCT",'Catalogue Aluminium'!$N$11,IF(T151="TRENCH",'Catalogue Aluminium'!$N$12,"NA"))))</f>
        <v>NA</v>
      </c>
      <c r="AL151" s="250" t="str">
        <f>IF(T151="Air",(IF(U151="1C",'Catalogue Aluminium'!$O$9,'Catalogue Aluminium'!$P$9)),IF(T151="DUCT",(IF($U151="1C",'Catalogue Aluminium'!$O$10,'Catalogue Aluminium'!$P$10)),IF(T151="GROUND",(IF($U151="1C",'Catalogue Aluminium'!$O$11,'Catalogue Aluminium'!$P$11)),IF(T151="TRENCH",(IF($U151="1C",'Catalogue Aluminium'!$O$12,'Catalogue Aluminium'!$P$12))))))</f>
        <v>NA</v>
      </c>
      <c r="AM151" s="250" t="str">
        <f>IF(T151="AIR","NA",IF(T151="TRENCH","NA",IF(T151="DUCT",IF(U151="1C",VLOOKUP(V151,'Catalogue Aluminium'!$Q$9:$S$28,2,FALSE),VLOOKUP(V151,'Catalogue Aluminium'!$Q$9:$S$28,3)),IF(T151="GROUND",IF(U151="1C",VLOOKUP(V151,'Catalogue Aluminium'!$Q$9:$S$28,2,FALSE),VLOOKUP(V151,'Catalogue Aluminium'!$Q$9:$S$28,3))))))</f>
        <v>NA</v>
      </c>
      <c r="AN151" s="257">
        <f>IF(T151="AIR",AI151*AJ151,IF(T151="TRENCH",AI151*AJ151,IF(T151="DUCT",AJ151*AK151*AL151*AM151,IF(T151="GROUND",AJ151*AK151*AL151*AM151))))</f>
        <v>0.7209000000000001</v>
      </c>
      <c r="AO151" s="256">
        <f>Z151*AN151</f>
        <v>592.57980000000009</v>
      </c>
      <c r="AP151" s="255">
        <f t="shared" si="220"/>
        <v>3</v>
      </c>
      <c r="AQ151" s="256" t="str">
        <f>IF(AO151*AP151&gt;=N151,"YES","NO")</f>
        <v>YES</v>
      </c>
      <c r="AR151" s="257">
        <f>SQRT(3)*AH151*N151*((AA151*L151)+(AB151*SIN(ACOS(L151))))*100/(AP151*K151*1000)</f>
        <v>1.2692625843893142</v>
      </c>
      <c r="AS151" s="249" t="str">
        <f>IF(G151="INCOMER",(IF(AR151&lt;=2,"YES","NO")),IF(G151="POWER",(IF(AR151&lt;=2.5,"YES","NO")),IF(G151="MOTOR",(IF(AR151&lt;=3,"YES","NO")))))</f>
        <v>YES</v>
      </c>
      <c r="AT151" s="257" t="str">
        <f>IF(G151="MOTOR",(SQRT(3)*AH151*O151*((AA151*L151)+(AB151*SIN(ACOS(L151))))*100/(AP151*K151*1000)),"NA")</f>
        <v>NA</v>
      </c>
      <c r="AU151" s="249" t="str">
        <f t="shared" si="346"/>
        <v>NA</v>
      </c>
      <c r="AV151" s="260" t="str">
        <f t="shared" si="378"/>
        <v>3R x 0.6/1.0kV x 1C x 630 Sqmm/Phase</v>
      </c>
      <c r="AW151" s="260" t="str">
        <f t="shared" si="348"/>
        <v>3R x 0.6/1.0kV x 1C x 630 Sqmm/Phase</v>
      </c>
      <c r="AX151" s="372">
        <f>(IF(K151=400,(IF(U151="1C",(AH151*AP151),(AH151*AP151))),IF(K151=230,(AH151*AP151))))</f>
        <v>192</v>
      </c>
      <c r="AY151" s="547"/>
    </row>
    <row r="152" spans="1:51" ht="38.25" customHeight="1">
      <c r="A152" s="285">
        <f t="shared" si="349"/>
        <v>110</v>
      </c>
      <c r="B152" s="285" t="s">
        <v>382</v>
      </c>
      <c r="C152" s="285" t="s">
        <v>344</v>
      </c>
      <c r="D152" s="546" t="s">
        <v>1021</v>
      </c>
      <c r="E152" s="352" t="s">
        <v>479</v>
      </c>
      <c r="F152" s="411" t="s">
        <v>28</v>
      </c>
      <c r="G152" s="286" t="s">
        <v>311</v>
      </c>
      <c r="H152" s="304">
        <v>25</v>
      </c>
      <c r="I152" s="285" t="s">
        <v>299</v>
      </c>
      <c r="J152" s="285" t="s">
        <v>300</v>
      </c>
      <c r="K152" s="309">
        <v>400</v>
      </c>
      <c r="L152" s="294">
        <v>0.85</v>
      </c>
      <c r="M152" s="304">
        <v>0.95</v>
      </c>
      <c r="N152" s="287">
        <f t="shared" si="333"/>
        <v>44.687864206093288</v>
      </c>
      <c r="O152" s="287">
        <f t="shared" ref="O152:O157" si="383">IF(G152="MOTOR",(6*N152),IF(G152="VFD",(1*N152),0))</f>
        <v>268.12718523655974</v>
      </c>
      <c r="P152" s="294">
        <f t="shared" si="334"/>
        <v>0.2</v>
      </c>
      <c r="Q152" s="304">
        <v>65</v>
      </c>
      <c r="R152" s="304">
        <v>0</v>
      </c>
      <c r="S152" s="304">
        <f t="shared" si="335"/>
        <v>0</v>
      </c>
      <c r="T152" s="294" t="s">
        <v>131</v>
      </c>
      <c r="U152" s="304" t="s">
        <v>302</v>
      </c>
      <c r="V152" s="294">
        <v>95</v>
      </c>
      <c r="W152" s="294" t="str">
        <f t="shared" si="336"/>
        <v>3C X 95</v>
      </c>
      <c r="X152" s="294" t="str">
        <f t="shared" si="337"/>
        <v>3C X 95+PE</v>
      </c>
      <c r="Y152" s="294" t="s">
        <v>314</v>
      </c>
      <c r="Z152" s="288">
        <f>IF(T152="AIR",VLOOKUP(W152,'Catalogue Aluminium'!$B$9:$G$91,2,FALSE),IF(T152="GROUND",VLOOKUP(W152,'Catalogue Aluminium'!$B$9:$G$91,3,FALSE),IF(T152="DUCT",VLOOKUP(W152,'Catalogue Aluminium'!$B$9:$G$91,4,FALSE),IF(T152="TRENCH",VLOOKUP(W152,'Catalogue Aluminium'!$B$9:$G$91,2,FALSE)))))</f>
        <v>221</v>
      </c>
      <c r="AA152" s="295">
        <f>VLOOKUP(W152,'Catalogue Aluminium'!$B$9:$G$91,5,FALSE)</f>
        <v>0.41</v>
      </c>
      <c r="AB152" s="295">
        <f>VLOOKUP(W152,'Catalogue Aluminium'!$B$9:$G$91,6,FALSE)</f>
        <v>7.3400000000000007E-2</v>
      </c>
      <c r="AC152" s="294">
        <f t="shared" ref="AC152:AC153" si="384">26+3</f>
        <v>29</v>
      </c>
      <c r="AD152" s="294">
        <f>40+50+38+50+17+(80)</f>
        <v>275</v>
      </c>
      <c r="AE152" s="294">
        <f t="shared" ref="AE152:AE158" si="385">11+8+8+11</f>
        <v>38</v>
      </c>
      <c r="AF152" s="294">
        <v>8</v>
      </c>
      <c r="AG152" s="294">
        <f t="shared" si="338"/>
        <v>35</v>
      </c>
      <c r="AH152" s="311">
        <f t="shared" si="339"/>
        <v>385</v>
      </c>
      <c r="AI152" s="288">
        <f>IF(T152="AIR",'Catalogue Aluminium'!$K$9,IF(T152="TRENCH",'Catalogue Aluminium'!$K$12,"NA"))</f>
        <v>0.89</v>
      </c>
      <c r="AJ152" s="287">
        <f>IF(T152="Air",(IF(U152="1C",'Catalogue Aluminium'!$L$9,'Catalogue Aluminium'!$M$9)),IF(T152="DUCT",(IF($U152="1C",'Catalogue Aluminium'!$L$10,'Catalogue Aluminium'!$M$10)),IF(T152="GROUND",(IF($U152="1C",'Catalogue Aluminium'!$L$11,'Catalogue Aluminium'!$M$11)),IF(T152="TRENCH",(IF($U152="1C",'Catalogue Aluminium'!$L$12,'Catalogue Aluminium'!$M$12))))))</f>
        <v>0.66</v>
      </c>
      <c r="AK152" s="288" t="str">
        <f>IF(T152="Air",'Catalogue Aluminium'!$N$9,IF(T152="GROUND",'Catalogue Aluminium'!$N$10,IF(T152="DUCT",'Catalogue Aluminium'!$N$11,IF(T152="TRENCH",'Catalogue Aluminium'!$N$12,"NA"))))</f>
        <v>NA</v>
      </c>
      <c r="AL152" s="288" t="str">
        <f>IF(T152="Air",(IF(U152="1C",'Catalogue Aluminium'!$O$9,'Catalogue Aluminium'!$P$9)),IF(T152="DUCT",(IF($U152="1C",'Catalogue Aluminium'!$O$10,'Catalogue Aluminium'!$P$10)),IF(T152="GROUND",(IF($U152="1C",'Catalogue Aluminium'!$O$11,'Catalogue Aluminium'!$P$11)),IF(T152="TRENCH",(IF($U152="1C",'Catalogue Aluminium'!$O$12,'Catalogue Aluminium'!$P$12))))))</f>
        <v>NA</v>
      </c>
      <c r="AM152" s="288" t="str">
        <f>IF(T152="AIR","NA",IF(T152="TRENCH","NA",IF(T152="DUCT",IF(U152="1C",VLOOKUP(V152,'Catalogue Aluminium'!$Q$9:$S$28,2,FALSE),VLOOKUP(V152,'Catalogue Aluminium'!$Q$9:$S$28,3)),IF(T152="GROUND",IF(U152="1C",VLOOKUP(V152,'Catalogue Aluminium'!$Q$9:$S$28,2,FALSE),VLOOKUP(V152,'Catalogue Aluminium'!$Q$9:$S$28,3))))))</f>
        <v>NA</v>
      </c>
      <c r="AN152" s="312">
        <f t="shared" si="340"/>
        <v>0.58740000000000003</v>
      </c>
      <c r="AO152" s="304">
        <f t="shared" si="341"/>
        <v>129.81540000000001</v>
      </c>
      <c r="AP152" s="309">
        <f t="shared" ref="AP152:AP157" si="386">CEILING(((N152)/AO152),1)</f>
        <v>1</v>
      </c>
      <c r="AQ152" s="304" t="str">
        <f t="shared" si="342"/>
        <v>YES</v>
      </c>
      <c r="AR152" s="312">
        <f t="shared" si="343"/>
        <v>2.8843503203459577</v>
      </c>
      <c r="AS152" s="294" t="str">
        <f t="shared" si="344"/>
        <v>YES</v>
      </c>
      <c r="AT152" s="312">
        <f t="shared" ref="AT152:AT157" si="387">IF(G152="MOTOR",(SQRT(3)*AH152*O152*((AA152*P152)+(AB152*SIN(ACOS(P152))))*100/(AP152*K152*1000)),"NA")</f>
        <v>6.8800066450320747</v>
      </c>
      <c r="AU152" s="294" t="str">
        <f t="shared" si="346"/>
        <v>YES</v>
      </c>
      <c r="AV152" s="353" t="str">
        <f t="shared" si="378"/>
        <v>1R x 0.6/1kV x 3C x 95 Sqmm</v>
      </c>
      <c r="AW152" s="353" t="str">
        <f t="shared" si="348"/>
        <v>1R x 0.6/1kV x 3C x 95+PE Sqmm</v>
      </c>
      <c r="AX152" s="294">
        <f t="shared" ref="AX152:AX157" si="388">(IF(K152=400,(IF(U152="1C",(4*AH152*AP152),(AH152*AP152))),IF(K152=230,(AH152*AP152))))</f>
        <v>385</v>
      </c>
      <c r="AY152" s="354"/>
    </row>
    <row r="153" spans="1:51" ht="38.25" customHeight="1">
      <c r="A153" s="243">
        <f t="shared" si="349"/>
        <v>111</v>
      </c>
      <c r="B153" s="285" t="s">
        <v>382</v>
      </c>
      <c r="C153" s="285" t="s">
        <v>344</v>
      </c>
      <c r="D153" s="546" t="s">
        <v>1022</v>
      </c>
      <c r="E153" s="352" t="s">
        <v>479</v>
      </c>
      <c r="F153" s="411" t="s">
        <v>28</v>
      </c>
      <c r="G153" s="286" t="s">
        <v>298</v>
      </c>
      <c r="H153" s="291">
        <v>0.2</v>
      </c>
      <c r="I153" s="285" t="s">
        <v>299</v>
      </c>
      <c r="J153" s="285" t="s">
        <v>313</v>
      </c>
      <c r="K153" s="309">
        <v>230</v>
      </c>
      <c r="L153" s="294">
        <v>0.85</v>
      </c>
      <c r="M153" s="304">
        <v>0.95</v>
      </c>
      <c r="N153" s="287">
        <f t="shared" si="333"/>
        <v>1.0768609503297888</v>
      </c>
      <c r="O153" s="287">
        <f t="shared" si="383"/>
        <v>0</v>
      </c>
      <c r="P153" s="294" t="str">
        <f t="shared" si="334"/>
        <v>0.00</v>
      </c>
      <c r="Q153" s="304">
        <v>65</v>
      </c>
      <c r="R153" s="304">
        <v>0</v>
      </c>
      <c r="S153" s="304">
        <f t="shared" si="335"/>
        <v>0</v>
      </c>
      <c r="T153" s="294" t="s">
        <v>131</v>
      </c>
      <c r="U153" s="304" t="s">
        <v>302</v>
      </c>
      <c r="V153" s="294">
        <v>4</v>
      </c>
      <c r="W153" s="294" t="str">
        <f t="shared" si="336"/>
        <v>3C X 4</v>
      </c>
      <c r="X153" s="294" t="str">
        <f t="shared" ref="X153" si="389">(IF(J153="1Ph",W153,IF(J153="3Ph",(IF(G153="MOTOR",(CONCATENATE(W153,"+PE")),W153)))))</f>
        <v>3C X 4</v>
      </c>
      <c r="Y153" s="294" t="s">
        <v>314</v>
      </c>
      <c r="Z153" s="288">
        <f>IF(T153="AIR",VLOOKUP(W153,'Catalogue Aluminium'!$B$9:$G$91,2,FALSE),IF(T153="GROUND",VLOOKUP(W153,'Catalogue Aluminium'!$B$9:$G$91,3,FALSE),IF(T153="DUCT",VLOOKUP(W153,'Catalogue Aluminium'!$B$9:$G$91,4,FALSE),IF(T153="TRENCH",VLOOKUP(W153,'Catalogue Aluminium'!$B$9:$G$91,2,FALSE)))))</f>
        <v>38</v>
      </c>
      <c r="AA153" s="295">
        <f>VLOOKUP(W153,'Catalogue Aluminium'!$B$9:$G$91,5,FALSE)</f>
        <v>5.9</v>
      </c>
      <c r="AB153" s="295">
        <f>VLOOKUP(W153,'Catalogue Aluminium'!$B$9:$G$91,6,FALSE)</f>
        <v>9.4700000000000006E-2</v>
      </c>
      <c r="AC153" s="294">
        <f t="shared" si="384"/>
        <v>29</v>
      </c>
      <c r="AD153" s="294">
        <f>40+50+38+50+17+(80)</f>
        <v>275</v>
      </c>
      <c r="AE153" s="294">
        <f t="shared" si="385"/>
        <v>38</v>
      </c>
      <c r="AF153" s="294">
        <v>8</v>
      </c>
      <c r="AG153" s="294">
        <f t="shared" ref="AG153" si="390">ROUNDUP((SUM(AC153:AF153)*0.1),0)</f>
        <v>35</v>
      </c>
      <c r="AH153" s="311">
        <f t="shared" ref="AH153" si="391">SUM(AC153:AG153)</f>
        <v>385</v>
      </c>
      <c r="AI153" s="288">
        <f>IF(T153="AIR",'Catalogue Aluminium'!$K$9,IF(T153="TRENCH",'Catalogue Aluminium'!$K$12,"NA"))</f>
        <v>0.89</v>
      </c>
      <c r="AJ153" s="287">
        <f>IF(T153="Air",(IF(U153="1C",'Catalogue Aluminium'!$L$9,'Catalogue Aluminium'!$M$9)),IF(T153="DUCT",(IF($U153="1C",'Catalogue Aluminium'!$L$10,'Catalogue Aluminium'!$M$10)),IF(T153="GROUND",(IF($U153="1C",'Catalogue Aluminium'!$L$11,'Catalogue Aluminium'!$M$11)),IF(T153="TRENCH",(IF($U153="1C",'Catalogue Aluminium'!$L$12,'Catalogue Aluminium'!$M$12))))))</f>
        <v>0.66</v>
      </c>
      <c r="AK153" s="288" t="str">
        <f>IF(T153="Air",'Catalogue Aluminium'!$N$9,IF(T153="GROUND",'Catalogue Aluminium'!$N$10,IF(T153="DUCT",'Catalogue Aluminium'!$N$11,IF(T153="TRENCH",'Catalogue Aluminium'!$N$12,"NA"))))</f>
        <v>NA</v>
      </c>
      <c r="AL153" s="288" t="str">
        <f>IF(T153="Air",(IF(U153="1C",'Catalogue Aluminium'!$O$9,'Catalogue Aluminium'!$P$9)),IF(T153="DUCT",(IF($U153="1C",'Catalogue Aluminium'!$O$10,'Catalogue Aluminium'!$P$10)),IF(T153="GROUND",(IF($U153="1C",'Catalogue Aluminium'!$O$11,'Catalogue Aluminium'!$P$11)),IF(T153="TRENCH",(IF($U153="1C",'Catalogue Aluminium'!$O$12,'Catalogue Aluminium'!$P$12))))))</f>
        <v>NA</v>
      </c>
      <c r="AM153" s="288" t="str">
        <f>IF(T153="AIR","NA",IF(T153="TRENCH","NA",IF(T153="DUCT",IF(U153="1C",VLOOKUP(V153,'Catalogue Aluminium'!$Q$9:$S$28,2,FALSE),VLOOKUP(V153,'Catalogue Aluminium'!$Q$9:$S$28,3)),IF(T153="GROUND",IF(U153="1C",VLOOKUP(V153,'Catalogue Aluminium'!$Q$9:$S$28,2,FALSE),VLOOKUP(V153,'Catalogue Aluminium'!$Q$9:$S$28,3))))))</f>
        <v>NA</v>
      </c>
      <c r="AN153" s="312">
        <f t="shared" ref="AN153" si="392">IF(T153="AIR",AI153*AJ153,IF(T153="TRENCH",AI153*AJ153,IF(T153="DUCT",AJ153*AK153*AL153*AM153,IF(T153="GROUND",AJ153*AK153*AL153*AM153))))</f>
        <v>0.58740000000000003</v>
      </c>
      <c r="AO153" s="304">
        <f t="shared" ref="AO153" si="393">Z153*AN153</f>
        <v>22.321200000000001</v>
      </c>
      <c r="AP153" s="309">
        <f t="shared" ref="AP153" si="394">CEILING(((N153)/AO153),1)</f>
        <v>1</v>
      </c>
      <c r="AQ153" s="304" t="str">
        <f t="shared" ref="AQ153" si="395">IF(AO153*AP153&gt;=N153,"YES","NO")</f>
        <v>YES</v>
      </c>
      <c r="AR153" s="312">
        <f t="shared" ref="AR153" si="396">SQRT(3)*AH153*N153*((AA153*L153)+(AB153*SIN(ACOS(L153))))*100/(AP153*K153*1000)</f>
        <v>1.5813312436244849</v>
      </c>
      <c r="AS153" s="294" t="str">
        <f t="shared" ref="AS153" si="397">IF(G153="INCOMER",(IF(AR153&lt;=2,"YES","NO")),IF(G153="POWER",(IF(AR153&lt;=2.5,"YES","NO")),IF(G153="MOTOR",(IF(AR153&lt;=3,"YES","NO")))))</f>
        <v>YES</v>
      </c>
      <c r="AT153" s="312" t="str">
        <f t="shared" si="387"/>
        <v>NA</v>
      </c>
      <c r="AU153" s="294" t="str">
        <f t="shared" si="346"/>
        <v>NA</v>
      </c>
      <c r="AV153" s="353" t="str">
        <f t="shared" si="378"/>
        <v>1R x 0.6/1kV x 3C x 4 Sqmm</v>
      </c>
      <c r="AW153" s="353" t="str">
        <f t="shared" si="348"/>
        <v>1R x 0.6/1kV x 3C x 4 Sqmm</v>
      </c>
      <c r="AX153" s="294">
        <f t="shared" si="388"/>
        <v>385</v>
      </c>
      <c r="AY153" s="354"/>
    </row>
    <row r="154" spans="1:51" ht="38.25" customHeight="1">
      <c r="A154" s="285">
        <f>1+A152</f>
        <v>111</v>
      </c>
      <c r="B154" s="285" t="s">
        <v>382</v>
      </c>
      <c r="C154" s="285" t="s">
        <v>344</v>
      </c>
      <c r="D154" s="546" t="s">
        <v>1023</v>
      </c>
      <c r="E154" s="352" t="s">
        <v>480</v>
      </c>
      <c r="F154" s="417" t="s">
        <v>29</v>
      </c>
      <c r="G154" s="286" t="s">
        <v>311</v>
      </c>
      <c r="H154" s="304">
        <v>25</v>
      </c>
      <c r="I154" s="285" t="s">
        <v>299</v>
      </c>
      <c r="J154" s="285" t="s">
        <v>300</v>
      </c>
      <c r="K154" s="309">
        <v>400</v>
      </c>
      <c r="L154" s="294">
        <v>0.85</v>
      </c>
      <c r="M154" s="304">
        <v>0.95</v>
      </c>
      <c r="N154" s="287">
        <f t="shared" si="333"/>
        <v>44.687864206093288</v>
      </c>
      <c r="O154" s="287">
        <f t="shared" si="383"/>
        <v>268.12718523655974</v>
      </c>
      <c r="P154" s="294">
        <f t="shared" si="334"/>
        <v>0.2</v>
      </c>
      <c r="Q154" s="304">
        <v>65</v>
      </c>
      <c r="R154" s="304">
        <v>0</v>
      </c>
      <c r="S154" s="304">
        <f t="shared" si="335"/>
        <v>0</v>
      </c>
      <c r="T154" s="294" t="s">
        <v>131</v>
      </c>
      <c r="U154" s="304" t="s">
        <v>302</v>
      </c>
      <c r="V154" s="294">
        <v>95</v>
      </c>
      <c r="W154" s="294" t="str">
        <f t="shared" si="336"/>
        <v>3C X 95</v>
      </c>
      <c r="X154" s="294" t="str">
        <f t="shared" si="337"/>
        <v>3C X 95+PE</v>
      </c>
      <c r="Y154" s="294" t="s">
        <v>314</v>
      </c>
      <c r="Z154" s="288">
        <f>IF(T154="AIR",VLOOKUP(W154,'Catalogue Aluminium'!$B$9:$G$91,2,FALSE),IF(T154="GROUND",VLOOKUP(W154,'Catalogue Aluminium'!$B$9:$G$91,3,FALSE),IF(T154="DUCT",VLOOKUP(W154,'Catalogue Aluminium'!$B$9:$G$91,4,FALSE),IF(T154="TRENCH",VLOOKUP(W154,'Catalogue Aluminium'!$B$9:$G$91,2,FALSE)))))</f>
        <v>221</v>
      </c>
      <c r="AA154" s="295">
        <f>VLOOKUP(W154,'Catalogue Aluminium'!$B$9:$G$91,5,FALSE)</f>
        <v>0.41</v>
      </c>
      <c r="AB154" s="295">
        <f>VLOOKUP(W154,'Catalogue Aluminium'!$B$9:$G$91,6,FALSE)</f>
        <v>7.3400000000000007E-2</v>
      </c>
      <c r="AC154" s="294">
        <f t="shared" ref="AC154:AC155" si="398">17+3</f>
        <v>20</v>
      </c>
      <c r="AD154" s="294">
        <f>40+50+38+50+17+(80)</f>
        <v>275</v>
      </c>
      <c r="AE154" s="294">
        <f t="shared" si="385"/>
        <v>38</v>
      </c>
      <c r="AF154" s="294">
        <v>8</v>
      </c>
      <c r="AG154" s="294">
        <f t="shared" si="338"/>
        <v>35</v>
      </c>
      <c r="AH154" s="311">
        <f t="shared" si="339"/>
        <v>376</v>
      </c>
      <c r="AI154" s="288">
        <f>IF(T154="AIR",'Catalogue Aluminium'!$K$9,IF(T154="TRENCH",'Catalogue Aluminium'!$K$12,"NA"))</f>
        <v>0.89</v>
      </c>
      <c r="AJ154" s="287">
        <f>IF(T154="Air",(IF(U154="1C",'Catalogue Aluminium'!$L$9,'Catalogue Aluminium'!$M$9)),IF(T154="DUCT",(IF($U154="1C",'Catalogue Aluminium'!$L$10,'Catalogue Aluminium'!$M$10)),IF(T154="GROUND",(IF($U154="1C",'Catalogue Aluminium'!$L$11,'Catalogue Aluminium'!$M$11)),IF(T154="TRENCH",(IF($U154="1C",'Catalogue Aluminium'!$L$12,'Catalogue Aluminium'!$M$12))))))</f>
        <v>0.66</v>
      </c>
      <c r="AK154" s="288" t="str">
        <f>IF(T154="Air",'Catalogue Aluminium'!$N$9,IF(T154="GROUND",'Catalogue Aluminium'!$N$10,IF(T154="DUCT",'Catalogue Aluminium'!$N$11,IF(T154="TRENCH",'Catalogue Aluminium'!$N$12,"NA"))))</f>
        <v>NA</v>
      </c>
      <c r="AL154" s="288" t="str">
        <f>IF(T154="Air",(IF(U154="1C",'Catalogue Aluminium'!$O$9,'Catalogue Aluminium'!$P$9)),IF(T154="DUCT",(IF($U154="1C",'Catalogue Aluminium'!$O$10,'Catalogue Aluminium'!$P$10)),IF(T154="GROUND",(IF($U154="1C",'Catalogue Aluminium'!$O$11,'Catalogue Aluminium'!$P$11)),IF(T154="TRENCH",(IF($U154="1C",'Catalogue Aluminium'!$O$12,'Catalogue Aluminium'!$P$12))))))</f>
        <v>NA</v>
      </c>
      <c r="AM154" s="288" t="str">
        <f>IF(T154="AIR","NA",IF(T154="TRENCH","NA",IF(T154="DUCT",IF(U154="1C",VLOOKUP(V154,'Catalogue Aluminium'!$Q$9:$S$28,2,FALSE),VLOOKUP(V154,'Catalogue Aluminium'!$Q$9:$S$28,3)),IF(T154="GROUND",IF(U154="1C",VLOOKUP(V154,'Catalogue Aluminium'!$Q$9:$S$28,2,FALSE),VLOOKUP(V154,'Catalogue Aluminium'!$Q$9:$S$28,3))))))</f>
        <v>NA</v>
      </c>
      <c r="AN154" s="312">
        <f t="shared" si="340"/>
        <v>0.58740000000000003</v>
      </c>
      <c r="AO154" s="304">
        <f t="shared" si="341"/>
        <v>129.81540000000001</v>
      </c>
      <c r="AP154" s="309">
        <f t="shared" si="386"/>
        <v>1</v>
      </c>
      <c r="AQ154" s="304" t="str">
        <f t="shared" si="342"/>
        <v>YES</v>
      </c>
      <c r="AR154" s="312">
        <f t="shared" si="343"/>
        <v>2.8169239492209877</v>
      </c>
      <c r="AS154" s="294" t="str">
        <f t="shared" si="344"/>
        <v>YES</v>
      </c>
      <c r="AT154" s="312">
        <f t="shared" si="387"/>
        <v>6.7191753208624929</v>
      </c>
      <c r="AU154" s="294" t="str">
        <f t="shared" si="346"/>
        <v>YES</v>
      </c>
      <c r="AV154" s="353" t="str">
        <f t="shared" si="378"/>
        <v>1R x 0.6/1kV x 3C x 95 Sqmm</v>
      </c>
      <c r="AW154" s="353" t="str">
        <f t="shared" si="348"/>
        <v>1R x 0.6/1kV x 3C x 95+PE Sqmm</v>
      </c>
      <c r="AX154" s="294">
        <f t="shared" si="388"/>
        <v>376</v>
      </c>
      <c r="AY154" s="354"/>
    </row>
    <row r="155" spans="1:51" ht="38.25" customHeight="1">
      <c r="A155" s="243">
        <f>1+A153</f>
        <v>112</v>
      </c>
      <c r="B155" s="285" t="s">
        <v>382</v>
      </c>
      <c r="C155" s="285" t="s">
        <v>344</v>
      </c>
      <c r="D155" s="546" t="s">
        <v>1024</v>
      </c>
      <c r="E155" s="352" t="s">
        <v>480</v>
      </c>
      <c r="F155" s="417" t="s">
        <v>29</v>
      </c>
      <c r="G155" s="286" t="s">
        <v>298</v>
      </c>
      <c r="H155" s="291">
        <v>0.2</v>
      </c>
      <c r="I155" s="285" t="s">
        <v>299</v>
      </c>
      <c r="J155" s="285" t="s">
        <v>313</v>
      </c>
      <c r="K155" s="309">
        <v>230</v>
      </c>
      <c r="L155" s="294">
        <v>0.85</v>
      </c>
      <c r="M155" s="304">
        <v>0.95</v>
      </c>
      <c r="N155" s="287">
        <f t="shared" si="333"/>
        <v>1.0768609503297888</v>
      </c>
      <c r="O155" s="287">
        <f t="shared" si="383"/>
        <v>0</v>
      </c>
      <c r="P155" s="294" t="str">
        <f t="shared" si="334"/>
        <v>0.00</v>
      </c>
      <c r="Q155" s="304">
        <v>65</v>
      </c>
      <c r="R155" s="304">
        <v>0</v>
      </c>
      <c r="S155" s="304">
        <f t="shared" si="335"/>
        <v>0</v>
      </c>
      <c r="T155" s="294" t="s">
        <v>131</v>
      </c>
      <c r="U155" s="304" t="s">
        <v>302</v>
      </c>
      <c r="V155" s="294">
        <v>2.5</v>
      </c>
      <c r="W155" s="294" t="str">
        <f t="shared" si="336"/>
        <v>3C X 2.5</v>
      </c>
      <c r="X155" s="294" t="str">
        <f t="shared" ref="X155" si="399">(IF(J155="1Ph",W155,IF(J155="3Ph",(IF(G155="MOTOR",(CONCATENATE(W155,"+PE")),W155)))))</f>
        <v>3C X 2.5</v>
      </c>
      <c r="Y155" s="294" t="s">
        <v>314</v>
      </c>
      <c r="Z155" s="288">
        <f>IF(T155="AIR",VLOOKUP(W155,'Catalogue Aluminium'!$B$9:$G$91,2,FALSE),IF(T155="GROUND",VLOOKUP(W155,'Catalogue Aluminium'!$B$9:$G$91,3,FALSE),IF(T155="DUCT",VLOOKUP(W155,'Catalogue Aluminium'!$B$9:$G$91,4,FALSE),IF(T155="TRENCH",VLOOKUP(W155,'Catalogue Aluminium'!$B$9:$G$91,2,FALSE)))))</f>
        <v>28</v>
      </c>
      <c r="AA155" s="295">
        <f>VLOOKUP(W155,'Catalogue Aluminium'!$B$9:$G$91,5,FALSE)</f>
        <v>9.48</v>
      </c>
      <c r="AB155" s="295">
        <f>VLOOKUP(W155,'Catalogue Aluminium'!$B$9:$G$91,6,FALSE)</f>
        <v>0.1007</v>
      </c>
      <c r="AC155" s="294">
        <f t="shared" si="398"/>
        <v>20</v>
      </c>
      <c r="AD155" s="294">
        <f>40+50+38+50+17+(80)</f>
        <v>275</v>
      </c>
      <c r="AE155" s="294">
        <f t="shared" si="385"/>
        <v>38</v>
      </c>
      <c r="AF155" s="294">
        <v>8</v>
      </c>
      <c r="AG155" s="294">
        <f t="shared" ref="AG155" si="400">ROUNDUP((SUM(AC155:AF155)*0.1),0)</f>
        <v>35</v>
      </c>
      <c r="AH155" s="311">
        <f t="shared" ref="AH155" si="401">SUM(AC155:AG155)</f>
        <v>376</v>
      </c>
      <c r="AI155" s="288">
        <f>IF(T155="AIR",'Catalogue Aluminium'!$K$9,IF(T155="TRENCH",'Catalogue Aluminium'!$K$12,"NA"))</f>
        <v>0.89</v>
      </c>
      <c r="AJ155" s="287">
        <f>IF(T155="Air",(IF(U155="1C",'Catalogue Aluminium'!$L$9,'Catalogue Aluminium'!$M$9)),IF(T155="DUCT",(IF($U155="1C",'Catalogue Aluminium'!$L$10,'Catalogue Aluminium'!$M$10)),IF(T155="GROUND",(IF($U155="1C",'Catalogue Aluminium'!$L$11,'Catalogue Aluminium'!$M$11)),IF(T155="TRENCH",(IF($U155="1C",'Catalogue Aluminium'!$L$12,'Catalogue Aluminium'!$M$12))))))</f>
        <v>0.66</v>
      </c>
      <c r="AK155" s="288" t="str">
        <f>IF(T155="Air",'Catalogue Aluminium'!$N$9,IF(T155="GROUND",'Catalogue Aluminium'!$N$10,IF(T155="DUCT",'Catalogue Aluminium'!$N$11,IF(T155="TRENCH",'Catalogue Aluminium'!$N$12,"NA"))))</f>
        <v>NA</v>
      </c>
      <c r="AL155" s="288" t="str">
        <f>IF(T155="Air",(IF(U155="1C",'Catalogue Aluminium'!$O$9,'Catalogue Aluminium'!$P$9)),IF(T155="DUCT",(IF($U155="1C",'Catalogue Aluminium'!$O$10,'Catalogue Aluminium'!$P$10)),IF(T155="GROUND",(IF($U155="1C",'Catalogue Aluminium'!$O$11,'Catalogue Aluminium'!$P$11)),IF(T155="TRENCH",(IF($U155="1C",'Catalogue Aluminium'!$O$12,'Catalogue Aluminium'!$P$12))))))</f>
        <v>NA</v>
      </c>
      <c r="AM155" s="288" t="str">
        <f>IF(T155="AIR","NA",IF(T155="TRENCH","NA",IF(T155="DUCT",IF(U155="1C",VLOOKUP(V155,'Catalogue Aluminium'!$Q$9:$S$28,2,FALSE),VLOOKUP(V155,'Catalogue Aluminium'!$Q$9:$S$28,3)),IF(T155="GROUND",IF(U155="1C",VLOOKUP(V155,'Catalogue Aluminium'!$Q$9:$S$28,2,FALSE),VLOOKUP(V155,'Catalogue Aluminium'!$Q$9:$S$28,3))))))</f>
        <v>NA</v>
      </c>
      <c r="AN155" s="312">
        <f t="shared" ref="AN155" si="402">IF(T155="AIR",AI155*AJ155,IF(T155="TRENCH",AI155*AJ155,IF(T155="DUCT",AJ155*AK155*AL155*AM155,IF(T155="GROUND",AJ155*AK155*AL155*AM155))))</f>
        <v>0.58740000000000003</v>
      </c>
      <c r="AO155" s="304">
        <f t="shared" ref="AO155" si="403">Z155*AN155</f>
        <v>16.447200000000002</v>
      </c>
      <c r="AP155" s="309">
        <f t="shared" ref="AP155" si="404">CEILING(((N155)/AO155),1)</f>
        <v>1</v>
      </c>
      <c r="AQ155" s="304" t="str">
        <f t="shared" ref="AQ155" si="405">IF(AO155*AP155&gt;=N155,"YES","NO")</f>
        <v>YES</v>
      </c>
      <c r="AR155" s="312">
        <f t="shared" ref="AR155" si="406">SQRT(3)*AH155*N155*((AA155*L155)+(AB155*SIN(ACOS(L155))))*100/(AP155*K155*1000)</f>
        <v>2.4731883026279964</v>
      </c>
      <c r="AS155" s="294" t="str">
        <f t="shared" ref="AS155" si="407">IF(G155="INCOMER",(IF(AR155&lt;=2,"YES","NO")),IF(G155="POWER",(IF(AR155&lt;=2.5,"YES","NO")),IF(G155="MOTOR",(IF(AR155&lt;=3,"YES","NO")))))</f>
        <v>YES</v>
      </c>
      <c r="AT155" s="312" t="str">
        <f t="shared" si="387"/>
        <v>NA</v>
      </c>
      <c r="AU155" s="294" t="str">
        <f t="shared" si="346"/>
        <v>NA</v>
      </c>
      <c r="AV155" s="353" t="str">
        <f t="shared" si="378"/>
        <v>1R x 0.6/1kV x 3C x 2.5 Sqmm</v>
      </c>
      <c r="AW155" s="353" t="str">
        <f t="shared" si="348"/>
        <v>1R x 0.6/1kV x 3C x 2.5 Sqmm</v>
      </c>
      <c r="AX155" s="294">
        <f t="shared" si="388"/>
        <v>376</v>
      </c>
      <c r="AY155" s="354"/>
    </row>
    <row r="156" spans="1:51" ht="38.25" customHeight="1">
      <c r="A156" s="285">
        <f>1+A154</f>
        <v>112</v>
      </c>
      <c r="B156" s="285" t="s">
        <v>382</v>
      </c>
      <c r="C156" s="285" t="s">
        <v>344</v>
      </c>
      <c r="D156" s="546" t="s">
        <v>1025</v>
      </c>
      <c r="E156" s="374" t="s">
        <v>481</v>
      </c>
      <c r="F156" s="411" t="s">
        <v>28</v>
      </c>
      <c r="G156" s="286" t="s">
        <v>311</v>
      </c>
      <c r="H156" s="304">
        <v>5</v>
      </c>
      <c r="I156" s="285" t="s">
        <v>299</v>
      </c>
      <c r="J156" s="285" t="s">
        <v>300</v>
      </c>
      <c r="K156" s="309">
        <v>400</v>
      </c>
      <c r="L156" s="294">
        <v>0.85</v>
      </c>
      <c r="M156" s="304">
        <v>0.95</v>
      </c>
      <c r="N156" s="287">
        <f t="shared" si="333"/>
        <v>8.9375728412186568</v>
      </c>
      <c r="O156" s="287">
        <f t="shared" si="383"/>
        <v>53.625437047311941</v>
      </c>
      <c r="P156" s="294">
        <f t="shared" si="334"/>
        <v>0.2</v>
      </c>
      <c r="Q156" s="304">
        <v>65</v>
      </c>
      <c r="R156" s="304">
        <v>0</v>
      </c>
      <c r="S156" s="304">
        <f t="shared" si="335"/>
        <v>0</v>
      </c>
      <c r="T156" s="294" t="s">
        <v>131</v>
      </c>
      <c r="U156" s="304" t="s">
        <v>302</v>
      </c>
      <c r="V156" s="294">
        <v>4</v>
      </c>
      <c r="W156" s="294" t="str">
        <f t="shared" si="336"/>
        <v>3C X 4</v>
      </c>
      <c r="X156" s="294" t="str">
        <f t="shared" si="337"/>
        <v>3C X 4+PE</v>
      </c>
      <c r="Y156" s="294" t="s">
        <v>314</v>
      </c>
      <c r="Z156" s="288">
        <f>IF(T156="AIR",VLOOKUP(W156,'Catalogue Aluminium'!$B$9:$G$91,2,FALSE),IF(T156="GROUND",VLOOKUP(W156,'Catalogue Aluminium'!$B$9:$G$91,3,FALSE),IF(T156="DUCT",VLOOKUP(W156,'Catalogue Aluminium'!$B$9:$G$91,4,FALSE),IF(T156="TRENCH",VLOOKUP(W156,'Catalogue Aluminium'!$B$9:$G$91,2,FALSE)))))</f>
        <v>38</v>
      </c>
      <c r="AA156" s="295">
        <f>VLOOKUP(W156,'Catalogue Aluminium'!$B$9:$G$91,5,FALSE)</f>
        <v>5.9</v>
      </c>
      <c r="AB156" s="295">
        <f>VLOOKUP(W156,'Catalogue Aluminium'!$B$9:$G$91,6,FALSE)</f>
        <v>9.4700000000000006E-2</v>
      </c>
      <c r="AC156" s="310">
        <f>26+3</f>
        <v>29</v>
      </c>
      <c r="AD156" s="310">
        <v>0</v>
      </c>
      <c r="AE156" s="294">
        <v>5</v>
      </c>
      <c r="AF156" s="294">
        <v>8</v>
      </c>
      <c r="AG156" s="294">
        <f t="shared" si="338"/>
        <v>5</v>
      </c>
      <c r="AH156" s="311">
        <f t="shared" si="339"/>
        <v>47</v>
      </c>
      <c r="AI156" s="288">
        <f>IF(T156="AIR",'Catalogue Aluminium'!$K$9,IF(T156="TRENCH",'Catalogue Aluminium'!$K$12,"NA"))</f>
        <v>0.89</v>
      </c>
      <c r="AJ156" s="287">
        <f>IF(T156="Air",(IF(U156="1C",'Catalogue Aluminium'!$L$9,'Catalogue Aluminium'!$M$9)),IF(T156="DUCT",(IF($U156="1C",'Catalogue Aluminium'!$L$10,'Catalogue Aluminium'!$M$10)),IF(T156="GROUND",(IF($U156="1C",'Catalogue Aluminium'!$L$11,'Catalogue Aluminium'!$M$11)),IF(T156="TRENCH",(IF($U156="1C",'Catalogue Aluminium'!$L$12,'Catalogue Aluminium'!$M$12))))))</f>
        <v>0.66</v>
      </c>
      <c r="AK156" s="288" t="str">
        <f>IF(T156="Air",'Catalogue Aluminium'!$N$9,IF(T156="GROUND",'Catalogue Aluminium'!$N$10,IF(T156="DUCT",'Catalogue Aluminium'!$N$11,IF(T156="TRENCH",'Catalogue Aluminium'!$N$12,"NA"))))</f>
        <v>NA</v>
      </c>
      <c r="AL156" s="288" t="str">
        <f>IF(T156="Air",(IF(U156="1C",'Catalogue Aluminium'!$O$9,'Catalogue Aluminium'!$P$9)),IF(T156="DUCT",(IF($U156="1C",'Catalogue Aluminium'!$O$10,'Catalogue Aluminium'!$P$10)),IF(T156="GROUND",(IF($U156="1C",'Catalogue Aluminium'!$O$11,'Catalogue Aluminium'!$P$11)),IF(T156="TRENCH",(IF($U156="1C",'Catalogue Aluminium'!$O$12,'Catalogue Aluminium'!$P$12))))))</f>
        <v>NA</v>
      </c>
      <c r="AM156" s="288" t="str">
        <f>IF(T156="AIR","NA",IF(T156="TRENCH","NA",IF(T156="DUCT",IF(U156="1C",VLOOKUP(V156,'Catalogue Aluminium'!$Q$9:$S$28,2,FALSE),VLOOKUP(V156,'Catalogue Aluminium'!$Q$9:$S$28,3)),IF(T156="GROUND",IF(U156="1C",VLOOKUP(V156,'Catalogue Aluminium'!$Q$9:$S$28,2,FALSE),VLOOKUP(V156,'Catalogue Aluminium'!$Q$9:$S$28,3))))))</f>
        <v>NA</v>
      </c>
      <c r="AN156" s="312">
        <f t="shared" si="340"/>
        <v>0.58740000000000003</v>
      </c>
      <c r="AO156" s="304">
        <f t="shared" si="341"/>
        <v>22.321200000000001</v>
      </c>
      <c r="AP156" s="309">
        <f t="shared" si="386"/>
        <v>1</v>
      </c>
      <c r="AQ156" s="304" t="str">
        <f t="shared" si="342"/>
        <v>YES</v>
      </c>
      <c r="AR156" s="312">
        <f t="shared" si="343"/>
        <v>0.92127182725087842</v>
      </c>
      <c r="AS156" s="294" t="str">
        <f t="shared" si="344"/>
        <v>YES</v>
      </c>
      <c r="AT156" s="312">
        <f t="shared" si="387"/>
        <v>1.3890726405007408</v>
      </c>
      <c r="AU156" s="294" t="str">
        <f t="shared" si="346"/>
        <v>YES</v>
      </c>
      <c r="AV156" s="353" t="str">
        <f t="shared" si="378"/>
        <v>1R x 0.6/1kV x 3C x 4 Sqmm</v>
      </c>
      <c r="AW156" s="353" t="str">
        <f t="shared" si="348"/>
        <v>1R x 0.6/1kV x 3C x 4+PE Sqmm</v>
      </c>
      <c r="AX156" s="294">
        <f t="shared" si="388"/>
        <v>47</v>
      </c>
      <c r="AY156" s="564" t="s">
        <v>974</v>
      </c>
    </row>
    <row r="157" spans="1:51" ht="38.25" customHeight="1">
      <c r="A157" s="285">
        <f t="shared" si="349"/>
        <v>113</v>
      </c>
      <c r="B157" s="285" t="s">
        <v>382</v>
      </c>
      <c r="C157" s="285" t="s">
        <v>344</v>
      </c>
      <c r="D157" s="546" t="s">
        <v>1026</v>
      </c>
      <c r="E157" s="352" t="s">
        <v>482</v>
      </c>
      <c r="F157" s="417" t="s">
        <v>29</v>
      </c>
      <c r="G157" s="286" t="s">
        <v>311</v>
      </c>
      <c r="H157" s="304">
        <v>8</v>
      </c>
      <c r="I157" s="285" t="s">
        <v>299</v>
      </c>
      <c r="J157" s="285" t="s">
        <v>300</v>
      </c>
      <c r="K157" s="309">
        <v>400</v>
      </c>
      <c r="L157" s="294">
        <v>0.85</v>
      </c>
      <c r="M157" s="304">
        <v>0.95</v>
      </c>
      <c r="N157" s="287">
        <f t="shared" si="333"/>
        <v>14.300116545949852</v>
      </c>
      <c r="O157" s="287">
        <f t="shared" si="383"/>
        <v>85.800699275699117</v>
      </c>
      <c r="P157" s="294">
        <f t="shared" si="334"/>
        <v>0.2</v>
      </c>
      <c r="Q157" s="304">
        <v>65</v>
      </c>
      <c r="R157" s="304">
        <v>0</v>
      </c>
      <c r="S157" s="304">
        <f t="shared" si="335"/>
        <v>0</v>
      </c>
      <c r="T157" s="294" t="s">
        <v>131</v>
      </c>
      <c r="U157" s="304" t="s">
        <v>302</v>
      </c>
      <c r="V157" s="294">
        <v>25</v>
      </c>
      <c r="W157" s="294" t="str">
        <f t="shared" si="336"/>
        <v>3C X 25</v>
      </c>
      <c r="X157" s="294" t="str">
        <f t="shared" si="337"/>
        <v>3C X 25+PE</v>
      </c>
      <c r="Y157" s="294" t="s">
        <v>314</v>
      </c>
      <c r="Z157" s="288">
        <f>IF(T157="AIR",VLOOKUP(W157,'Catalogue Aluminium'!$B$9:$G$91,2,FALSE),IF(T157="GROUND",VLOOKUP(W157,'Catalogue Aluminium'!$B$9:$G$91,3,FALSE),IF(T157="DUCT",VLOOKUP(W157,'Catalogue Aluminium'!$B$9:$G$91,4,FALSE),IF(T157="TRENCH",VLOOKUP(W157,'Catalogue Aluminium'!$B$9:$G$91,2,FALSE)))))</f>
        <v>95</v>
      </c>
      <c r="AA157" s="295">
        <f>VLOOKUP(W157,'Catalogue Aluminium'!$B$9:$G$91,5,FALSE)</f>
        <v>1.54</v>
      </c>
      <c r="AB157" s="295">
        <f>VLOOKUP(W157,'Catalogue Aluminium'!$B$9:$G$91,6,FALSE)</f>
        <v>8.1600000000000006E-2</v>
      </c>
      <c r="AC157" s="294">
        <f t="shared" ref="AC157" si="408">17+3</f>
        <v>20</v>
      </c>
      <c r="AD157" s="294">
        <f>42+73+36+17</f>
        <v>168</v>
      </c>
      <c r="AE157" s="294">
        <f t="shared" si="385"/>
        <v>38</v>
      </c>
      <c r="AF157" s="294">
        <v>8</v>
      </c>
      <c r="AG157" s="294">
        <f t="shared" si="338"/>
        <v>24</v>
      </c>
      <c r="AH157" s="311">
        <f t="shared" si="339"/>
        <v>258</v>
      </c>
      <c r="AI157" s="288">
        <f>IF(T157="AIR",'Catalogue Aluminium'!$K$9,IF(T157="TRENCH",'Catalogue Aluminium'!$K$12,"NA"))</f>
        <v>0.89</v>
      </c>
      <c r="AJ157" s="287">
        <f>IF(T157="Air",(IF(U157="1C",'Catalogue Aluminium'!$L$9,'Catalogue Aluminium'!$M$9)),IF(T157="DUCT",(IF($U157="1C",'Catalogue Aluminium'!$L$10,'Catalogue Aluminium'!$M$10)),IF(T157="GROUND",(IF($U157="1C",'Catalogue Aluminium'!$L$11,'Catalogue Aluminium'!$M$11)),IF(T157="TRENCH",(IF($U157="1C",'Catalogue Aluminium'!$L$12,'Catalogue Aluminium'!$M$12))))))</f>
        <v>0.66</v>
      </c>
      <c r="AK157" s="288" t="str">
        <f>IF(T157="Air",'Catalogue Aluminium'!$N$9,IF(T157="GROUND",'Catalogue Aluminium'!$N$10,IF(T157="DUCT",'Catalogue Aluminium'!$N$11,IF(T157="TRENCH",'Catalogue Aluminium'!$N$12,"NA"))))</f>
        <v>NA</v>
      </c>
      <c r="AL157" s="288" t="str">
        <f>IF(T157="Air",(IF(U157="1C",'Catalogue Aluminium'!$O$9,'Catalogue Aluminium'!$P$9)),IF(T157="DUCT",(IF($U157="1C",'Catalogue Aluminium'!$O$10,'Catalogue Aluminium'!$P$10)),IF(T157="GROUND",(IF($U157="1C",'Catalogue Aluminium'!$O$11,'Catalogue Aluminium'!$P$11)),IF(T157="TRENCH",(IF($U157="1C",'Catalogue Aluminium'!$O$12,'Catalogue Aluminium'!$P$12))))))</f>
        <v>NA</v>
      </c>
      <c r="AM157" s="288" t="str">
        <f>IF(T157="AIR","NA",IF(T157="TRENCH","NA",IF(T157="DUCT",IF(U157="1C",VLOOKUP(V157,'Catalogue Aluminium'!$Q$9:$S$28,2,FALSE),VLOOKUP(V157,'Catalogue Aluminium'!$Q$9:$S$28,3)),IF(T157="GROUND",IF(U157="1C",VLOOKUP(V157,'Catalogue Aluminium'!$Q$9:$S$28,2,FALSE),VLOOKUP(V157,'Catalogue Aluminium'!$Q$9:$S$28,3))))))</f>
        <v>NA</v>
      </c>
      <c r="AN157" s="312">
        <f t="shared" si="340"/>
        <v>0.58740000000000003</v>
      </c>
      <c r="AO157" s="304">
        <f t="shared" si="341"/>
        <v>55.803000000000004</v>
      </c>
      <c r="AP157" s="309">
        <f t="shared" si="386"/>
        <v>1</v>
      </c>
      <c r="AQ157" s="304" t="str">
        <f t="shared" si="342"/>
        <v>YES</v>
      </c>
      <c r="AR157" s="312">
        <f t="shared" si="343"/>
        <v>2.1598915346293617</v>
      </c>
      <c r="AS157" s="294" t="str">
        <f t="shared" si="344"/>
        <v>YES</v>
      </c>
      <c r="AT157" s="312">
        <f t="shared" si="387"/>
        <v>3.7186767755189281</v>
      </c>
      <c r="AU157" s="294" t="str">
        <f t="shared" si="346"/>
        <v>YES</v>
      </c>
      <c r="AV157" s="353" t="str">
        <f t="shared" si="378"/>
        <v>1R x 0.6/1kV x 3C x 25 Sqmm</v>
      </c>
      <c r="AW157" s="353" t="str">
        <f t="shared" si="348"/>
        <v>1R x 0.6/1kV x 3C x 25+PE Sqmm</v>
      </c>
      <c r="AX157" s="294">
        <f t="shared" si="388"/>
        <v>258</v>
      </c>
      <c r="AY157" s="354"/>
    </row>
    <row r="158" spans="1:51" s="576" customFormat="1" ht="38.25" customHeight="1">
      <c r="A158" s="298">
        <f t="shared" si="349"/>
        <v>114</v>
      </c>
      <c r="B158" s="298" t="s">
        <v>382</v>
      </c>
      <c r="C158" s="298" t="s">
        <v>344</v>
      </c>
      <c r="D158" s="546" t="s">
        <v>1020</v>
      </c>
      <c r="E158" s="418" t="s">
        <v>1027</v>
      </c>
      <c r="F158" s="419" t="s">
        <v>29</v>
      </c>
      <c r="G158" s="297" t="s">
        <v>311</v>
      </c>
      <c r="H158" s="421">
        <v>15</v>
      </c>
      <c r="I158" s="298" t="s">
        <v>299</v>
      </c>
      <c r="J158" s="298" t="s">
        <v>300</v>
      </c>
      <c r="K158" s="423">
        <v>400</v>
      </c>
      <c r="L158" s="301">
        <v>0.85</v>
      </c>
      <c r="M158" s="421">
        <v>0.95</v>
      </c>
      <c r="N158" s="299">
        <f t="shared" ref="N158" si="409">IF(I158="kVA",IF(J158="3Ph",(H158*1000/(1.732*M158*K158)),(H158*1000/(M158*K158))),IF(I158="kW",IF(J158="3Ph",(H158*1000/(1.732*M158*K158*L158)),(H158*1000/(M158*K158*L158)))))</f>
        <v>26.81271852365597</v>
      </c>
      <c r="O158" s="299">
        <f t="shared" ref="O158" si="410">IF(G158="MOTOR",(6*N158),IF(G158="VFD",(1*N158),0))</f>
        <v>160.87631114193582</v>
      </c>
      <c r="P158" s="301">
        <f t="shared" ref="P158" si="411">IF(G158="MOTOR",0.2,"0.00")</f>
        <v>0.2</v>
      </c>
      <c r="Q158" s="421">
        <v>65</v>
      </c>
      <c r="R158" s="421">
        <v>0</v>
      </c>
      <c r="S158" s="421">
        <f t="shared" ref="S158" si="412">(Q158*1000*SQRT(R158)/143)</f>
        <v>0</v>
      </c>
      <c r="T158" s="301" t="s">
        <v>131</v>
      </c>
      <c r="U158" s="421" t="s">
        <v>302</v>
      </c>
      <c r="V158" s="301">
        <v>35</v>
      </c>
      <c r="W158" s="301" t="str">
        <f t="shared" ref="W158" si="413">CONCATENATE(U158," X ",V158)</f>
        <v>3C X 35</v>
      </c>
      <c r="X158" s="301" t="str">
        <f t="shared" ref="X158" si="414">(IF(J158="1Ph",W158,IF(J158="3Ph",(IF(G158="MOTOR",(CONCATENATE(W158,"+PE")),W158)))))</f>
        <v>3C X 35+PE</v>
      </c>
      <c r="Y158" s="301" t="s">
        <v>314</v>
      </c>
      <c r="Z158" s="300">
        <f>IF(T158="AIR",VLOOKUP(W158,'Catalogue Aluminium'!$B$9:$G$91,2,FALSE),IF(T158="GROUND",VLOOKUP(W158,'Catalogue Aluminium'!$B$9:$G$91,3,FALSE),IF(T158="DUCT",VLOOKUP(W158,'Catalogue Aluminium'!$B$9:$G$91,4,FALSE),IF(T158="TRENCH",VLOOKUP(W158,'Catalogue Aluminium'!$B$9:$G$91,2,FALSE)))))</f>
        <v>117</v>
      </c>
      <c r="AA158" s="302">
        <f>VLOOKUP(W158,'Catalogue Aluminium'!$B$9:$G$91,5,FALSE)</f>
        <v>1.1100000000000001</v>
      </c>
      <c r="AB158" s="302">
        <f>VLOOKUP(W158,'Catalogue Aluminium'!$B$9:$G$91,6,FALSE)</f>
        <v>7.9399999999999998E-2</v>
      </c>
      <c r="AC158" s="301">
        <f>26+3</f>
        <v>29</v>
      </c>
      <c r="AD158" s="301">
        <f t="shared" ref="AD158" si="415">40+50+22+30</f>
        <v>142</v>
      </c>
      <c r="AE158" s="301">
        <f t="shared" si="385"/>
        <v>38</v>
      </c>
      <c r="AF158" s="301">
        <v>8</v>
      </c>
      <c r="AG158" s="301">
        <f t="shared" ref="AG158" si="416">ROUNDUP((SUM(AC158:AF158)*0.1),0)</f>
        <v>22</v>
      </c>
      <c r="AH158" s="574">
        <f t="shared" ref="AH158" si="417">SUM(AC158:AG158)</f>
        <v>239</v>
      </c>
      <c r="AI158" s="300">
        <f>IF(T158="AIR",'Catalogue Aluminium'!$K$9,IF(T158="TRENCH",'Catalogue Aluminium'!$K$12,"NA"))</f>
        <v>0.89</v>
      </c>
      <c r="AJ158" s="299">
        <f>IF(T158="Air",(IF(U158="1C",'Catalogue Aluminium'!$L$9,'Catalogue Aluminium'!$M$9)),IF(T158="DUCT",(IF($U158="1C",'Catalogue Aluminium'!$L$10,'Catalogue Aluminium'!$M$10)),IF(T158="GROUND",(IF($U158="1C",'Catalogue Aluminium'!$L$11,'Catalogue Aluminium'!$M$11)),IF(T158="TRENCH",(IF($U158="1C",'Catalogue Aluminium'!$L$12,'Catalogue Aluminium'!$M$12))))))</f>
        <v>0.66</v>
      </c>
      <c r="AK158" s="300" t="str">
        <f>IF(T158="Air",'Catalogue Aluminium'!$N$9,IF(T158="GROUND",'Catalogue Aluminium'!$N$10,IF(T158="DUCT",'Catalogue Aluminium'!$N$11,IF(T158="TRENCH",'Catalogue Aluminium'!$N$12,"NA"))))</f>
        <v>NA</v>
      </c>
      <c r="AL158" s="300" t="str">
        <f>IF(T158="Air",(IF(U158="1C",'Catalogue Aluminium'!$O$9,'Catalogue Aluminium'!$P$9)),IF(T158="DUCT",(IF($U158="1C",'Catalogue Aluminium'!$O$10,'Catalogue Aluminium'!$P$10)),IF(T158="GROUND",(IF($U158="1C",'Catalogue Aluminium'!$O$11,'Catalogue Aluminium'!$P$11)),IF(T158="TRENCH",(IF($U158="1C",'Catalogue Aluminium'!$O$12,'Catalogue Aluminium'!$P$12))))))</f>
        <v>NA</v>
      </c>
      <c r="AM158" s="300" t="str">
        <f>IF(T158="AIR","NA",IF(T158="TRENCH","NA",IF(T158="DUCT",IF(U158="1C",VLOOKUP(V158,'Catalogue Aluminium'!$Q$9:$S$28,2,FALSE),VLOOKUP(V158,'Catalogue Aluminium'!$Q$9:$S$28,3)),IF(T158="GROUND",IF(U158="1C",VLOOKUP(V158,'Catalogue Aluminium'!$Q$9:$S$28,2,FALSE),VLOOKUP(V158,'Catalogue Aluminium'!$Q$9:$S$28,3))))))</f>
        <v>NA</v>
      </c>
      <c r="AN158" s="422">
        <f t="shared" ref="AN158" si="418">IF(T158="AIR",AI158*AJ158,IF(T158="TRENCH",AI158*AJ158,IF(T158="DUCT",AJ158*AK158*AL158*AM158,IF(T158="GROUND",AJ158*AK158*AL158*AM158))))</f>
        <v>0.58740000000000003</v>
      </c>
      <c r="AO158" s="421">
        <f t="shared" ref="AO158" si="419">Z158*AN158</f>
        <v>68.725800000000007</v>
      </c>
      <c r="AP158" s="423">
        <f t="shared" ref="AP158" si="420">CEILING(((N158)/AO158),1)</f>
        <v>1</v>
      </c>
      <c r="AQ158" s="421" t="str">
        <f t="shared" ref="AQ158" si="421">IF(AO158*AP158&gt;=N158,"YES","NO")</f>
        <v>YES</v>
      </c>
      <c r="AR158" s="422">
        <f t="shared" ref="AR158" si="422">SQRT(3)*AH158*N158*((AA158*L158)+(AB158*SIN(ACOS(L158))))*100/(AP158*K158*1000)</f>
        <v>2.7341325748867424</v>
      </c>
      <c r="AS158" s="301" t="str">
        <f t="shared" ref="AS158" si="423">IF(G158="INCOMER",(IF(AR158&lt;=2,"YES","NO")),IF(G158="POWER",(IF(AR158&lt;=2.5,"YES","NO")),IF(G158="MOTOR",(IF(AR158&lt;=3,"YES","NO")))))</f>
        <v>YES</v>
      </c>
      <c r="AT158" s="422">
        <f t="shared" ref="AT158" si="424">IF(G158="MOTOR",(SQRT(3)*AH158*O158*((AA158*P158)+(AB158*SIN(ACOS(P158))))*100/(AP158*K158*1000)),"NA")</f>
        <v>4.9913287162400248</v>
      </c>
      <c r="AU158" s="301" t="str">
        <f t="shared" ref="AU158" si="425">IF(G158="MOTOR",IF(AT158&lt;=15,"YES","NO"),"NA")</f>
        <v>YES</v>
      </c>
      <c r="AV158" s="424" t="str">
        <f t="shared" ref="AV158" si="426">IF(U158="1C",CONCATENATE(AP158,"R x ",Y158,"kV x ",U158," x ",V158," Sqmm/Phase"),CONCATENATE(AP158,"R x ",0.6,"/1kV x ",U158," x ",V158," Sqmm"))</f>
        <v>1R x 0.6/1kV x 3C x 35 Sqmm</v>
      </c>
      <c r="AW158" s="424" t="str">
        <f t="shared" ref="AW158" si="427">IF(U158="1C",CONCATENATE(AP158,"R x ",Y158,"kV x ",U158," x ",V158," Sqmm/Phase"),CONCATENATE(AP158,"R x ",0.6,"/1kV x ",U158," x ",V158,(IF(G158="MOTOR","+PE",""))," Sqmm"))</f>
        <v>1R x 0.6/1kV x 3C x 35+PE Sqmm</v>
      </c>
      <c r="AX158" s="301">
        <f t="shared" ref="AX158" si="428">(IF(K158=400,(IF(U158="1C",(4*AH158*AP158),(AH158*AP158))),IF(K158=230,(AH158*AP158))))</f>
        <v>239</v>
      </c>
      <c r="AY158" s="575"/>
    </row>
    <row r="159" spans="1:51" ht="20.149999999999999" customHeight="1">
      <c r="A159" s="243">
        <f>1+A157</f>
        <v>114</v>
      </c>
      <c r="B159" s="243" t="s">
        <v>483</v>
      </c>
      <c r="C159" s="243" t="str">
        <f>$D$6</f>
        <v>PMCC-1</v>
      </c>
      <c r="D159" s="272" t="s">
        <v>484</v>
      </c>
      <c r="E159" s="351" t="s">
        <v>463</v>
      </c>
      <c r="F159" s="410"/>
      <c r="G159" s="246" t="s">
        <v>306</v>
      </c>
      <c r="H159" s="256">
        <v>3150</v>
      </c>
      <c r="I159" s="243" t="s">
        <v>319</v>
      </c>
      <c r="J159" s="243" t="s">
        <v>300</v>
      </c>
      <c r="K159" s="255">
        <v>400</v>
      </c>
      <c r="L159" s="249">
        <v>0.85042738957114017</v>
      </c>
      <c r="M159" s="256">
        <v>0.91224782738987142</v>
      </c>
      <c r="N159" s="248">
        <f t="shared" si="333"/>
        <v>4984.1354587362466</v>
      </c>
      <c r="O159" s="663" t="s">
        <v>485</v>
      </c>
      <c r="P159" s="664"/>
      <c r="Q159" s="664"/>
      <c r="R159" s="664"/>
      <c r="S159" s="664"/>
      <c r="T159" s="664"/>
      <c r="U159" s="664"/>
      <c r="V159" s="664"/>
      <c r="W159" s="664"/>
      <c r="X159" s="664"/>
      <c r="Y159" s="664"/>
      <c r="Z159" s="664"/>
      <c r="AA159" s="664"/>
      <c r="AB159" s="664"/>
      <c r="AC159" s="679"/>
      <c r="AD159" s="679"/>
      <c r="AE159" s="679"/>
      <c r="AF159" s="679"/>
      <c r="AG159" s="679"/>
      <c r="AH159" s="664"/>
      <c r="AI159" s="664"/>
      <c r="AJ159" s="664"/>
      <c r="AK159" s="664"/>
      <c r="AL159" s="664"/>
      <c r="AM159" s="664"/>
      <c r="AN159" s="664"/>
      <c r="AO159" s="664"/>
      <c r="AP159" s="664"/>
      <c r="AQ159" s="664"/>
      <c r="AR159" s="664"/>
      <c r="AS159" s="664"/>
      <c r="AT159" s="664"/>
      <c r="AU159" s="664"/>
      <c r="AV159" s="664"/>
      <c r="AW159" s="664"/>
      <c r="AX159" s="664"/>
      <c r="AY159" s="664"/>
    </row>
    <row r="160" spans="1:51" ht="20.149999999999999" customHeight="1">
      <c r="A160" s="243">
        <f t="shared" si="349"/>
        <v>115</v>
      </c>
      <c r="B160" s="243" t="s">
        <v>483</v>
      </c>
      <c r="C160" s="243" t="str">
        <f>$D$6</f>
        <v>PMCC-1</v>
      </c>
      <c r="D160" s="272" t="s">
        <v>486</v>
      </c>
      <c r="E160" s="351" t="s">
        <v>463</v>
      </c>
      <c r="F160" s="410"/>
      <c r="G160" s="246" t="s">
        <v>306</v>
      </c>
      <c r="H160" s="256">
        <v>3150</v>
      </c>
      <c r="I160" s="243" t="s">
        <v>319</v>
      </c>
      <c r="J160" s="243" t="s">
        <v>300</v>
      </c>
      <c r="K160" s="255">
        <v>400</v>
      </c>
      <c r="L160" s="249">
        <v>0.85042738957114017</v>
      </c>
      <c r="M160" s="256">
        <v>0.91224782738987142</v>
      </c>
      <c r="N160" s="248">
        <f t="shared" si="333"/>
        <v>4984.1354587362466</v>
      </c>
      <c r="O160" s="663" t="s">
        <v>485</v>
      </c>
      <c r="P160" s="664"/>
      <c r="Q160" s="664"/>
      <c r="R160" s="664"/>
      <c r="S160" s="664"/>
      <c r="T160" s="664"/>
      <c r="U160" s="664"/>
      <c r="V160" s="664"/>
      <c r="W160" s="664"/>
      <c r="X160" s="664"/>
      <c r="Y160" s="664"/>
      <c r="Z160" s="664"/>
      <c r="AA160" s="664"/>
      <c r="AB160" s="664"/>
      <c r="AC160" s="679"/>
      <c r="AD160" s="679"/>
      <c r="AE160" s="679"/>
      <c r="AF160" s="679"/>
      <c r="AG160" s="679"/>
      <c r="AH160" s="664"/>
      <c r="AI160" s="664"/>
      <c r="AJ160" s="664"/>
      <c r="AK160" s="664"/>
      <c r="AL160" s="664"/>
      <c r="AM160" s="664"/>
      <c r="AN160" s="664"/>
      <c r="AO160" s="664"/>
      <c r="AP160" s="664"/>
      <c r="AQ160" s="664"/>
      <c r="AR160" s="664"/>
      <c r="AS160" s="664"/>
      <c r="AT160" s="664"/>
      <c r="AU160" s="664"/>
      <c r="AV160" s="664"/>
      <c r="AW160" s="664"/>
      <c r="AX160" s="664"/>
      <c r="AY160" s="664"/>
    </row>
    <row r="161" spans="1:51" s="70" customFormat="1" ht="37.5" customHeight="1">
      <c r="A161" s="376"/>
      <c r="B161" s="376"/>
      <c r="C161" s="376"/>
      <c r="D161" s="377" t="s">
        <v>487</v>
      </c>
      <c r="E161" s="378"/>
      <c r="F161" s="566"/>
      <c r="G161" s="376"/>
      <c r="H161" s="379"/>
      <c r="I161" s="376"/>
      <c r="J161" s="376"/>
      <c r="K161" s="380"/>
      <c r="L161" s="381"/>
      <c r="M161" s="379"/>
      <c r="N161" s="382"/>
      <c r="O161" s="382"/>
      <c r="P161" s="381"/>
      <c r="Q161" s="379"/>
      <c r="R161" s="379"/>
      <c r="S161" s="379"/>
      <c r="T161" s="381"/>
      <c r="U161" s="379"/>
      <c r="V161" s="381"/>
      <c r="W161" s="381"/>
      <c r="X161" s="381"/>
      <c r="Y161" s="381"/>
      <c r="Z161" s="383"/>
      <c r="AA161" s="384"/>
      <c r="AB161" s="384"/>
      <c r="AC161" s="570"/>
      <c r="AD161" s="570"/>
      <c r="AE161" s="570"/>
      <c r="AF161" s="570"/>
      <c r="AG161" s="570"/>
      <c r="AH161" s="385"/>
      <c r="AI161" s="383"/>
      <c r="AJ161" s="382"/>
      <c r="AK161" s="383"/>
      <c r="AL161" s="383"/>
      <c r="AM161" s="383"/>
      <c r="AN161" s="386"/>
      <c r="AO161" s="379"/>
      <c r="AP161" s="380"/>
      <c r="AQ161" s="379"/>
      <c r="AR161" s="386"/>
      <c r="AS161" s="381"/>
      <c r="AT161" s="386"/>
      <c r="AU161" s="386"/>
      <c r="AV161" s="387"/>
      <c r="AW161" s="387"/>
      <c r="AX161" s="381"/>
      <c r="AY161" s="388"/>
    </row>
    <row r="162" spans="1:51" ht="24.75" customHeight="1">
      <c r="A162" s="243">
        <f>1+A160</f>
        <v>116</v>
      </c>
      <c r="B162" s="243" t="s">
        <v>470</v>
      </c>
      <c r="C162" s="243" t="s">
        <v>488</v>
      </c>
      <c r="D162" s="389" t="s">
        <v>489</v>
      </c>
      <c r="E162" s="352" t="s">
        <v>318</v>
      </c>
      <c r="F162" s="364" t="s">
        <v>29</v>
      </c>
      <c r="G162" s="243" t="s">
        <v>298</v>
      </c>
      <c r="H162" s="256">
        <f>CEILING(691.42,10)</f>
        <v>700</v>
      </c>
      <c r="I162" s="243" t="s">
        <v>299</v>
      </c>
      <c r="J162" s="243" t="s">
        <v>300</v>
      </c>
      <c r="K162" s="255">
        <v>400</v>
      </c>
      <c r="L162" s="249">
        <v>0.84664865012052015</v>
      </c>
      <c r="M162" s="256">
        <v>0.92832394366197268</v>
      </c>
      <c r="N162" s="248">
        <f>IF(I162="kVA",IF(J162="3Ph",(H162*1000/(1.732*M162*K162)),(H162*1000/(M162*K162))),IF(I162="kW",IF(J162="3Ph",(H162*1000/(1.732*M162*K162*L162)),(H162*1000/(M162*K162*L162)))))</f>
        <v>1285.5453110843207</v>
      </c>
      <c r="O162" s="248">
        <f>IF(G162="MOTOR",(6*N162),IF(G162="VFD",(1*N162),0))</f>
        <v>0</v>
      </c>
      <c r="P162" s="249" t="str">
        <f t="shared" ref="P162" si="429">IF(G162="MOTOR",0.2,"0.00")</f>
        <v>0.00</v>
      </c>
      <c r="Q162" s="256">
        <v>50</v>
      </c>
      <c r="R162" s="256">
        <v>1</v>
      </c>
      <c r="S162" s="256">
        <f t="shared" ref="S162" si="430">(Q162*1000*SQRT(R162)/143)</f>
        <v>349.65034965034965</v>
      </c>
      <c r="T162" s="249" t="s">
        <v>131</v>
      </c>
      <c r="U162" s="256" t="s">
        <v>305</v>
      </c>
      <c r="V162" s="249">
        <v>630</v>
      </c>
      <c r="W162" s="249" t="str">
        <f t="shared" ref="W162" si="431">CONCATENATE(U162," X ",V162)</f>
        <v>1C X 630</v>
      </c>
      <c r="X162" s="249" t="str">
        <f t="shared" ref="X162" si="432">(IF(J162="1Ph",W162,IF(J162="3Ph",(IF(G162="MOTOR",(CONCATENATE(W162,"+PE")),W162)))))</f>
        <v>1C X 630</v>
      </c>
      <c r="Y162" s="249" t="s">
        <v>314</v>
      </c>
      <c r="Z162" s="250">
        <f>IF(T162="AIR",VLOOKUP(W162,'Catalogue Aluminium'!$B$9:$G$91,2,FALSE),IF(T162="GROUND",VLOOKUP(W162,'Catalogue Aluminium'!$B$9:$G$91,3,FALSE),IF(T162="DUCT",VLOOKUP(W162,'Catalogue Aluminium'!$B$9:$G$91,4,FALSE),IF(T162="TRENCH",VLOOKUP(W162,'Catalogue Aluminium'!$B$9:$G$91,2,FALSE)))))</f>
        <v>822</v>
      </c>
      <c r="AA162" s="251">
        <f>VLOOKUP(W162,'Catalogue Aluminium'!$B$9:$G$91,5,FALSE)</f>
        <v>0.06</v>
      </c>
      <c r="AB162" s="251">
        <f>VLOOKUP(W162,'Catalogue Aluminium'!$B$9:$G$91,6,FALSE)</f>
        <v>8.43E-2</v>
      </c>
      <c r="AC162" s="294">
        <f>10</f>
        <v>10</v>
      </c>
      <c r="AD162" s="294">
        <v>0</v>
      </c>
      <c r="AE162" s="294">
        <v>5</v>
      </c>
      <c r="AF162" s="294">
        <v>8</v>
      </c>
      <c r="AG162" s="294">
        <f t="shared" ref="AG162" si="433">ROUNDUP((SUM(AC162:AF162)*0.1),0)</f>
        <v>3</v>
      </c>
      <c r="AH162" s="253">
        <f t="shared" ref="AH162" si="434">SUM(AC162:AG162)</f>
        <v>26</v>
      </c>
      <c r="AI162" s="250">
        <f>IF(T162="AIR",'Catalogue Aluminium'!$K$9,IF(T162="TRENCH",'Catalogue Aluminium'!$K$12,"NA"))</f>
        <v>0.89</v>
      </c>
      <c r="AJ162" s="248">
        <f>IF(T162="Air",(IF(U162="1C",'Catalogue Aluminium'!$L$9,'Catalogue Aluminium'!$M$9)),IF(T162="DUCT",(IF($U162="1C",'Catalogue Aluminium'!$L$10,'Catalogue Aluminium'!$M$10)),IF(T162="GROUND",(IF($U162="1C",'Catalogue Aluminium'!$L$11,'Catalogue Aluminium'!$M$11)),IF(T162="TRENCH",(IF($U162="1C",'Catalogue Aluminium'!$L$12,'Catalogue Aluminium'!$M$12))))))</f>
        <v>0.81</v>
      </c>
      <c r="AK162" s="250" t="str">
        <f>IF(T162="Air",'Catalogue Aluminium'!$N$9,IF(T162="GROUND",'Catalogue Aluminium'!$N$10,IF(T162="DUCT",'Catalogue Aluminium'!$N$11,IF(T162="TRENCH",'Catalogue Aluminium'!$N$12,"NA"))))</f>
        <v>NA</v>
      </c>
      <c r="AL162" s="250" t="str">
        <f>IF(T162="Air",(IF(U162="1C",'Catalogue Aluminium'!$O$9,'Catalogue Aluminium'!$P$9)),IF(T162="DUCT",(IF($U162="1C",'Catalogue Aluminium'!$O$10,'Catalogue Aluminium'!$P$10)),IF(T162="GROUND",(IF($U162="1C",'Catalogue Aluminium'!$O$11,'Catalogue Aluminium'!$P$11)),IF(T162="TRENCH",(IF($U162="1C",'Catalogue Aluminium'!$O$12,'Catalogue Aluminium'!$P$12))))))</f>
        <v>NA</v>
      </c>
      <c r="AM162" s="250" t="str">
        <f>IF(T162="AIR","NA",IF(T162="TRENCH","NA",IF(T162="DUCT",IF(U162="1C",VLOOKUP(V162,'Catalogue Aluminium'!$Q$9:$S$28,2,FALSE),VLOOKUP(V162,'Catalogue Aluminium'!$Q$9:$S$28,3)),IF(T162="GROUND",IF(U162="1C",VLOOKUP(V162,'Catalogue Aluminium'!$Q$9:$S$28,2,FALSE),VLOOKUP(V162,'Catalogue Aluminium'!$Q$9:$S$28,3))))))</f>
        <v>NA</v>
      </c>
      <c r="AN162" s="257">
        <f t="shared" ref="AN162" si="435">IF(T162="AIR",AI162*AJ162,IF(T162="TRENCH",AI162*AJ162,IF(T162="DUCT",AJ162*AK162*AL162*AM162,IF(T162="GROUND",AJ162*AK162*AL162*AM162))))</f>
        <v>0.7209000000000001</v>
      </c>
      <c r="AO162" s="256">
        <f t="shared" ref="AO162" si="436">Z162*AN162</f>
        <v>592.57980000000009</v>
      </c>
      <c r="AP162" s="255">
        <f t="shared" ref="AP162" si="437">CEILING(((N162)/AO162),1)</f>
        <v>3</v>
      </c>
      <c r="AQ162" s="256" t="str">
        <f t="shared" ref="AQ162" si="438">IF(AO162*AP162&gt;=N162,"YES","NO")</f>
        <v>YES</v>
      </c>
      <c r="AR162" s="257">
        <f t="shared" ref="AR162" si="439">SQRT(3)*AH162*N162*((AA162*L162)+(AB162*SIN(ACOS(L162))))*100/(AP162*K162*1000)</f>
        <v>0.46149561278286788</v>
      </c>
      <c r="AS162" s="249" t="str">
        <f t="shared" ref="AS162" si="440">IF(G162="INCOMER",(IF(AR162&lt;=2,"YES","NO")),IF(G162="POWER",(IF(AR162&lt;=2.5,"YES","NO")),IF(G162="MOTOR",(IF(AR162&lt;=3,"YES","NO")))))</f>
        <v>YES</v>
      </c>
      <c r="AT162" s="257" t="str">
        <f>IF(G162="MOTOR",(SQRT(3)*AH162*O162*((AA162*P162)+(AB162*SIN(ACOS(P162))))*100/(AP162*K162*1000)),"NA")</f>
        <v>NA</v>
      </c>
      <c r="AU162" s="249" t="str">
        <f>IF(G162="MOTOR",IF(AT162&lt;=15,"YES","NO"),"NA")</f>
        <v>NA</v>
      </c>
      <c r="AV162" s="260" t="str">
        <f>IF(U162="1C",CONCATENATE(AP162,"R x ",Y162,"kV x ",U162," x ",V162," Sqmm/Phase"),CONCATENATE(AP162,"R x ",0.6,"/1kV x ",U162," x ",V162," Sqmm"))</f>
        <v>3R x 0.6/1.0kV x 1C x 630 Sqmm/Phase</v>
      </c>
      <c r="AW162" s="260" t="str">
        <f>IF(U162="1C",CONCATENATE(AP162,"R x ",Y162,"kV x ",U162," x ",V162," Sqmm/Phase"),CONCATENATE(AP162,"R x ",0.6,"/1kV x ",U162," x ",V162,(IF(G162="MOTOR","+PE",""))," Sqmm"))</f>
        <v>3R x 0.6/1.0kV x 1C x 630 Sqmm/Phase</v>
      </c>
      <c r="AX162" s="372">
        <f>(IF(K162=400,(IF(U162="1C",(3*AH162*AP162),(AH162*AP162))),IF(K162=230,(AH162*AP162))))</f>
        <v>234</v>
      </c>
      <c r="AY162" s="547"/>
    </row>
    <row r="163" spans="1:51" ht="26.25" customHeight="1">
      <c r="A163" s="243">
        <f t="shared" ref="A163" si="441">1+A162</f>
        <v>117</v>
      </c>
      <c r="B163" s="243" t="s">
        <v>470</v>
      </c>
      <c r="C163" s="243" t="s">
        <v>488</v>
      </c>
      <c r="D163" s="389" t="s">
        <v>490</v>
      </c>
      <c r="E163" s="352" t="s">
        <v>318</v>
      </c>
      <c r="F163" s="364" t="s">
        <v>29</v>
      </c>
      <c r="G163" s="243" t="s">
        <v>298</v>
      </c>
      <c r="H163" s="256">
        <f>CEILING(691.42,10)/1.732</f>
        <v>404.15704387990763</v>
      </c>
      <c r="I163" s="243" t="s">
        <v>299</v>
      </c>
      <c r="J163" s="243" t="s">
        <v>300</v>
      </c>
      <c r="K163" s="255">
        <v>400</v>
      </c>
      <c r="L163" s="249">
        <v>0.84664865012052015</v>
      </c>
      <c r="M163" s="256">
        <v>0.92832394366197268</v>
      </c>
      <c r="N163" s="248">
        <f>IF(I163="kVA",IF(J163="3Ph",(H163*1000/(1.732*M163*K163)),(H163*1000/(M163*K163))),IF(I163="kW",IF(J163="3Ph",(H163*1000/(1.732*M163*K163*L163)),(H163*1000/(M163*K163*L163)))))</f>
        <v>742.23170385930769</v>
      </c>
      <c r="O163" s="248">
        <f>IF(G163="MOTOR",(6*N163),IF(G163="VFD",(1*N163),0))</f>
        <v>0</v>
      </c>
      <c r="P163" s="249" t="str">
        <f t="shared" ref="P163" si="442">IF(G163="MOTOR",0.2,"0.00")</f>
        <v>0.00</v>
      </c>
      <c r="Q163" s="256">
        <v>50</v>
      </c>
      <c r="R163" s="256">
        <v>1</v>
      </c>
      <c r="S163" s="256">
        <f t="shared" ref="S163" si="443">(Q163*1000*SQRT(R163)/143)</f>
        <v>349.65034965034965</v>
      </c>
      <c r="T163" s="249" t="s">
        <v>131</v>
      </c>
      <c r="U163" s="256" t="s">
        <v>305</v>
      </c>
      <c r="V163" s="249">
        <v>630</v>
      </c>
      <c r="W163" s="249" t="str">
        <f t="shared" ref="W163" si="444">CONCATENATE(U163," X ",V163)</f>
        <v>1C X 630</v>
      </c>
      <c r="X163" s="249" t="str">
        <f t="shared" ref="X163" si="445">(IF(J163="1Ph",W163,IF(J163="3Ph",(IF(G163="MOTOR",(CONCATENATE(W163,"+PE")),W163)))))</f>
        <v>1C X 630</v>
      </c>
      <c r="Y163" s="249" t="s">
        <v>314</v>
      </c>
      <c r="Z163" s="250">
        <f>IF(T163="AIR",VLOOKUP(W163,'Catalogue Aluminium'!$B$9:$G$91,2,FALSE),IF(T163="GROUND",VLOOKUP(W163,'Catalogue Aluminium'!$B$9:$G$91,3,FALSE),IF(T163="DUCT",VLOOKUP(W163,'Catalogue Aluminium'!$B$9:$G$91,4,FALSE),IF(T163="TRENCH",VLOOKUP(W163,'Catalogue Aluminium'!$B$9:$G$91,2,FALSE)))))</f>
        <v>822</v>
      </c>
      <c r="AA163" s="251">
        <f>VLOOKUP(W163,'Catalogue Aluminium'!$B$9:$G$91,5,FALSE)</f>
        <v>0.06</v>
      </c>
      <c r="AB163" s="251">
        <f>VLOOKUP(W163,'Catalogue Aluminium'!$B$9:$G$91,6,FALSE)</f>
        <v>8.43E-2</v>
      </c>
      <c r="AC163" s="294">
        <f>10</f>
        <v>10</v>
      </c>
      <c r="AD163" s="294">
        <v>0</v>
      </c>
      <c r="AE163" s="294">
        <v>5</v>
      </c>
      <c r="AF163" s="294">
        <v>8</v>
      </c>
      <c r="AG163" s="294">
        <f t="shared" ref="AG163" si="446">ROUNDUP((SUM(AC163:AF163)*0.1),0)</f>
        <v>3</v>
      </c>
      <c r="AH163" s="253">
        <f t="shared" ref="AH163" si="447">SUM(AC163:AG163)</f>
        <v>26</v>
      </c>
      <c r="AI163" s="250">
        <f>IF(T163="AIR",'Catalogue Aluminium'!$K$9,IF(T163="TRENCH",'Catalogue Aluminium'!$K$12,"NA"))</f>
        <v>0.89</v>
      </c>
      <c r="AJ163" s="248">
        <f>IF(T163="Air",(IF(U163="1C",'Catalogue Aluminium'!$L$9,'Catalogue Aluminium'!$M$9)),IF(T163="DUCT",(IF($U163="1C",'Catalogue Aluminium'!$L$10,'Catalogue Aluminium'!$M$10)),IF(T163="GROUND",(IF($U163="1C",'Catalogue Aluminium'!$L$11,'Catalogue Aluminium'!$M$11)),IF(T163="TRENCH",(IF($U163="1C",'Catalogue Aluminium'!$L$12,'Catalogue Aluminium'!$M$12))))))</f>
        <v>0.81</v>
      </c>
      <c r="AK163" s="250" t="str">
        <f>IF(T163="Air",'Catalogue Aluminium'!$N$9,IF(T163="GROUND",'Catalogue Aluminium'!$N$10,IF(T163="DUCT",'Catalogue Aluminium'!$N$11,IF(T163="TRENCH",'Catalogue Aluminium'!$N$12,"NA"))))</f>
        <v>NA</v>
      </c>
      <c r="AL163" s="250" t="str">
        <f>IF(T163="Air",(IF(U163="1C",'Catalogue Aluminium'!$O$9,'Catalogue Aluminium'!$P$9)),IF(T163="DUCT",(IF($U163="1C",'Catalogue Aluminium'!$O$10,'Catalogue Aluminium'!$P$10)),IF(T163="GROUND",(IF($U163="1C",'Catalogue Aluminium'!$O$11,'Catalogue Aluminium'!$P$11)),IF(T163="TRENCH",(IF($U163="1C",'Catalogue Aluminium'!$O$12,'Catalogue Aluminium'!$P$12))))))</f>
        <v>NA</v>
      </c>
      <c r="AM163" s="250" t="str">
        <f>IF(T163="AIR","NA",IF(T163="TRENCH","NA",IF(T163="DUCT",IF(U163="1C",VLOOKUP(V163,'Catalogue Aluminium'!$Q$9:$S$28,2,FALSE),VLOOKUP(V163,'Catalogue Aluminium'!$Q$9:$S$28,3)),IF(T163="GROUND",IF(U163="1C",VLOOKUP(V163,'Catalogue Aluminium'!$Q$9:$S$28,2,FALSE),VLOOKUP(V163,'Catalogue Aluminium'!$Q$9:$S$28,3))))))</f>
        <v>NA</v>
      </c>
      <c r="AN163" s="257">
        <f t="shared" ref="AN163" si="448">IF(T163="AIR",AI163*AJ163,IF(T163="TRENCH",AI163*AJ163,IF(T163="DUCT",AJ163*AK163*AL163*AM163,IF(T163="GROUND",AJ163*AK163*AL163*AM163))))</f>
        <v>0.7209000000000001</v>
      </c>
      <c r="AO163" s="256">
        <f t="shared" ref="AO163" si="449">Z163*AN163</f>
        <v>592.57980000000009</v>
      </c>
      <c r="AP163" s="255">
        <f t="shared" ref="AP163" si="450">CEILING(((N163)/AO163),1)</f>
        <v>2</v>
      </c>
      <c r="AQ163" s="256" t="str">
        <f t="shared" ref="AQ163" si="451">IF(AO163*AP163&gt;=N163,"YES","NO")</f>
        <v>YES</v>
      </c>
      <c r="AR163" s="257">
        <f t="shared" ref="AR163" si="452">SQRT(3)*AH163*N163*((AA163*L163)+(AB163*SIN(ACOS(L163))))*100/(AP163*K163*1000)</f>
        <v>0.39967864848400803</v>
      </c>
      <c r="AS163" s="249" t="str">
        <f t="shared" ref="AS163" si="453">IF(G163="INCOMER",(IF(AR163&lt;=2,"YES","NO")),IF(G163="POWER",(IF(AR163&lt;=2.5,"YES","NO")),IF(G163="MOTOR",(IF(AR163&lt;=3,"YES","NO")))))</f>
        <v>YES</v>
      </c>
      <c r="AT163" s="257" t="str">
        <f>IF(G163="MOTOR",(SQRT(3)*AH163*O163*((AA163*P163)+(AB163*SIN(ACOS(P163))))*100/(AP163*K163*1000)),"NA")</f>
        <v>NA</v>
      </c>
      <c r="AU163" s="249" t="str">
        <f>IF(G163="MOTOR",IF(AT163&lt;=15,"YES","NO"),"NA")</f>
        <v>NA</v>
      </c>
      <c r="AV163" s="260" t="s">
        <v>473</v>
      </c>
      <c r="AW163" s="260" t="str">
        <f>IF(U163="1C",CONCATENATE(AP163,"R x ",Y163,"kV x ",U163," x ",V163," Sqmm/Phase"),CONCATENATE(AP163,"R x ",0.6,"/1kV x ",U163," x ",V163,(IF(G163="MOTOR","+PE",""))," Sqmm"))</f>
        <v>2R x 0.6/1.0kV x 1C x 630 Sqmm/Phase</v>
      </c>
      <c r="AX163" s="372">
        <f>(IF(K163=400,(IF(U163="1C",(AH163*AP163),(AH163*AP163))),IF(K163=230,(AH163*AP163))))</f>
        <v>52</v>
      </c>
      <c r="AY163" s="547"/>
    </row>
    <row r="164" spans="1:51" s="70" customFormat="1" ht="26.25" customHeight="1">
      <c r="A164" s="376"/>
      <c r="B164" s="376"/>
      <c r="C164" s="376"/>
      <c r="D164" s="242" t="s">
        <v>491</v>
      </c>
      <c r="E164" s="378"/>
      <c r="F164" s="566"/>
      <c r="G164" s="376"/>
      <c r="H164" s="379"/>
      <c r="I164" s="376"/>
      <c r="J164" s="376"/>
      <c r="K164" s="380"/>
      <c r="L164" s="381"/>
      <c r="M164" s="379"/>
      <c r="N164" s="382"/>
      <c r="O164" s="382"/>
      <c r="P164" s="381"/>
      <c r="Q164" s="379"/>
      <c r="R164" s="379"/>
      <c r="S164" s="379"/>
      <c r="T164" s="381"/>
      <c r="U164" s="379"/>
      <c r="V164" s="381"/>
      <c r="W164" s="381"/>
      <c r="X164" s="381"/>
      <c r="Y164" s="381"/>
      <c r="Z164" s="383"/>
      <c r="AA164" s="384"/>
      <c r="AB164" s="384"/>
      <c r="AC164" s="345"/>
      <c r="AD164" s="345"/>
      <c r="AE164" s="345"/>
      <c r="AF164" s="345"/>
      <c r="AG164" s="345"/>
      <c r="AH164" s="385"/>
      <c r="AI164" s="383"/>
      <c r="AJ164" s="382"/>
      <c r="AK164" s="383"/>
      <c r="AL164" s="383"/>
      <c r="AM164" s="383"/>
      <c r="AN164" s="386"/>
      <c r="AO164" s="379"/>
      <c r="AP164" s="380"/>
      <c r="AQ164" s="379"/>
      <c r="AR164" s="386"/>
      <c r="AS164" s="381"/>
      <c r="AT164" s="386"/>
      <c r="AU164" s="386"/>
      <c r="AV164" s="387"/>
      <c r="AW164" s="387"/>
      <c r="AX164" s="381"/>
      <c r="AY164" s="388"/>
    </row>
    <row r="165" spans="1:51" ht="20.149999999999999" customHeight="1">
      <c r="A165" s="243">
        <f>1+A163</f>
        <v>118</v>
      </c>
      <c r="B165" s="373" t="s">
        <v>492</v>
      </c>
      <c r="C165" s="243" t="str">
        <f t="shared" ref="C165:C170" si="454">$D$164</f>
        <v>EPMCC-1</v>
      </c>
      <c r="D165" s="546" t="s">
        <v>1028</v>
      </c>
      <c r="E165" s="595" t="s">
        <v>1030</v>
      </c>
      <c r="F165" s="243" t="s">
        <v>28</v>
      </c>
      <c r="G165" s="243" t="s">
        <v>311</v>
      </c>
      <c r="H165" s="421">
        <v>11</v>
      </c>
      <c r="I165" s="243" t="s">
        <v>299</v>
      </c>
      <c r="J165" s="243" t="s">
        <v>300</v>
      </c>
      <c r="K165" s="255">
        <v>400</v>
      </c>
      <c r="L165" s="249">
        <v>0.75</v>
      </c>
      <c r="M165" s="256">
        <v>0.85299999999999998</v>
      </c>
      <c r="N165" s="248">
        <f t="shared" ref="N165:N174" si="455">IF(I165="kVA",IF(J165="3Ph",(H165*1000/(1.732*M165*K165)),(H165*1000/(M165*K165))),IF(I165="kW",IF(J165="3Ph",(H165*1000/(1.732*M165*K165*L165)),(H165*1000/(M165*K165*L165)))))</f>
        <v>24.818441816998739</v>
      </c>
      <c r="O165" s="248">
        <f t="shared" ref="O165:O208" si="456">IF(G165="MOTOR",(6*N165),IF(G165="VFD",(1*N165),0))</f>
        <v>148.91065090199243</v>
      </c>
      <c r="P165" s="249">
        <f t="shared" ref="P165:P174" si="457">IF(G165="MOTOR",0.2,"0.00")</f>
        <v>0.2</v>
      </c>
      <c r="Q165" s="256">
        <v>50</v>
      </c>
      <c r="R165" s="256">
        <v>0</v>
      </c>
      <c r="S165" s="256">
        <f t="shared" ref="S165:S174" si="458">(Q165*1000*SQRT(R165)/143)</f>
        <v>0</v>
      </c>
      <c r="T165" s="249" t="s">
        <v>131</v>
      </c>
      <c r="U165" s="256" t="s">
        <v>302</v>
      </c>
      <c r="V165" s="249">
        <v>25</v>
      </c>
      <c r="W165" s="249" t="str">
        <f t="shared" ref="W165:W174" si="459">CONCATENATE(U165," X ",V165)</f>
        <v>3C X 25</v>
      </c>
      <c r="X165" s="249" t="str">
        <f t="shared" ref="X165:X173" si="460">(IF(J165="1Ph",W165,IF(J165="3Ph",(IF(G165="MOTOR",(CONCATENATE(W165,"+PE")),W165)))))</f>
        <v>3C X 25+PE</v>
      </c>
      <c r="Y165" s="249" t="s">
        <v>314</v>
      </c>
      <c r="Z165" s="250">
        <f>IF(T165="AIR",VLOOKUP(W165,'Catalogue Aluminium'!$B$9:$G$91,2,FALSE),IF(T165="GROUND",VLOOKUP(W165,'Catalogue Aluminium'!$B$9:$G$91,3,FALSE),IF(T165="DUCT",VLOOKUP(W165,'Catalogue Aluminium'!$B$9:$G$91,4,FALSE),IF(T165="TRENCH",VLOOKUP(W165,'Catalogue Aluminium'!$B$9:$G$91,2,FALSE)))))</f>
        <v>95</v>
      </c>
      <c r="AA165" s="251">
        <f>VLOOKUP(W165,'Catalogue Aluminium'!$B$9:$G$91,5,FALSE)</f>
        <v>1.54</v>
      </c>
      <c r="AB165" s="251">
        <f>VLOOKUP(W165,'Catalogue Aluminium'!$B$9:$G$91,6,FALSE)</f>
        <v>8.1600000000000006E-2</v>
      </c>
      <c r="AC165" s="611">
        <f t="shared" ref="AC165:AC172" si="461">32+6</f>
        <v>38</v>
      </c>
      <c r="AD165" s="610">
        <f>40+30+28+29+10+15</f>
        <v>152</v>
      </c>
      <c r="AE165" s="294">
        <v>10</v>
      </c>
      <c r="AF165" s="294">
        <v>8</v>
      </c>
      <c r="AG165" s="294">
        <f t="shared" ref="AG165:AG173" si="462">ROUNDUP((SUM(AC165:AF165)*0.1),0)</f>
        <v>21</v>
      </c>
      <c r="AH165" s="253">
        <f t="shared" ref="AH165:AH173" si="463">SUM(AC165:AG165)</f>
        <v>229</v>
      </c>
      <c r="AI165" s="250">
        <f>IF(T165="AIR",'Catalogue Aluminium'!$K$9,IF(T165="TRENCH",'Catalogue Aluminium'!$K$12,"NA"))</f>
        <v>0.89</v>
      </c>
      <c r="AJ165" s="248">
        <f>IF(T165="Air",(IF(U165="1C",'Catalogue Aluminium'!$L$9,'Catalogue Aluminium'!$M$9)),IF(T165="DUCT",(IF($U165="1C",'Catalogue Aluminium'!$L$10,'Catalogue Aluminium'!$M$10)),IF(T165="GROUND",(IF($U165="1C",'Catalogue Aluminium'!$L$11,'Catalogue Aluminium'!$M$11)),IF(T165="TRENCH",(IF($U165="1C",'Catalogue Aluminium'!$L$12,'Catalogue Aluminium'!$M$12))))))</f>
        <v>0.66</v>
      </c>
      <c r="AK165" s="250" t="str">
        <f>IF(T165="Air",'Catalogue Aluminium'!$N$9,IF(T165="GROUND",'Catalogue Aluminium'!$N$10,IF(T165="DUCT",'Catalogue Aluminium'!$N$11,IF(T165="TRENCH",'Catalogue Aluminium'!$N$12,"NA"))))</f>
        <v>NA</v>
      </c>
      <c r="AL165" s="250" t="str">
        <f>IF(T165="Air",(IF(U165="1C",'Catalogue Aluminium'!$O$9,'Catalogue Aluminium'!$P$9)),IF(T165="DUCT",(IF($U165="1C",'Catalogue Aluminium'!$O$10,'Catalogue Aluminium'!$P$10)),IF(T165="GROUND",(IF($U165="1C",'Catalogue Aluminium'!$O$11,'Catalogue Aluminium'!$P$11)),IF(T165="TRENCH",(IF($U165="1C",'Catalogue Aluminium'!$O$12,'Catalogue Aluminium'!$P$12))))))</f>
        <v>NA</v>
      </c>
      <c r="AM165" s="250" t="str">
        <f>IF(T165="AIR","NA",IF(T165="TRENCH","NA",IF(T165="DUCT",IF(U165="1C",VLOOKUP(V165,'Catalogue Aluminium'!$Q$9:$S$28,2,FALSE),VLOOKUP(V165,'Catalogue Aluminium'!$Q$9:$S$28,3)),IF(T165="GROUND",IF(U165="1C",VLOOKUP(V165,'Catalogue Aluminium'!$Q$9:$S$28,2,FALSE),VLOOKUP(V165,'Catalogue Aluminium'!$Q$9:$S$28,3))))))</f>
        <v>NA</v>
      </c>
      <c r="AN165" s="257">
        <f t="shared" ref="AN165:AN173" si="464">IF(T165="AIR",AI165*AJ165,IF(T165="TRENCH",AI165*AJ165,IF(T165="DUCT",AJ165*AK165*AL165*AM165,IF(T165="GROUND",AJ165*AK165*AL165*AM165))))</f>
        <v>0.58740000000000003</v>
      </c>
      <c r="AO165" s="256">
        <f t="shared" ref="AO165:AO173" si="465">Z165*AN165</f>
        <v>55.803000000000004</v>
      </c>
      <c r="AP165" s="255">
        <f t="shared" ref="AP165:AP236" si="466">CEILING(((N165)/AO165),1)</f>
        <v>1</v>
      </c>
      <c r="AQ165" s="256" t="str">
        <f t="shared" ref="AQ165:AQ173" si="467">IF(AO165*AP165&gt;=N165,"YES","NO")</f>
        <v>YES</v>
      </c>
      <c r="AR165" s="257">
        <f t="shared" ref="AR165:AR173" si="468">SQRT(3)*AH165*N165*((AA165*L165)+(AB165*SIN(ACOS(L165))))*100/(AP165*K165*1000)</f>
        <v>2.9752766176713088</v>
      </c>
      <c r="AS165" s="249" t="str">
        <f t="shared" ref="AS165:AS173" si="469">IF(G165="INCOMER",(IF(AR165&lt;=2,"YES","NO")),IF(G165="POWER",(IF(AR165&lt;=2.5,"YES","NO")),IF(G165="MOTOR",(IF(AR165&lt;=3,"YES","NO")))))</f>
        <v>YES</v>
      </c>
      <c r="AT165" s="257">
        <f t="shared" ref="AT165:AT174" si="470">IF(G165="MOTOR",(SQRT(3)*AH165*O165*((AA165*P165)+(AB165*SIN(ACOS(P165))))*100/(AP165*K165*1000)),"NA")</f>
        <v>5.7284765874260737</v>
      </c>
      <c r="AU165" s="249" t="str">
        <f t="shared" ref="AU165:AU174" si="471">IF(G165="MOTOR",IF(AT165&lt;=15,"YES","NO"),"NA")</f>
        <v>YES</v>
      </c>
      <c r="AV165" s="260" t="str">
        <f t="shared" ref="AV165:AV174" si="472">IF(U165="1C",CONCATENATE(AP165,"R x ",Y165,"kV x ",U165," x ",V165," Sqmm/Phase"),CONCATENATE(AP165,"R x ",0.6,"/1kV x ",U165," x ",V165," Sqmm"))</f>
        <v>1R x 0.6/1kV x 3C x 25 Sqmm</v>
      </c>
      <c r="AW165" s="260" t="str">
        <f t="shared" ref="AW165:AW174" si="473">IF(U165="1C",CONCATENATE(AP165,"R x ",Y165,"kV x ",U165," x ",V165," Sqmm/Phase"),CONCATENATE(AP165,"R x ",0.6,"/1kV x ",U165," x ",V165,(IF(G165="MOTOR","+PE",""))," Sqmm"))</f>
        <v>1R x 0.6/1kV x 3C x 25+PE Sqmm</v>
      </c>
      <c r="AX165" s="249">
        <f t="shared" ref="AX165:AX174" si="474">(IF(K165=400,(IF(U165="1C",(4*AH165*AP165),(AH165*AP165))),IF(K165=230,(AH165*AP165))))</f>
        <v>229</v>
      </c>
      <c r="AY165" s="261"/>
    </row>
    <row r="166" spans="1:51" ht="20.149999999999999" customHeight="1">
      <c r="A166" s="243">
        <f t="shared" ref="A166:A174" si="475">1+A165</f>
        <v>119</v>
      </c>
      <c r="B166" s="373" t="s">
        <v>493</v>
      </c>
      <c r="C166" s="243" t="str">
        <f t="shared" si="454"/>
        <v>EPMCC-1</v>
      </c>
      <c r="D166" s="546" t="s">
        <v>1029</v>
      </c>
      <c r="E166" s="595" t="s">
        <v>1030</v>
      </c>
      <c r="F166" s="243" t="s">
        <v>29</v>
      </c>
      <c r="G166" s="243" t="s">
        <v>311</v>
      </c>
      <c r="H166" s="421">
        <v>11</v>
      </c>
      <c r="I166" s="243" t="s">
        <v>299</v>
      </c>
      <c r="J166" s="243" t="s">
        <v>300</v>
      </c>
      <c r="K166" s="255">
        <v>400</v>
      </c>
      <c r="L166" s="249">
        <v>0.75</v>
      </c>
      <c r="M166" s="256">
        <v>0.85299999999999998</v>
      </c>
      <c r="N166" s="248">
        <f t="shared" si="455"/>
        <v>24.818441816998739</v>
      </c>
      <c r="O166" s="248">
        <f t="shared" si="456"/>
        <v>148.91065090199243</v>
      </c>
      <c r="P166" s="249">
        <f t="shared" si="457"/>
        <v>0.2</v>
      </c>
      <c r="Q166" s="256">
        <v>50</v>
      </c>
      <c r="R166" s="256">
        <v>0</v>
      </c>
      <c r="S166" s="256">
        <f t="shared" si="458"/>
        <v>0</v>
      </c>
      <c r="T166" s="249" t="s">
        <v>131</v>
      </c>
      <c r="U166" s="256" t="s">
        <v>302</v>
      </c>
      <c r="V166" s="249">
        <v>25</v>
      </c>
      <c r="W166" s="249" t="str">
        <f t="shared" si="459"/>
        <v>3C X 25</v>
      </c>
      <c r="X166" s="249" t="str">
        <f t="shared" si="460"/>
        <v>3C X 25+PE</v>
      </c>
      <c r="Y166" s="249" t="s">
        <v>314</v>
      </c>
      <c r="Z166" s="250">
        <f>IF(T166="AIR",VLOOKUP(W166,'Catalogue Aluminium'!$B$9:$G$91,2,FALSE),IF(T166="GROUND",VLOOKUP(W166,'Catalogue Aluminium'!$B$9:$G$91,3,FALSE),IF(T166="DUCT",VLOOKUP(W166,'Catalogue Aluminium'!$B$9:$G$91,4,FALSE),IF(T166="TRENCH",VLOOKUP(W166,'Catalogue Aluminium'!$B$9:$G$91,2,FALSE)))))</f>
        <v>95</v>
      </c>
      <c r="AA166" s="251">
        <f>VLOOKUP(W166,'Catalogue Aluminium'!$B$9:$G$91,5,FALSE)</f>
        <v>1.54</v>
      </c>
      <c r="AB166" s="251">
        <f>VLOOKUP(W166,'Catalogue Aluminium'!$B$9:$G$91,6,FALSE)</f>
        <v>8.1600000000000006E-2</v>
      </c>
      <c r="AC166" s="611">
        <f>24+6</f>
        <v>30</v>
      </c>
      <c r="AD166" s="610">
        <f>40+30+28+29+10+15+10</f>
        <v>162</v>
      </c>
      <c r="AE166" s="294">
        <v>10</v>
      </c>
      <c r="AF166" s="294">
        <v>8</v>
      </c>
      <c r="AG166" s="294">
        <f t="shared" si="462"/>
        <v>21</v>
      </c>
      <c r="AH166" s="253">
        <v>230</v>
      </c>
      <c r="AI166" s="250">
        <f>IF(T166="AIR",'Catalogue Aluminium'!$K$9,IF(T166="TRENCH",'Catalogue Aluminium'!$K$12,"NA"))</f>
        <v>0.89</v>
      </c>
      <c r="AJ166" s="248">
        <f>IF(T166="Air",(IF(U166="1C",'Catalogue Aluminium'!$L$9,'Catalogue Aluminium'!$M$9)),IF(T166="DUCT",(IF($U166="1C",'Catalogue Aluminium'!$L$10,'Catalogue Aluminium'!$M$10)),IF(T166="GROUND",(IF($U166="1C",'Catalogue Aluminium'!$L$11,'Catalogue Aluminium'!$M$11)),IF(T166="TRENCH",(IF($U166="1C",'Catalogue Aluminium'!$L$12,'Catalogue Aluminium'!$M$12))))))</f>
        <v>0.66</v>
      </c>
      <c r="AK166" s="250" t="str">
        <f>IF(T166="Air",'Catalogue Aluminium'!$N$9,IF(T166="GROUND",'Catalogue Aluminium'!$N$10,IF(T166="DUCT",'Catalogue Aluminium'!$N$11,IF(T166="TRENCH",'Catalogue Aluminium'!$N$12,"NA"))))</f>
        <v>NA</v>
      </c>
      <c r="AL166" s="250" t="str">
        <f>IF(T166="Air",(IF(U166="1C",'Catalogue Aluminium'!$O$9,'Catalogue Aluminium'!$P$9)),IF(T166="DUCT",(IF($U166="1C",'Catalogue Aluminium'!$O$10,'Catalogue Aluminium'!$P$10)),IF(T166="GROUND",(IF($U166="1C",'Catalogue Aluminium'!$O$11,'Catalogue Aluminium'!$P$11)),IF(T166="TRENCH",(IF($U166="1C",'Catalogue Aluminium'!$O$12,'Catalogue Aluminium'!$P$12))))))</f>
        <v>NA</v>
      </c>
      <c r="AM166" s="250" t="str">
        <f>IF(T166="AIR","NA",IF(T166="TRENCH","NA",IF(T166="DUCT",IF(U166="1C",VLOOKUP(V166,'Catalogue Aluminium'!$Q$9:$S$28,2,FALSE),VLOOKUP(V166,'Catalogue Aluminium'!$Q$9:$S$28,3)),IF(T166="GROUND",IF(U166="1C",VLOOKUP(V166,'Catalogue Aluminium'!$Q$9:$S$28,2,FALSE),VLOOKUP(V166,'Catalogue Aluminium'!$Q$9:$S$28,3))))))</f>
        <v>NA</v>
      </c>
      <c r="AN166" s="257">
        <f t="shared" si="464"/>
        <v>0.58740000000000003</v>
      </c>
      <c r="AO166" s="256">
        <f t="shared" si="465"/>
        <v>55.803000000000004</v>
      </c>
      <c r="AP166" s="255">
        <f t="shared" si="466"/>
        <v>1</v>
      </c>
      <c r="AQ166" s="256" t="str">
        <f t="shared" si="467"/>
        <v>YES</v>
      </c>
      <c r="AR166" s="257">
        <f t="shared" si="468"/>
        <v>2.988269091984284</v>
      </c>
      <c r="AS166" s="249" t="str">
        <f t="shared" si="469"/>
        <v>YES</v>
      </c>
      <c r="AT166" s="257">
        <f t="shared" si="470"/>
        <v>5.7534917690305551</v>
      </c>
      <c r="AU166" s="249" t="str">
        <f t="shared" si="471"/>
        <v>YES</v>
      </c>
      <c r="AV166" s="260" t="str">
        <f t="shared" si="472"/>
        <v>1R x 0.6/1kV x 3C x 25 Sqmm</v>
      </c>
      <c r="AW166" s="260" t="str">
        <f t="shared" si="473"/>
        <v>1R x 0.6/1kV x 3C x 25+PE Sqmm</v>
      </c>
      <c r="AX166" s="249">
        <f t="shared" si="474"/>
        <v>230</v>
      </c>
      <c r="AY166" s="261"/>
    </row>
    <row r="167" spans="1:51" ht="42.75" customHeight="1">
      <c r="A167" s="243">
        <f t="shared" si="475"/>
        <v>120</v>
      </c>
      <c r="B167" s="390" t="s">
        <v>494</v>
      </c>
      <c r="C167" s="243" t="str">
        <f t="shared" si="454"/>
        <v>EPMCC-1</v>
      </c>
      <c r="D167" s="306" t="s">
        <v>495</v>
      </c>
      <c r="E167" s="320" t="s">
        <v>310</v>
      </c>
      <c r="F167" s="243" t="s">
        <v>28</v>
      </c>
      <c r="G167" s="243" t="s">
        <v>311</v>
      </c>
      <c r="H167" s="256">
        <v>22</v>
      </c>
      <c r="I167" s="243" t="s">
        <v>299</v>
      </c>
      <c r="J167" s="243" t="s">
        <v>300</v>
      </c>
      <c r="K167" s="255">
        <v>400</v>
      </c>
      <c r="L167" s="249">
        <v>0.84</v>
      </c>
      <c r="M167" s="256">
        <v>0.92700000000000005</v>
      </c>
      <c r="N167" s="248">
        <f t="shared" si="455"/>
        <v>40.780803802396221</v>
      </c>
      <c r="O167" s="248">
        <f t="shared" si="456"/>
        <v>244.68482281437733</v>
      </c>
      <c r="P167" s="249">
        <f t="shared" si="457"/>
        <v>0.2</v>
      </c>
      <c r="Q167" s="256">
        <v>50</v>
      </c>
      <c r="R167" s="256">
        <v>0</v>
      </c>
      <c r="S167" s="256">
        <f t="shared" si="458"/>
        <v>0</v>
      </c>
      <c r="T167" s="249" t="s">
        <v>131</v>
      </c>
      <c r="U167" s="256" t="s">
        <v>302</v>
      </c>
      <c r="V167" s="249">
        <v>95</v>
      </c>
      <c r="W167" s="249" t="str">
        <f t="shared" si="459"/>
        <v>3C X 95</v>
      </c>
      <c r="X167" s="249" t="str">
        <f t="shared" si="460"/>
        <v>3C X 95+PE</v>
      </c>
      <c r="Y167" s="249" t="s">
        <v>314</v>
      </c>
      <c r="Z167" s="250">
        <f>IF(T167="AIR",VLOOKUP(W167,'Catalogue Aluminium'!$B$9:$G$91,2,FALSE),IF(T167="GROUND",VLOOKUP(W167,'Catalogue Aluminium'!$B$9:$G$91,3,FALSE),IF(T167="DUCT",VLOOKUP(W167,'Catalogue Aluminium'!$B$9:$G$91,4,FALSE),IF(T167="TRENCH",VLOOKUP(W167,'Catalogue Aluminium'!$B$9:$G$91,2,FALSE)))))</f>
        <v>221</v>
      </c>
      <c r="AA167" s="251">
        <f>VLOOKUP(W167,'Catalogue Aluminium'!$B$9:$G$91,5,FALSE)</f>
        <v>0.41</v>
      </c>
      <c r="AB167" s="251">
        <f>VLOOKUP(W167,'Catalogue Aluminium'!$B$9:$G$91,6,FALSE)</f>
        <v>7.3400000000000007E-2</v>
      </c>
      <c r="AC167" s="323">
        <f t="shared" si="461"/>
        <v>38</v>
      </c>
      <c r="AD167" s="294">
        <v>317</v>
      </c>
      <c r="AE167" s="294">
        <f t="shared" ref="AE167:AE174" si="476">11+8+8+11</f>
        <v>38</v>
      </c>
      <c r="AF167" s="294">
        <v>8</v>
      </c>
      <c r="AG167" s="294">
        <f t="shared" si="462"/>
        <v>41</v>
      </c>
      <c r="AH167" s="253">
        <f t="shared" si="463"/>
        <v>442</v>
      </c>
      <c r="AI167" s="250">
        <f>IF(T167="AIR",'Catalogue Aluminium'!$K$9,IF(T167="TRENCH",'Catalogue Aluminium'!$K$12,"NA"))</f>
        <v>0.89</v>
      </c>
      <c r="AJ167" s="248">
        <f>IF(T167="Air",(IF(U167="1C",'Catalogue Aluminium'!$L$9,'Catalogue Aluminium'!$M$9)),IF(T167="DUCT",(IF($U167="1C",'Catalogue Aluminium'!$L$10,'Catalogue Aluminium'!$M$10)),IF(T167="GROUND",(IF($U167="1C",'Catalogue Aluminium'!$L$11,'Catalogue Aluminium'!$M$11)),IF(T167="TRENCH",(IF($U167="1C",'Catalogue Aluminium'!$L$12,'Catalogue Aluminium'!$M$12))))))</f>
        <v>0.66</v>
      </c>
      <c r="AK167" s="250" t="str">
        <f>IF(T167="Air",'Catalogue Aluminium'!$N$9,IF(T167="GROUND",'Catalogue Aluminium'!$N$10,IF(T167="DUCT",'Catalogue Aluminium'!$N$11,IF(T167="TRENCH",'Catalogue Aluminium'!$N$12,"NA"))))</f>
        <v>NA</v>
      </c>
      <c r="AL167" s="250" t="str">
        <f>IF(T167="Air",(IF(U167="1C",'Catalogue Aluminium'!$O$9,'Catalogue Aluminium'!$P$9)),IF(T167="DUCT",(IF($U167="1C",'Catalogue Aluminium'!$O$10,'Catalogue Aluminium'!$P$10)),IF(T167="GROUND",(IF($U167="1C",'Catalogue Aluminium'!$O$11,'Catalogue Aluminium'!$P$11)),IF(T167="TRENCH",(IF($U167="1C",'Catalogue Aluminium'!$O$12,'Catalogue Aluminium'!$P$12))))))</f>
        <v>NA</v>
      </c>
      <c r="AM167" s="250" t="str">
        <f>IF(T167="AIR","NA",IF(T167="TRENCH","NA",IF(T167="DUCT",IF(U167="1C",VLOOKUP(V167,'Catalogue Aluminium'!$Q$9:$S$28,2,FALSE),VLOOKUP(V167,'Catalogue Aluminium'!$Q$9:$S$28,3)),IF(T167="GROUND",IF(U167="1C",VLOOKUP(V167,'Catalogue Aluminium'!$Q$9:$S$28,2,FALSE),VLOOKUP(V167,'Catalogue Aluminium'!$Q$9:$S$28,3))))))</f>
        <v>NA</v>
      </c>
      <c r="AN167" s="257">
        <f t="shared" si="464"/>
        <v>0.58740000000000003</v>
      </c>
      <c r="AO167" s="256">
        <f t="shared" si="465"/>
        <v>129.81540000000001</v>
      </c>
      <c r="AP167" s="255">
        <f t="shared" si="466"/>
        <v>1</v>
      </c>
      <c r="AQ167" s="256" t="str">
        <f t="shared" si="467"/>
        <v>YES</v>
      </c>
      <c r="AR167" s="257">
        <f t="shared" si="468"/>
        <v>2.9989226035467222</v>
      </c>
      <c r="AS167" s="249" t="str">
        <f t="shared" si="469"/>
        <v>YES</v>
      </c>
      <c r="AT167" s="257">
        <f t="shared" si="470"/>
        <v>7.2080299164494415</v>
      </c>
      <c r="AU167" s="249" t="str">
        <f t="shared" si="471"/>
        <v>YES</v>
      </c>
      <c r="AV167" s="260" t="str">
        <f t="shared" si="472"/>
        <v>1R x 0.6/1kV x 3C x 95 Sqmm</v>
      </c>
      <c r="AW167" s="260" t="str">
        <f t="shared" si="473"/>
        <v>1R x 0.6/1kV x 3C x 95+PE Sqmm</v>
      </c>
      <c r="AX167" s="249">
        <f t="shared" si="474"/>
        <v>442</v>
      </c>
      <c r="AY167" s="564" t="s">
        <v>973</v>
      </c>
    </row>
    <row r="168" spans="1:51" s="576" customFormat="1" ht="20.149999999999999" customHeight="1">
      <c r="A168" s="298">
        <f t="shared" si="475"/>
        <v>121</v>
      </c>
      <c r="B168" s="596"/>
      <c r="C168" s="298" t="str">
        <f t="shared" si="454"/>
        <v>EPMCC-1</v>
      </c>
      <c r="D168" s="597" t="s">
        <v>1031</v>
      </c>
      <c r="E168" s="595" t="s">
        <v>310</v>
      </c>
      <c r="F168" s="298" t="s">
        <v>28</v>
      </c>
      <c r="G168" s="298" t="s">
        <v>298</v>
      </c>
      <c r="H168" s="573">
        <v>0.06</v>
      </c>
      <c r="I168" s="298" t="s">
        <v>299</v>
      </c>
      <c r="J168" s="298" t="s">
        <v>313</v>
      </c>
      <c r="K168" s="423">
        <v>230</v>
      </c>
      <c r="L168" s="301">
        <v>0.85</v>
      </c>
      <c r="M168" s="421">
        <v>0.95</v>
      </c>
      <c r="N168" s="299">
        <f t="shared" ref="N168" si="477">IF(I168="kVA",IF(J168="3Ph",(H168*1000/(1.732*M168*K168)),(H168*1000/(M168*K168))),IF(I168="kW",IF(J168="3Ph",(H168*1000/(1.732*M168*K168*L168)),(H168*1000/(M168*K168*L168)))))</f>
        <v>0.32305828509893664</v>
      </c>
      <c r="O168" s="299">
        <f t="shared" ref="O168" si="478">IF(G168="MOTOR",(6*N168),IF(G168="VFD",(1*N168),0))</f>
        <v>0</v>
      </c>
      <c r="P168" s="301" t="str">
        <f t="shared" ref="P168" si="479">IF(G168="MOTOR",0.2,"0.00")</f>
        <v>0.00</v>
      </c>
      <c r="Q168" s="421">
        <v>65</v>
      </c>
      <c r="R168" s="421">
        <v>0</v>
      </c>
      <c r="S168" s="421">
        <f t="shared" ref="S168" si="480">(Q168*1000*SQRT(R168)/143)</f>
        <v>0</v>
      </c>
      <c r="T168" s="301" t="s">
        <v>131</v>
      </c>
      <c r="U168" s="421" t="s">
        <v>302</v>
      </c>
      <c r="V168" s="301">
        <v>2.5</v>
      </c>
      <c r="W168" s="301" t="str">
        <f t="shared" ref="W168" si="481">CONCATENATE(U168," X ",V168)</f>
        <v>3C X 2.5</v>
      </c>
      <c r="X168" s="301" t="str">
        <f t="shared" ref="X168" si="482">(IF(J168="1Ph",W168,IF(J168="3Ph",(IF(G168="MOTOR",(CONCATENATE(W168,"+PE")),W168)))))</f>
        <v>3C X 2.5</v>
      </c>
      <c r="Y168" s="301" t="s">
        <v>314</v>
      </c>
      <c r="Z168" s="300">
        <f>IF(T168="AIR",VLOOKUP(W168,'Catalogue Aluminium'!$B$9:$G$91,2,FALSE),IF(T168="GROUND",VLOOKUP(W168,'Catalogue Aluminium'!$B$9:$G$91,3,FALSE),IF(T168="DUCT",VLOOKUP(W168,'Catalogue Aluminium'!$B$9:$G$91,4,FALSE),IF(T168="TRENCH",VLOOKUP(W168,'Catalogue Aluminium'!$B$9:$G$91,2,FALSE)))))</f>
        <v>28</v>
      </c>
      <c r="AA168" s="302">
        <f>VLOOKUP(W168,'Catalogue Aluminium'!$B$9:$G$91,5,FALSE)</f>
        <v>9.48</v>
      </c>
      <c r="AB168" s="302">
        <f>VLOOKUP(W168,'Catalogue Aluminium'!$B$9:$G$91,6,FALSE)</f>
        <v>0.1007</v>
      </c>
      <c r="AC168" s="598">
        <f t="shared" si="461"/>
        <v>38</v>
      </c>
      <c r="AD168" s="301">
        <f>40+50+38+50+17+(27+30+9+18+40+3.5)</f>
        <v>322.5</v>
      </c>
      <c r="AE168" s="301">
        <f t="shared" si="476"/>
        <v>38</v>
      </c>
      <c r="AF168" s="301">
        <v>8</v>
      </c>
      <c r="AG168" s="301">
        <f t="shared" ref="AG168" si="483">ROUNDUP((SUM(AC168:AF168)*0.1),0)</f>
        <v>41</v>
      </c>
      <c r="AH168" s="574">
        <f t="shared" ref="AH168" si="484">SUM(AC168:AG168)</f>
        <v>447.5</v>
      </c>
      <c r="AI168" s="300">
        <f>IF(T168="AIR",'Catalogue Aluminium'!$K$9,IF(T168="TRENCH",'Catalogue Aluminium'!$K$12,"NA"))</f>
        <v>0.89</v>
      </c>
      <c r="AJ168" s="299">
        <f>IF(T168="Air",(IF(U168="1C",'Catalogue Aluminium'!$L$9,'Catalogue Aluminium'!$M$9)),IF(T168="DUCT",(IF($U168="1C",'Catalogue Aluminium'!$L$10,'Catalogue Aluminium'!$M$10)),IF(T168="GROUND",(IF($U168="1C",'Catalogue Aluminium'!$L$11,'Catalogue Aluminium'!$M$11)),IF(T168="TRENCH",(IF($U168="1C",'Catalogue Aluminium'!$L$12,'Catalogue Aluminium'!$M$12))))))</f>
        <v>0.66</v>
      </c>
      <c r="AK168" s="300" t="str">
        <f>IF(T168="Air",'Catalogue Aluminium'!$N$9,IF(T168="GROUND",'Catalogue Aluminium'!$N$10,IF(T168="DUCT",'Catalogue Aluminium'!$N$11,IF(T168="TRENCH",'Catalogue Aluminium'!$N$12,"NA"))))</f>
        <v>NA</v>
      </c>
      <c r="AL168" s="300" t="str">
        <f>IF(T168="Air",(IF(U168="1C",'Catalogue Aluminium'!$O$9,'Catalogue Aluminium'!$P$9)),IF(T168="DUCT",(IF($U168="1C",'Catalogue Aluminium'!$O$10,'Catalogue Aluminium'!$P$10)),IF(T168="GROUND",(IF($U168="1C",'Catalogue Aluminium'!$O$11,'Catalogue Aluminium'!$P$11)),IF(T168="TRENCH",(IF($U168="1C",'Catalogue Aluminium'!$O$12,'Catalogue Aluminium'!$P$12))))))</f>
        <v>NA</v>
      </c>
      <c r="AM168" s="300" t="str">
        <f>IF(T168="AIR","NA",IF(T168="TRENCH","NA",IF(T168="DUCT",IF(U168="1C",VLOOKUP(V168,'Catalogue Aluminium'!$Q$9:$S$28,2,FALSE),VLOOKUP(V168,'Catalogue Aluminium'!$Q$9:$S$28,3)),IF(T168="GROUND",IF(U168="1C",VLOOKUP(V168,'Catalogue Aluminium'!$Q$9:$S$28,2,FALSE),VLOOKUP(V168,'Catalogue Aluminium'!$Q$9:$S$28,3))))))</f>
        <v>NA</v>
      </c>
      <c r="AN168" s="422">
        <f t="shared" ref="AN168" si="485">IF(T168="AIR",AI168*AJ168,IF(T168="TRENCH",AI168*AJ168,IF(T168="DUCT",AJ168*AK168*AL168*AM168,IF(T168="GROUND",AJ168*AK168*AL168*AM168))))</f>
        <v>0.58740000000000003</v>
      </c>
      <c r="AO168" s="421">
        <f t="shared" ref="AO168" si="486">Z168*AN168</f>
        <v>16.447200000000002</v>
      </c>
      <c r="AP168" s="423">
        <f t="shared" si="466"/>
        <v>1</v>
      </c>
      <c r="AQ168" s="421" t="str">
        <f t="shared" ref="AQ168" si="487">IF(AO168*AP168&gt;=N168,"YES","NO")</f>
        <v>YES</v>
      </c>
      <c r="AR168" s="422">
        <f t="shared" ref="AR168" si="488">SQRT(3)*AH168*N168*((AA168*L168)+(AB168*SIN(ACOS(L168))))*100/(AP168*K168*1000)</f>
        <v>0.88304662135055467</v>
      </c>
      <c r="AS168" s="301" t="str">
        <f t="shared" ref="AS168" si="489">IF(G168="INCOMER",(IF(AR168&lt;=2,"YES","NO")),IF(G168="POWER",(IF(AR168&lt;=2.5,"YES","NO")),IF(G168="MOTOR",(IF(AR168&lt;=3,"YES","NO")))))</f>
        <v>YES</v>
      </c>
      <c r="AT168" s="422" t="str">
        <f t="shared" si="470"/>
        <v>NA</v>
      </c>
      <c r="AU168" s="301" t="str">
        <f t="shared" si="471"/>
        <v>NA</v>
      </c>
      <c r="AV168" s="424" t="str">
        <f t="shared" si="472"/>
        <v>1R x 0.6/1kV x 3C x 2.5 Sqmm</v>
      </c>
      <c r="AW168" s="424" t="str">
        <f t="shared" si="473"/>
        <v>1R x 0.6/1kV x 3C x 2.5 Sqmm</v>
      </c>
      <c r="AX168" s="301">
        <f t="shared" si="474"/>
        <v>447.5</v>
      </c>
      <c r="AY168" s="575"/>
    </row>
    <row r="169" spans="1:51" ht="19.5" customHeight="1">
      <c r="A169" s="243">
        <f>1+A168</f>
        <v>122</v>
      </c>
      <c r="B169" s="390" t="s">
        <v>496</v>
      </c>
      <c r="C169" s="243" t="str">
        <f t="shared" si="454"/>
        <v>EPMCC-1</v>
      </c>
      <c r="D169" s="306" t="s">
        <v>497</v>
      </c>
      <c r="E169" s="320" t="s">
        <v>310</v>
      </c>
      <c r="F169" s="243" t="s">
        <v>29</v>
      </c>
      <c r="G169" s="243" t="s">
        <v>311</v>
      </c>
      <c r="H169" s="256">
        <v>22</v>
      </c>
      <c r="I169" s="243" t="s">
        <v>299</v>
      </c>
      <c r="J169" s="243" t="s">
        <v>300</v>
      </c>
      <c r="K169" s="255">
        <v>400</v>
      </c>
      <c r="L169" s="249">
        <v>0.84</v>
      </c>
      <c r="M169" s="256">
        <v>0.92700000000000005</v>
      </c>
      <c r="N169" s="248">
        <f t="shared" si="455"/>
        <v>40.780803802396221</v>
      </c>
      <c r="O169" s="248">
        <f t="shared" si="456"/>
        <v>244.68482281437733</v>
      </c>
      <c r="P169" s="249">
        <f t="shared" si="457"/>
        <v>0.2</v>
      </c>
      <c r="Q169" s="256">
        <v>50</v>
      </c>
      <c r="R169" s="256">
        <v>0</v>
      </c>
      <c r="S169" s="256">
        <f t="shared" si="458"/>
        <v>0</v>
      </c>
      <c r="T169" s="249" t="s">
        <v>131</v>
      </c>
      <c r="U169" s="256" t="s">
        <v>302</v>
      </c>
      <c r="V169" s="249">
        <v>95</v>
      </c>
      <c r="W169" s="249" t="str">
        <f t="shared" si="459"/>
        <v>3C X 95</v>
      </c>
      <c r="X169" s="249" t="str">
        <f t="shared" si="460"/>
        <v>3C X 95+PE</v>
      </c>
      <c r="Y169" s="249" t="s">
        <v>314</v>
      </c>
      <c r="Z169" s="250">
        <f>IF(T169="AIR",VLOOKUP(W169,'Catalogue Aluminium'!$B$9:$G$91,2,FALSE),IF(T169="GROUND",VLOOKUP(W169,'Catalogue Aluminium'!$B$9:$G$91,3,FALSE),IF(T169="DUCT",VLOOKUP(W169,'Catalogue Aluminium'!$B$9:$G$91,4,FALSE),IF(T169="TRENCH",VLOOKUP(W169,'Catalogue Aluminium'!$B$9:$G$91,2,FALSE)))))</f>
        <v>221</v>
      </c>
      <c r="AA169" s="251">
        <f>VLOOKUP(W169,'Catalogue Aluminium'!$B$9:$G$91,5,FALSE)</f>
        <v>0.41</v>
      </c>
      <c r="AB169" s="251">
        <f>VLOOKUP(W169,'Catalogue Aluminium'!$B$9:$G$91,6,FALSE)</f>
        <v>7.3400000000000007E-2</v>
      </c>
      <c r="AC169" s="323">
        <f>24+6</f>
        <v>30</v>
      </c>
      <c r="AD169" s="294">
        <f>40+50+38+50+17+(27+30+9+18+40+3.5)</f>
        <v>322.5</v>
      </c>
      <c r="AE169" s="294">
        <f t="shared" si="476"/>
        <v>38</v>
      </c>
      <c r="AF169" s="294">
        <v>8</v>
      </c>
      <c r="AG169" s="294">
        <f t="shared" si="462"/>
        <v>40</v>
      </c>
      <c r="AH169" s="253">
        <f t="shared" si="463"/>
        <v>438.5</v>
      </c>
      <c r="AI169" s="250">
        <f>IF(T169="AIR",'Catalogue Aluminium'!$K$9,IF(T169="TRENCH",'Catalogue Aluminium'!$K$12,"NA"))</f>
        <v>0.89</v>
      </c>
      <c r="AJ169" s="248">
        <f>IF(T169="Air",(IF(U169="1C",'Catalogue Aluminium'!$L$9,'Catalogue Aluminium'!$M$9)),IF(T169="DUCT",(IF($U169="1C",'Catalogue Aluminium'!$L$10,'Catalogue Aluminium'!$M$10)),IF(T169="GROUND",(IF($U169="1C",'Catalogue Aluminium'!$L$11,'Catalogue Aluminium'!$M$11)),IF(T169="TRENCH",(IF($U169="1C",'Catalogue Aluminium'!$L$12,'Catalogue Aluminium'!$M$12))))))</f>
        <v>0.66</v>
      </c>
      <c r="AK169" s="250" t="str">
        <f>IF(T169="Air",'Catalogue Aluminium'!$N$9,IF(T169="GROUND",'Catalogue Aluminium'!$N$10,IF(T169="DUCT",'Catalogue Aluminium'!$N$11,IF(T169="TRENCH",'Catalogue Aluminium'!$N$12,"NA"))))</f>
        <v>NA</v>
      </c>
      <c r="AL169" s="250" t="str">
        <f>IF(T169="Air",(IF(U169="1C",'Catalogue Aluminium'!$O$9,'Catalogue Aluminium'!$P$9)),IF(T169="DUCT",(IF($U169="1C",'Catalogue Aluminium'!$O$10,'Catalogue Aluminium'!$P$10)),IF(T169="GROUND",(IF($U169="1C",'Catalogue Aluminium'!$O$11,'Catalogue Aluminium'!$P$11)),IF(T169="TRENCH",(IF($U169="1C",'Catalogue Aluminium'!$O$12,'Catalogue Aluminium'!$P$12))))))</f>
        <v>NA</v>
      </c>
      <c r="AM169" s="250" t="str">
        <f>IF(T169="AIR","NA",IF(T169="TRENCH","NA",IF(T169="DUCT",IF(U169="1C",VLOOKUP(V169,'Catalogue Aluminium'!$Q$9:$S$28,2,FALSE),VLOOKUP(V169,'Catalogue Aluminium'!$Q$9:$S$28,3)),IF(T169="GROUND",IF(U169="1C",VLOOKUP(V169,'Catalogue Aluminium'!$Q$9:$S$28,2,FALSE),VLOOKUP(V169,'Catalogue Aluminium'!$Q$9:$S$28,3))))))</f>
        <v>NA</v>
      </c>
      <c r="AN169" s="257">
        <f t="shared" si="464"/>
        <v>0.58740000000000003</v>
      </c>
      <c r="AO169" s="256">
        <f t="shared" si="465"/>
        <v>129.81540000000001</v>
      </c>
      <c r="AP169" s="255">
        <f t="shared" si="466"/>
        <v>1</v>
      </c>
      <c r="AQ169" s="256" t="str">
        <f t="shared" si="467"/>
        <v>YES</v>
      </c>
      <c r="AR169" s="257">
        <f t="shared" si="468"/>
        <v>2.9751754788580032</v>
      </c>
      <c r="AS169" s="249" t="str">
        <f t="shared" si="469"/>
        <v>YES</v>
      </c>
      <c r="AT169" s="257">
        <f t="shared" si="470"/>
        <v>7.1509527564775572</v>
      </c>
      <c r="AU169" s="249" t="str">
        <f t="shared" si="471"/>
        <v>YES</v>
      </c>
      <c r="AV169" s="260" t="str">
        <f t="shared" si="472"/>
        <v>1R x 0.6/1kV x 3C x 95 Sqmm</v>
      </c>
      <c r="AW169" s="260" t="str">
        <f t="shared" si="473"/>
        <v>1R x 0.6/1kV x 3C x 95+PE Sqmm</v>
      </c>
      <c r="AX169" s="249">
        <f t="shared" si="474"/>
        <v>438.5</v>
      </c>
      <c r="AY169" s="261"/>
    </row>
    <row r="170" spans="1:51" s="576" customFormat="1" ht="25.5" customHeight="1">
      <c r="A170" s="298">
        <f>1+A169</f>
        <v>123</v>
      </c>
      <c r="B170" s="596"/>
      <c r="C170" s="298" t="str">
        <f t="shared" si="454"/>
        <v>EPMCC-1</v>
      </c>
      <c r="D170" s="597" t="s">
        <v>1032</v>
      </c>
      <c r="E170" s="595" t="s">
        <v>310</v>
      </c>
      <c r="F170" s="298" t="s">
        <v>29</v>
      </c>
      <c r="G170" s="298" t="s">
        <v>298</v>
      </c>
      <c r="H170" s="573">
        <v>0.06</v>
      </c>
      <c r="I170" s="298" t="s">
        <v>299</v>
      </c>
      <c r="J170" s="298" t="s">
        <v>313</v>
      </c>
      <c r="K170" s="423">
        <v>230</v>
      </c>
      <c r="L170" s="301">
        <v>0.85</v>
      </c>
      <c r="M170" s="421">
        <v>0.95</v>
      </c>
      <c r="N170" s="299">
        <f t="shared" ref="N170" si="490">IF(I170="kVA",IF(J170="3Ph",(H170*1000/(1.732*M170*K170)),(H170*1000/(M170*K170))),IF(I170="kW",IF(J170="3Ph",(H170*1000/(1.732*M170*K170*L170)),(H170*1000/(M170*K170*L170)))))</f>
        <v>0.32305828509893664</v>
      </c>
      <c r="O170" s="299">
        <f t="shared" ref="O170" si="491">IF(G170="MOTOR",(6*N170),IF(G170="VFD",(1*N170),0))</f>
        <v>0</v>
      </c>
      <c r="P170" s="301" t="str">
        <f t="shared" ref="P170" si="492">IF(G170="MOTOR",0.2,"0.00")</f>
        <v>0.00</v>
      </c>
      <c r="Q170" s="421">
        <v>65</v>
      </c>
      <c r="R170" s="421">
        <v>0</v>
      </c>
      <c r="S170" s="421">
        <f t="shared" ref="S170" si="493">(Q170*1000*SQRT(R170)/143)</f>
        <v>0</v>
      </c>
      <c r="T170" s="301" t="s">
        <v>131</v>
      </c>
      <c r="U170" s="421" t="s">
        <v>302</v>
      </c>
      <c r="V170" s="301">
        <v>2.5</v>
      </c>
      <c r="W170" s="301" t="str">
        <f t="shared" ref="W170" si="494">CONCATENATE(U170," X ",V170)</f>
        <v>3C X 2.5</v>
      </c>
      <c r="X170" s="301" t="str">
        <f t="shared" ref="X170" si="495">(IF(J170="1Ph",W170,IF(J170="3Ph",(IF(G170="MOTOR",(CONCATENATE(W170,"+PE")),W170)))))</f>
        <v>3C X 2.5</v>
      </c>
      <c r="Y170" s="301" t="s">
        <v>314</v>
      </c>
      <c r="Z170" s="300">
        <f>IF(T170="AIR",VLOOKUP(W170,'Catalogue Aluminium'!$B$9:$G$91,2,FALSE),IF(T170="GROUND",VLOOKUP(W170,'Catalogue Aluminium'!$B$9:$G$91,3,FALSE),IF(T170="DUCT",VLOOKUP(W170,'Catalogue Aluminium'!$B$9:$G$91,4,FALSE),IF(T170="TRENCH",VLOOKUP(W170,'Catalogue Aluminium'!$B$9:$G$91,2,FALSE)))))</f>
        <v>28</v>
      </c>
      <c r="AA170" s="302">
        <f>VLOOKUP(W170,'Catalogue Aluminium'!$B$9:$G$91,5,FALSE)</f>
        <v>9.48</v>
      </c>
      <c r="AB170" s="302">
        <f>VLOOKUP(W170,'Catalogue Aluminium'!$B$9:$G$91,6,FALSE)</f>
        <v>0.1007</v>
      </c>
      <c r="AC170" s="598">
        <f>24+6</f>
        <v>30</v>
      </c>
      <c r="AD170" s="301">
        <f>40+50+38+50+17+(27+30+9+18+40+3.5)</f>
        <v>322.5</v>
      </c>
      <c r="AE170" s="301">
        <f t="shared" si="476"/>
        <v>38</v>
      </c>
      <c r="AF170" s="301">
        <v>8</v>
      </c>
      <c r="AG170" s="301">
        <f t="shared" ref="AG170" si="496">ROUNDUP((SUM(AC170:AF170)*0.1),0)</f>
        <v>40</v>
      </c>
      <c r="AH170" s="574">
        <f t="shared" ref="AH170" si="497">SUM(AC170:AG170)</f>
        <v>438.5</v>
      </c>
      <c r="AI170" s="300">
        <f>IF(T170="AIR",'Catalogue Aluminium'!$K$9,IF(T170="TRENCH",'Catalogue Aluminium'!$K$12,"NA"))</f>
        <v>0.89</v>
      </c>
      <c r="AJ170" s="299">
        <f>IF(T170="Air",(IF(U170="1C",'Catalogue Aluminium'!$L$9,'Catalogue Aluminium'!$M$9)),IF(T170="DUCT",(IF($U170="1C",'Catalogue Aluminium'!$L$10,'Catalogue Aluminium'!$M$10)),IF(T170="GROUND",(IF($U170="1C",'Catalogue Aluminium'!$L$11,'Catalogue Aluminium'!$M$11)),IF(T170="TRENCH",(IF($U170="1C",'Catalogue Aluminium'!$L$12,'Catalogue Aluminium'!$M$12))))))</f>
        <v>0.66</v>
      </c>
      <c r="AK170" s="300" t="str">
        <f>IF(T170="Air",'Catalogue Aluminium'!$N$9,IF(T170="GROUND",'Catalogue Aluminium'!$N$10,IF(T170="DUCT",'Catalogue Aluminium'!$N$11,IF(T170="TRENCH",'Catalogue Aluminium'!$N$12,"NA"))))</f>
        <v>NA</v>
      </c>
      <c r="AL170" s="300" t="str">
        <f>IF(T170="Air",(IF(U170="1C",'Catalogue Aluminium'!$O$9,'Catalogue Aluminium'!$P$9)),IF(T170="DUCT",(IF($U170="1C",'Catalogue Aluminium'!$O$10,'Catalogue Aluminium'!$P$10)),IF(T170="GROUND",(IF($U170="1C",'Catalogue Aluminium'!$O$11,'Catalogue Aluminium'!$P$11)),IF(T170="TRENCH",(IF($U170="1C",'Catalogue Aluminium'!$O$12,'Catalogue Aluminium'!$P$12))))))</f>
        <v>NA</v>
      </c>
      <c r="AM170" s="300" t="str">
        <f>IF(T170="AIR","NA",IF(T170="TRENCH","NA",IF(T170="DUCT",IF(U170="1C",VLOOKUP(V170,'Catalogue Aluminium'!$Q$9:$S$28,2,FALSE),VLOOKUP(V170,'Catalogue Aluminium'!$Q$9:$S$28,3)),IF(T170="GROUND",IF(U170="1C",VLOOKUP(V170,'Catalogue Aluminium'!$Q$9:$S$28,2,FALSE),VLOOKUP(V170,'Catalogue Aluminium'!$Q$9:$S$28,3))))))</f>
        <v>NA</v>
      </c>
      <c r="AN170" s="422">
        <f t="shared" ref="AN170" si="498">IF(T170="AIR",AI170*AJ170,IF(T170="TRENCH",AI170*AJ170,IF(T170="DUCT",AJ170*AK170*AL170*AM170,IF(T170="GROUND",AJ170*AK170*AL170*AM170))))</f>
        <v>0.58740000000000003</v>
      </c>
      <c r="AO170" s="421">
        <f t="shared" ref="AO170" si="499">Z170*AN170</f>
        <v>16.447200000000002</v>
      </c>
      <c r="AP170" s="423">
        <f t="shared" si="466"/>
        <v>1</v>
      </c>
      <c r="AQ170" s="421" t="str">
        <f t="shared" ref="AQ170" si="500">IF(AO170*AP170&gt;=N170,"YES","NO")</f>
        <v>YES</v>
      </c>
      <c r="AR170" s="422">
        <f t="shared" ref="AR170" si="501">SQRT(3)*AH170*N170*((AA170*L170)+(AB170*SIN(ACOS(L170))))*100/(AP170*K170*1000)</f>
        <v>0.86528702449657713</v>
      </c>
      <c r="AS170" s="301" t="str">
        <f t="shared" ref="AS170" si="502">IF(G170="INCOMER",(IF(AR170&lt;=2,"YES","NO")),IF(G170="POWER",(IF(AR170&lt;=2.5,"YES","NO")),IF(G170="MOTOR",(IF(AR170&lt;=3,"YES","NO")))))</f>
        <v>YES</v>
      </c>
      <c r="AT170" s="422" t="str">
        <f t="shared" si="470"/>
        <v>NA</v>
      </c>
      <c r="AU170" s="301" t="str">
        <f t="shared" si="471"/>
        <v>NA</v>
      </c>
      <c r="AV170" s="424" t="str">
        <f t="shared" si="472"/>
        <v>1R x 0.6/1kV x 3C x 2.5 Sqmm</v>
      </c>
      <c r="AW170" s="424" t="str">
        <f t="shared" si="473"/>
        <v>1R x 0.6/1kV x 3C x 2.5 Sqmm</v>
      </c>
      <c r="AX170" s="301">
        <f t="shared" si="474"/>
        <v>438.5</v>
      </c>
      <c r="AY170" s="575"/>
    </row>
    <row r="171" spans="1:51" ht="20.149999999999999" customHeight="1">
      <c r="A171" s="243">
        <f>1+A170</f>
        <v>124</v>
      </c>
      <c r="B171" s="390" t="s">
        <v>345</v>
      </c>
      <c r="C171" s="243" t="s">
        <v>491</v>
      </c>
      <c r="D171" s="306" t="s">
        <v>346</v>
      </c>
      <c r="E171" s="320" t="s">
        <v>310</v>
      </c>
      <c r="F171" s="243" t="s">
        <v>28</v>
      </c>
      <c r="G171" s="243" t="s">
        <v>311</v>
      </c>
      <c r="H171" s="256">
        <v>75</v>
      </c>
      <c r="I171" s="243" t="s">
        <v>299</v>
      </c>
      <c r="J171" s="243" t="s">
        <v>300</v>
      </c>
      <c r="K171" s="255">
        <v>400</v>
      </c>
      <c r="L171" s="249">
        <v>0.85</v>
      </c>
      <c r="M171" s="256">
        <v>0.95</v>
      </c>
      <c r="N171" s="248">
        <f t="shared" si="455"/>
        <v>134.06359261827987</v>
      </c>
      <c r="O171" s="248">
        <f t="shared" si="456"/>
        <v>804.38155570967922</v>
      </c>
      <c r="P171" s="249">
        <f t="shared" si="457"/>
        <v>0.2</v>
      </c>
      <c r="Q171" s="256">
        <v>65</v>
      </c>
      <c r="R171" s="256">
        <v>0</v>
      </c>
      <c r="S171" s="256">
        <f t="shared" si="458"/>
        <v>0</v>
      </c>
      <c r="T171" s="249" t="s">
        <v>131</v>
      </c>
      <c r="U171" s="256" t="s">
        <v>302</v>
      </c>
      <c r="V171" s="249">
        <v>150</v>
      </c>
      <c r="W171" s="249" t="str">
        <f t="shared" si="459"/>
        <v>3C X 150</v>
      </c>
      <c r="X171" s="249" t="str">
        <f t="shared" si="460"/>
        <v>3C X 150+PE</v>
      </c>
      <c r="Y171" s="249" t="s">
        <v>314</v>
      </c>
      <c r="Z171" s="250">
        <f>IF(T171="AIR",VLOOKUP(W171,'Catalogue Aluminium'!$B$9:$G$91,2,FALSE),IF(T171="GROUND",VLOOKUP(W171,'Catalogue Aluminium'!$B$9:$G$91,3,FALSE),IF(T171="DUCT",VLOOKUP(W171,'Catalogue Aluminium'!$B$9:$G$91,4,FALSE),IF(T171="TRENCH",VLOOKUP(W171,'Catalogue Aluminium'!$B$9:$G$91,2,FALSE)))))</f>
        <v>293</v>
      </c>
      <c r="AA171" s="251">
        <f>VLOOKUP(W171,'Catalogue Aluminium'!$B$9:$G$91,5,FALSE)</f>
        <v>0.26400000000000001</v>
      </c>
      <c r="AB171" s="251">
        <f>VLOOKUP(W171,'Catalogue Aluminium'!$B$9:$G$91,6,FALSE)</f>
        <v>7.3200000000000001E-2</v>
      </c>
      <c r="AC171" s="323">
        <f t="shared" si="461"/>
        <v>38</v>
      </c>
      <c r="AD171" s="294">
        <f>40+50+38+50+17+(27+30+5)</f>
        <v>257</v>
      </c>
      <c r="AE171" s="294">
        <f t="shared" si="476"/>
        <v>38</v>
      </c>
      <c r="AF171" s="294">
        <v>8</v>
      </c>
      <c r="AG171" s="294">
        <f t="shared" si="462"/>
        <v>35</v>
      </c>
      <c r="AH171" s="253">
        <f t="shared" si="463"/>
        <v>376</v>
      </c>
      <c r="AI171" s="250">
        <f>IF(T171="AIR",'Catalogue Aluminium'!$K$9,IF(T171="TRENCH",'Catalogue Aluminium'!$K$12,"NA"))</f>
        <v>0.89</v>
      </c>
      <c r="AJ171" s="248">
        <f>IF(T171="Air",(IF(U171="1C",'Catalogue Aluminium'!$L$9,'Catalogue Aluminium'!$M$9)),IF(T171="DUCT",(IF($U171="1C",'Catalogue Aluminium'!$L$10,'Catalogue Aluminium'!$M$10)),IF(T171="GROUND",(IF($U171="1C",'Catalogue Aluminium'!$L$11,'Catalogue Aluminium'!$M$11)),IF(T171="TRENCH",(IF($U171="1C",'Catalogue Aluminium'!$L$12,'Catalogue Aluminium'!$M$12))))))</f>
        <v>0.66</v>
      </c>
      <c r="AK171" s="250" t="str">
        <f>IF(T171="Air",'Catalogue Aluminium'!$N$9,IF(T171="GROUND",'Catalogue Aluminium'!$N$10,IF(T171="DUCT",'Catalogue Aluminium'!$N$11,IF(T171="TRENCH",'Catalogue Aluminium'!$N$12,"NA"))))</f>
        <v>NA</v>
      </c>
      <c r="AL171" s="250" t="str">
        <f>IF(T171="Air",(IF(U171="1C",'Catalogue Aluminium'!$O$9,'Catalogue Aluminium'!$P$9)),IF(T171="DUCT",(IF($U171="1C",'Catalogue Aluminium'!$O$10,'Catalogue Aluminium'!$P$10)),IF(T171="GROUND",(IF($U171="1C",'Catalogue Aluminium'!$O$11,'Catalogue Aluminium'!$P$11)),IF(T171="TRENCH",(IF($U171="1C",'Catalogue Aluminium'!$O$12,'Catalogue Aluminium'!$P$12))))))</f>
        <v>NA</v>
      </c>
      <c r="AM171" s="250" t="str">
        <f>IF(T171="AIR","NA",IF(T171="TRENCH","NA",IF(T171="DUCT",IF(U171="1C",VLOOKUP(V171,'Catalogue Aluminium'!$Q$9:$S$28,2,FALSE),VLOOKUP(V171,'Catalogue Aluminium'!$Q$9:$S$28,3)),IF(T171="GROUND",IF(U171="1C",VLOOKUP(V171,'Catalogue Aluminium'!$Q$9:$S$28,2,FALSE),VLOOKUP(V171,'Catalogue Aluminium'!$Q$9:$S$28,3))))))</f>
        <v>NA</v>
      </c>
      <c r="AN171" s="257">
        <f t="shared" si="464"/>
        <v>0.58740000000000003</v>
      </c>
      <c r="AO171" s="256">
        <f t="shared" si="465"/>
        <v>172.10820000000001</v>
      </c>
      <c r="AP171" s="255">
        <v>2</v>
      </c>
      <c r="AQ171" s="256" t="str">
        <f t="shared" si="467"/>
        <v>YES</v>
      </c>
      <c r="AR171" s="257">
        <f t="shared" si="468"/>
        <v>2.869854266884837</v>
      </c>
      <c r="AS171" s="249" t="str">
        <f t="shared" si="469"/>
        <v>YES</v>
      </c>
      <c r="AT171" s="257">
        <f t="shared" si="470"/>
        <v>8.1538627500233307</v>
      </c>
      <c r="AU171" s="249" t="str">
        <f t="shared" si="471"/>
        <v>YES</v>
      </c>
      <c r="AV171" s="260" t="str">
        <f t="shared" si="472"/>
        <v>2R x 0.6/1kV x 3C x 150 Sqmm</v>
      </c>
      <c r="AW171" s="260" t="str">
        <f t="shared" si="473"/>
        <v>2R x 0.6/1kV x 3C x 150+PE Sqmm</v>
      </c>
      <c r="AX171" s="249">
        <f t="shared" si="474"/>
        <v>752</v>
      </c>
      <c r="AY171" s="261"/>
    </row>
    <row r="172" spans="1:51" s="576" customFormat="1" ht="20.149999999999999" customHeight="1">
      <c r="A172" s="298">
        <f t="shared" si="475"/>
        <v>125</v>
      </c>
      <c r="B172" s="596"/>
      <c r="C172" s="298" t="s">
        <v>491</v>
      </c>
      <c r="D172" s="597" t="s">
        <v>1033</v>
      </c>
      <c r="E172" s="595" t="s">
        <v>310</v>
      </c>
      <c r="F172" s="298" t="s">
        <v>28</v>
      </c>
      <c r="G172" s="298" t="s">
        <v>298</v>
      </c>
      <c r="H172" s="573">
        <v>0.06</v>
      </c>
      <c r="I172" s="298" t="s">
        <v>299</v>
      </c>
      <c r="J172" s="298" t="s">
        <v>313</v>
      </c>
      <c r="K172" s="423">
        <v>230</v>
      </c>
      <c r="L172" s="301">
        <v>0.85</v>
      </c>
      <c r="M172" s="421">
        <v>0.95</v>
      </c>
      <c r="N172" s="299">
        <f t="shared" si="455"/>
        <v>0.32305828509893664</v>
      </c>
      <c r="O172" s="299">
        <f t="shared" si="456"/>
        <v>0</v>
      </c>
      <c r="P172" s="301" t="str">
        <f t="shared" si="457"/>
        <v>0.00</v>
      </c>
      <c r="Q172" s="421">
        <v>65</v>
      </c>
      <c r="R172" s="421">
        <v>0</v>
      </c>
      <c r="S172" s="421">
        <f t="shared" si="458"/>
        <v>0</v>
      </c>
      <c r="T172" s="301" t="s">
        <v>131</v>
      </c>
      <c r="U172" s="421" t="s">
        <v>302</v>
      </c>
      <c r="V172" s="301">
        <v>2.5</v>
      </c>
      <c r="W172" s="301" t="str">
        <f t="shared" si="459"/>
        <v>3C X 2.5</v>
      </c>
      <c r="X172" s="301" t="str">
        <f t="shared" ref="X172" si="503">(IF(J172="1Ph",W172,IF(J172="3Ph",(IF(G172="MOTOR",(CONCATENATE(W172,"+PE")),W172)))))</f>
        <v>3C X 2.5</v>
      </c>
      <c r="Y172" s="301" t="s">
        <v>314</v>
      </c>
      <c r="Z172" s="300">
        <f>IF(T172="AIR",VLOOKUP(W172,'Catalogue Aluminium'!$B$9:$G$91,2,FALSE),IF(T172="GROUND",VLOOKUP(W172,'Catalogue Aluminium'!$B$9:$G$91,3,FALSE),IF(T172="DUCT",VLOOKUP(W172,'Catalogue Aluminium'!$B$9:$G$91,4,FALSE),IF(T172="TRENCH",VLOOKUP(W172,'Catalogue Aluminium'!$B$9:$G$91,2,FALSE)))))</f>
        <v>28</v>
      </c>
      <c r="AA172" s="302">
        <f>VLOOKUP(W172,'Catalogue Aluminium'!$B$9:$G$91,5,FALSE)</f>
        <v>9.48</v>
      </c>
      <c r="AB172" s="302">
        <f>VLOOKUP(W172,'Catalogue Aluminium'!$B$9:$G$91,6,FALSE)</f>
        <v>0.1007</v>
      </c>
      <c r="AC172" s="598">
        <f t="shared" si="461"/>
        <v>38</v>
      </c>
      <c r="AD172" s="301">
        <f>40+50+38+50+17+(27+30+5)</f>
        <v>257</v>
      </c>
      <c r="AE172" s="301">
        <f t="shared" si="476"/>
        <v>38</v>
      </c>
      <c r="AF172" s="301">
        <v>8</v>
      </c>
      <c r="AG172" s="301">
        <f t="shared" ref="AG172" si="504">ROUNDUP((SUM(AC172:AF172)*0.1),0)</f>
        <v>35</v>
      </c>
      <c r="AH172" s="574">
        <f t="shared" ref="AH172" si="505">SUM(AC172:AG172)</f>
        <v>376</v>
      </c>
      <c r="AI172" s="300">
        <f>IF(T172="AIR",'Catalogue Aluminium'!$K$9,IF(T172="TRENCH",'Catalogue Aluminium'!$K$12,"NA"))</f>
        <v>0.89</v>
      </c>
      <c r="AJ172" s="299">
        <f>IF(T172="Air",(IF(U172="1C",'Catalogue Aluminium'!$L$9,'Catalogue Aluminium'!$M$9)),IF(T172="DUCT",(IF($U172="1C",'Catalogue Aluminium'!$L$10,'Catalogue Aluminium'!$M$10)),IF(T172="GROUND",(IF($U172="1C",'Catalogue Aluminium'!$L$11,'Catalogue Aluminium'!$M$11)),IF(T172="TRENCH",(IF($U172="1C",'Catalogue Aluminium'!$L$12,'Catalogue Aluminium'!$M$12))))))</f>
        <v>0.66</v>
      </c>
      <c r="AK172" s="300" t="str">
        <f>IF(T172="Air",'Catalogue Aluminium'!$N$9,IF(T172="GROUND",'Catalogue Aluminium'!$N$10,IF(T172="DUCT",'Catalogue Aluminium'!$N$11,IF(T172="TRENCH",'Catalogue Aluminium'!$N$12,"NA"))))</f>
        <v>NA</v>
      </c>
      <c r="AL172" s="300" t="str">
        <f>IF(T172="Air",(IF(U172="1C",'Catalogue Aluminium'!$O$9,'Catalogue Aluminium'!$P$9)),IF(T172="DUCT",(IF($U172="1C",'Catalogue Aluminium'!$O$10,'Catalogue Aluminium'!$P$10)),IF(T172="GROUND",(IF($U172="1C",'Catalogue Aluminium'!$O$11,'Catalogue Aluminium'!$P$11)),IF(T172="TRENCH",(IF($U172="1C",'Catalogue Aluminium'!$O$12,'Catalogue Aluminium'!$P$12))))))</f>
        <v>NA</v>
      </c>
      <c r="AM172" s="300" t="str">
        <f>IF(T172="AIR","NA",IF(T172="TRENCH","NA",IF(T172="DUCT",IF(U172="1C",VLOOKUP(V172,'Catalogue Aluminium'!$Q$9:$S$28,2,FALSE),VLOOKUP(V172,'Catalogue Aluminium'!$Q$9:$S$28,3)),IF(T172="GROUND",IF(U172="1C",VLOOKUP(V172,'Catalogue Aluminium'!$Q$9:$S$28,2,FALSE),VLOOKUP(V172,'Catalogue Aluminium'!$Q$9:$S$28,3))))))</f>
        <v>NA</v>
      </c>
      <c r="AN172" s="422">
        <f t="shared" ref="AN172" si="506">IF(T172="AIR",AI172*AJ172,IF(T172="TRENCH",AI172*AJ172,IF(T172="DUCT",AJ172*AK172*AL172*AM172,IF(T172="GROUND",AJ172*AK172*AL172*AM172))))</f>
        <v>0.58740000000000003</v>
      </c>
      <c r="AO172" s="421">
        <f t="shared" ref="AO172" si="507">Z172*AN172</f>
        <v>16.447200000000002</v>
      </c>
      <c r="AP172" s="423">
        <f t="shared" si="466"/>
        <v>1</v>
      </c>
      <c r="AQ172" s="421" t="str">
        <f t="shared" ref="AQ172" si="508">IF(AO172*AP172&gt;=N172,"YES","NO")</f>
        <v>YES</v>
      </c>
      <c r="AR172" s="422">
        <f t="shared" ref="AR172" si="509">SQRT(3)*AH172*N172*((AA172*L172)+(AB172*SIN(ACOS(L172))))*100/(AP172*K172*1000)</f>
        <v>0.74195649078839909</v>
      </c>
      <c r="AS172" s="301" t="str">
        <f t="shared" ref="AS172" si="510">IF(G172="INCOMER",(IF(AR172&lt;=2,"YES","NO")),IF(G172="POWER",(IF(AR172&lt;=2.5,"YES","NO")),IF(G172="MOTOR",(IF(AR172&lt;=3,"YES","NO")))))</f>
        <v>YES</v>
      </c>
      <c r="AT172" s="422" t="str">
        <f t="shared" si="470"/>
        <v>NA</v>
      </c>
      <c r="AU172" s="301" t="str">
        <f t="shared" si="471"/>
        <v>NA</v>
      </c>
      <c r="AV172" s="424" t="str">
        <f t="shared" si="472"/>
        <v>1R x 0.6/1kV x 3C x 2.5 Sqmm</v>
      </c>
      <c r="AW172" s="424" t="str">
        <f t="shared" si="473"/>
        <v>1R x 0.6/1kV x 3C x 2.5 Sqmm</v>
      </c>
      <c r="AX172" s="301">
        <f t="shared" si="474"/>
        <v>376</v>
      </c>
      <c r="AY172" s="575"/>
    </row>
    <row r="173" spans="1:51" ht="20.149999999999999" customHeight="1">
      <c r="A173" s="243">
        <f t="shared" si="475"/>
        <v>126</v>
      </c>
      <c r="B173" s="390" t="s">
        <v>347</v>
      </c>
      <c r="C173" s="243" t="s">
        <v>491</v>
      </c>
      <c r="D173" s="306" t="s">
        <v>348</v>
      </c>
      <c r="E173" s="320" t="s">
        <v>310</v>
      </c>
      <c r="F173" s="243" t="s">
        <v>29</v>
      </c>
      <c r="G173" s="243" t="s">
        <v>311</v>
      </c>
      <c r="H173" s="256">
        <v>75</v>
      </c>
      <c r="I173" s="243" t="s">
        <v>299</v>
      </c>
      <c r="J173" s="243" t="s">
        <v>300</v>
      </c>
      <c r="K173" s="255">
        <v>400</v>
      </c>
      <c r="L173" s="249">
        <v>0.85</v>
      </c>
      <c r="M173" s="256">
        <v>0.95</v>
      </c>
      <c r="N173" s="248">
        <f t="shared" si="455"/>
        <v>134.06359261827987</v>
      </c>
      <c r="O173" s="248">
        <f t="shared" si="456"/>
        <v>804.38155570967922</v>
      </c>
      <c r="P173" s="249">
        <f t="shared" si="457"/>
        <v>0.2</v>
      </c>
      <c r="Q173" s="256">
        <v>65</v>
      </c>
      <c r="R173" s="256">
        <v>0</v>
      </c>
      <c r="S173" s="256">
        <f t="shared" si="458"/>
        <v>0</v>
      </c>
      <c r="T173" s="249" t="s">
        <v>131</v>
      </c>
      <c r="U173" s="256" t="s">
        <v>302</v>
      </c>
      <c r="V173" s="249">
        <v>150</v>
      </c>
      <c r="W173" s="249" t="str">
        <f t="shared" si="459"/>
        <v>3C X 150</v>
      </c>
      <c r="X173" s="249" t="str">
        <f t="shared" si="460"/>
        <v>3C X 150+PE</v>
      </c>
      <c r="Y173" s="249" t="s">
        <v>314</v>
      </c>
      <c r="Z173" s="250">
        <f>IF(T173="AIR",VLOOKUP(W173,'Catalogue Aluminium'!$B$9:$G$91,2,FALSE),IF(T173="GROUND",VLOOKUP(W173,'Catalogue Aluminium'!$B$9:$G$91,3,FALSE),IF(T173="DUCT",VLOOKUP(W173,'Catalogue Aluminium'!$B$9:$G$91,4,FALSE),IF(T173="TRENCH",VLOOKUP(W173,'Catalogue Aluminium'!$B$9:$G$91,2,FALSE)))))</f>
        <v>293</v>
      </c>
      <c r="AA173" s="251">
        <f>VLOOKUP(W173,'Catalogue Aluminium'!$B$9:$G$91,5,FALSE)</f>
        <v>0.26400000000000001</v>
      </c>
      <c r="AB173" s="251">
        <f>VLOOKUP(W173,'Catalogue Aluminium'!$B$9:$G$91,6,FALSE)</f>
        <v>7.3200000000000001E-2</v>
      </c>
      <c r="AC173" s="323">
        <f>24+6</f>
        <v>30</v>
      </c>
      <c r="AD173" s="294">
        <f>40+50+38+50+17+(27+30+6)</f>
        <v>258</v>
      </c>
      <c r="AE173" s="294">
        <f t="shared" si="476"/>
        <v>38</v>
      </c>
      <c r="AF173" s="294">
        <v>8</v>
      </c>
      <c r="AG173" s="294">
        <f t="shared" si="462"/>
        <v>34</v>
      </c>
      <c r="AH173" s="253">
        <f t="shared" si="463"/>
        <v>368</v>
      </c>
      <c r="AI173" s="250">
        <f>IF(T173="AIR",'Catalogue Aluminium'!$K$9,IF(T173="TRENCH",'Catalogue Aluminium'!$K$12,"NA"))</f>
        <v>0.89</v>
      </c>
      <c r="AJ173" s="248">
        <f>IF(T173="Air",(IF(U173="1C",'Catalogue Aluminium'!$L$9,'Catalogue Aluminium'!$M$9)),IF(T173="DUCT",(IF($U173="1C",'Catalogue Aluminium'!$L$10,'Catalogue Aluminium'!$M$10)),IF(T173="GROUND",(IF($U173="1C",'Catalogue Aluminium'!$L$11,'Catalogue Aluminium'!$M$11)),IF(T173="TRENCH",(IF($U173="1C",'Catalogue Aluminium'!$L$12,'Catalogue Aluminium'!$M$12))))))</f>
        <v>0.66</v>
      </c>
      <c r="AK173" s="250" t="str">
        <f>IF(T173="Air",'Catalogue Aluminium'!$N$9,IF(T173="GROUND",'Catalogue Aluminium'!$N$10,IF(T173="DUCT",'Catalogue Aluminium'!$N$11,IF(T173="TRENCH",'Catalogue Aluminium'!$N$12,"NA"))))</f>
        <v>NA</v>
      </c>
      <c r="AL173" s="250" t="str">
        <f>IF(T173="Air",(IF(U173="1C",'Catalogue Aluminium'!$O$9,'Catalogue Aluminium'!$P$9)),IF(T173="DUCT",(IF($U173="1C",'Catalogue Aluminium'!$O$10,'Catalogue Aluminium'!$P$10)),IF(T173="GROUND",(IF($U173="1C",'Catalogue Aluminium'!$O$11,'Catalogue Aluminium'!$P$11)),IF(T173="TRENCH",(IF($U173="1C",'Catalogue Aluminium'!$O$12,'Catalogue Aluminium'!$P$12))))))</f>
        <v>NA</v>
      </c>
      <c r="AM173" s="250" t="str">
        <f>IF(T173="AIR","NA",IF(T173="TRENCH","NA",IF(T173="DUCT",IF(U173="1C",VLOOKUP(V173,'Catalogue Aluminium'!$Q$9:$S$28,2,FALSE),VLOOKUP(V173,'Catalogue Aluminium'!$Q$9:$S$28,3)),IF(T173="GROUND",IF(U173="1C",VLOOKUP(V173,'Catalogue Aluminium'!$Q$9:$S$28,2,FALSE),VLOOKUP(V173,'Catalogue Aluminium'!$Q$9:$S$28,3))))))</f>
        <v>NA</v>
      </c>
      <c r="AN173" s="257">
        <f t="shared" si="464"/>
        <v>0.58740000000000003</v>
      </c>
      <c r="AO173" s="256">
        <f t="shared" si="465"/>
        <v>172.10820000000001</v>
      </c>
      <c r="AP173" s="255">
        <v>2</v>
      </c>
      <c r="AQ173" s="256" t="str">
        <f t="shared" si="467"/>
        <v>YES</v>
      </c>
      <c r="AR173" s="257">
        <f t="shared" si="468"/>
        <v>2.8087935378021807</v>
      </c>
      <c r="AS173" s="249" t="str">
        <f t="shared" si="469"/>
        <v>YES</v>
      </c>
      <c r="AT173" s="257">
        <f t="shared" si="470"/>
        <v>7.9803763085334714</v>
      </c>
      <c r="AU173" s="249" t="str">
        <f t="shared" si="471"/>
        <v>YES</v>
      </c>
      <c r="AV173" s="260" t="str">
        <f t="shared" si="472"/>
        <v>2R x 0.6/1kV x 3C x 150 Sqmm</v>
      </c>
      <c r="AW173" s="260" t="str">
        <f t="shared" si="473"/>
        <v>2R x 0.6/1kV x 3C x 150+PE Sqmm</v>
      </c>
      <c r="AX173" s="249">
        <f t="shared" si="474"/>
        <v>736</v>
      </c>
      <c r="AY173" s="261"/>
    </row>
    <row r="174" spans="1:51" s="576" customFormat="1" ht="20.149999999999999" customHeight="1">
      <c r="A174" s="298">
        <f t="shared" si="475"/>
        <v>127</v>
      </c>
      <c r="B174" s="596"/>
      <c r="C174" s="298" t="s">
        <v>491</v>
      </c>
      <c r="D174" s="597" t="s">
        <v>1034</v>
      </c>
      <c r="E174" s="595" t="s">
        <v>310</v>
      </c>
      <c r="F174" s="298" t="s">
        <v>29</v>
      </c>
      <c r="G174" s="298" t="s">
        <v>298</v>
      </c>
      <c r="H174" s="573">
        <v>0.06</v>
      </c>
      <c r="I174" s="298" t="s">
        <v>299</v>
      </c>
      <c r="J174" s="298" t="s">
        <v>313</v>
      </c>
      <c r="K174" s="423">
        <v>230</v>
      </c>
      <c r="L174" s="301">
        <v>0.85</v>
      </c>
      <c r="M174" s="421">
        <v>0.95</v>
      </c>
      <c r="N174" s="299">
        <f t="shared" si="455"/>
        <v>0.32305828509893664</v>
      </c>
      <c r="O174" s="299">
        <f t="shared" si="456"/>
        <v>0</v>
      </c>
      <c r="P174" s="301" t="str">
        <f t="shared" si="457"/>
        <v>0.00</v>
      </c>
      <c r="Q174" s="421">
        <v>65</v>
      </c>
      <c r="R174" s="421">
        <v>0</v>
      </c>
      <c r="S174" s="421">
        <f t="shared" si="458"/>
        <v>0</v>
      </c>
      <c r="T174" s="301" t="s">
        <v>131</v>
      </c>
      <c r="U174" s="421" t="s">
        <v>302</v>
      </c>
      <c r="V174" s="301">
        <v>2.5</v>
      </c>
      <c r="W174" s="301" t="str">
        <f t="shared" si="459"/>
        <v>3C X 2.5</v>
      </c>
      <c r="X174" s="301" t="str">
        <f t="shared" ref="X174" si="511">(IF(J174="1Ph",W174,IF(J174="3Ph",(IF(G174="MOTOR",(CONCATENATE(W174,"+PE")),W174)))))</f>
        <v>3C X 2.5</v>
      </c>
      <c r="Y174" s="301" t="s">
        <v>314</v>
      </c>
      <c r="Z174" s="300">
        <f>IF(T174="AIR",VLOOKUP(W174,'Catalogue Aluminium'!$B$9:$G$91,2,FALSE),IF(T174="GROUND",VLOOKUP(W174,'Catalogue Aluminium'!$B$9:$G$91,3,FALSE),IF(T174="DUCT",VLOOKUP(W174,'Catalogue Aluminium'!$B$9:$G$91,4,FALSE),IF(T174="TRENCH",VLOOKUP(W174,'Catalogue Aluminium'!$B$9:$G$91,2,FALSE)))))</f>
        <v>28</v>
      </c>
      <c r="AA174" s="302">
        <f>VLOOKUP(W174,'Catalogue Aluminium'!$B$9:$G$91,5,FALSE)</f>
        <v>9.48</v>
      </c>
      <c r="AB174" s="302">
        <f>VLOOKUP(W174,'Catalogue Aluminium'!$B$9:$G$91,6,FALSE)</f>
        <v>0.1007</v>
      </c>
      <c r="AC174" s="598">
        <f>24+6</f>
        <v>30</v>
      </c>
      <c r="AD174" s="301">
        <f>40+50+38+50+17+(27+30+6)</f>
        <v>258</v>
      </c>
      <c r="AE174" s="301">
        <f t="shared" si="476"/>
        <v>38</v>
      </c>
      <c r="AF174" s="301">
        <v>8</v>
      </c>
      <c r="AG174" s="301">
        <f t="shared" ref="AG174" si="512">ROUNDUP((SUM(AC174:AF174)*0.1),0)</f>
        <v>34</v>
      </c>
      <c r="AH174" s="574">
        <f t="shared" ref="AH174" si="513">SUM(AC174:AG174)</f>
        <v>368</v>
      </c>
      <c r="AI174" s="300">
        <f>IF(T174="AIR",'Catalogue Aluminium'!$K$9,IF(T174="TRENCH",'Catalogue Aluminium'!$K$12,"NA"))</f>
        <v>0.89</v>
      </c>
      <c r="AJ174" s="299">
        <f>IF(T174="Air",(IF(U174="1C",'Catalogue Aluminium'!$L$9,'Catalogue Aluminium'!$M$9)),IF(T174="DUCT",(IF($U174="1C",'Catalogue Aluminium'!$L$10,'Catalogue Aluminium'!$M$10)),IF(T174="GROUND",(IF($U174="1C",'Catalogue Aluminium'!$L$11,'Catalogue Aluminium'!$M$11)),IF(T174="TRENCH",(IF($U174="1C",'Catalogue Aluminium'!$L$12,'Catalogue Aluminium'!$M$12))))))</f>
        <v>0.66</v>
      </c>
      <c r="AK174" s="300" t="str">
        <f>IF(T174="Air",'Catalogue Aluminium'!$N$9,IF(T174="GROUND",'Catalogue Aluminium'!$N$10,IF(T174="DUCT",'Catalogue Aluminium'!$N$11,IF(T174="TRENCH",'Catalogue Aluminium'!$N$12,"NA"))))</f>
        <v>NA</v>
      </c>
      <c r="AL174" s="300" t="str">
        <f>IF(T174="Air",(IF(U174="1C",'Catalogue Aluminium'!$O$9,'Catalogue Aluminium'!$P$9)),IF(T174="DUCT",(IF($U174="1C",'Catalogue Aluminium'!$O$10,'Catalogue Aluminium'!$P$10)),IF(T174="GROUND",(IF($U174="1C",'Catalogue Aluminium'!$O$11,'Catalogue Aluminium'!$P$11)),IF(T174="TRENCH",(IF($U174="1C",'Catalogue Aluminium'!$O$12,'Catalogue Aluminium'!$P$12))))))</f>
        <v>NA</v>
      </c>
      <c r="AM174" s="300" t="str">
        <f>IF(T174="AIR","NA",IF(T174="TRENCH","NA",IF(T174="DUCT",IF(U174="1C",VLOOKUP(V174,'Catalogue Aluminium'!$Q$9:$S$28,2,FALSE),VLOOKUP(V174,'Catalogue Aluminium'!$Q$9:$S$28,3)),IF(T174="GROUND",IF(U174="1C",VLOOKUP(V174,'Catalogue Aluminium'!$Q$9:$S$28,2,FALSE),VLOOKUP(V174,'Catalogue Aluminium'!$Q$9:$S$28,3))))))</f>
        <v>NA</v>
      </c>
      <c r="AN174" s="422">
        <f t="shared" ref="AN174" si="514">IF(T174="AIR",AI174*AJ174,IF(T174="TRENCH",AI174*AJ174,IF(T174="DUCT",AJ174*AK174*AL174*AM174,IF(T174="GROUND",AJ174*AK174*AL174*AM174))))</f>
        <v>0.58740000000000003</v>
      </c>
      <c r="AO174" s="421">
        <f t="shared" ref="AO174" si="515">Z174*AN174</f>
        <v>16.447200000000002</v>
      </c>
      <c r="AP174" s="423">
        <f t="shared" si="466"/>
        <v>1</v>
      </c>
      <c r="AQ174" s="421" t="str">
        <f t="shared" ref="AQ174" si="516">IF(AO174*AP174&gt;=N174,"YES","NO")</f>
        <v>YES</v>
      </c>
      <c r="AR174" s="422">
        <f t="shared" ref="AR174" si="517">SQRT(3)*AH174*N174*((AA174*L174)+(AB174*SIN(ACOS(L174))))*100/(AP174*K174*1000)</f>
        <v>0.72617018247375209</v>
      </c>
      <c r="AS174" s="301" t="str">
        <f t="shared" ref="AS174" si="518">IF(G174="INCOMER",(IF(AR174&lt;=2,"YES","NO")),IF(G174="POWER",(IF(AR174&lt;=2.5,"YES","NO")),IF(G174="MOTOR",(IF(AR174&lt;=3,"YES","NO")))))</f>
        <v>YES</v>
      </c>
      <c r="AT174" s="422" t="str">
        <f t="shared" si="470"/>
        <v>NA</v>
      </c>
      <c r="AU174" s="301" t="str">
        <f t="shared" si="471"/>
        <v>NA</v>
      </c>
      <c r="AV174" s="424" t="str">
        <f t="shared" si="472"/>
        <v>1R x 0.6/1kV x 3C x 2.5 Sqmm</v>
      </c>
      <c r="AW174" s="424" t="str">
        <f t="shared" si="473"/>
        <v>1R x 0.6/1kV x 3C x 2.5 Sqmm</v>
      </c>
      <c r="AX174" s="301">
        <f t="shared" si="474"/>
        <v>368</v>
      </c>
      <c r="AY174" s="575"/>
    </row>
    <row r="175" spans="1:51" s="70" customFormat="1" ht="20.149999999999999" customHeight="1">
      <c r="A175" s="273"/>
      <c r="B175" s="273"/>
      <c r="C175" s="273"/>
      <c r="D175" s="357" t="s">
        <v>498</v>
      </c>
      <c r="E175" s="358"/>
      <c r="F175" s="359"/>
      <c r="G175" s="273"/>
      <c r="H175" s="281"/>
      <c r="I175" s="273"/>
      <c r="J175" s="273"/>
      <c r="K175" s="280"/>
      <c r="L175" s="275"/>
      <c r="M175" s="281"/>
      <c r="N175" s="274"/>
      <c r="O175" s="274"/>
      <c r="P175" s="275"/>
      <c r="Q175" s="281"/>
      <c r="R175" s="281"/>
      <c r="S175" s="281"/>
      <c r="T175" s="275"/>
      <c r="U175" s="281"/>
      <c r="V175" s="275"/>
      <c r="W175" s="275"/>
      <c r="X175" s="275"/>
      <c r="Y175" s="275"/>
      <c r="Z175" s="276"/>
      <c r="AA175" s="277"/>
      <c r="AB175" s="277"/>
      <c r="AC175" s="278"/>
      <c r="AD175" s="278"/>
      <c r="AE175" s="278"/>
      <c r="AF175" s="278"/>
      <c r="AG175" s="278"/>
      <c r="AH175" s="279"/>
      <c r="AI175" s="276"/>
      <c r="AJ175" s="274"/>
      <c r="AK175" s="276"/>
      <c r="AL175" s="276"/>
      <c r="AM175" s="276"/>
      <c r="AN175" s="282"/>
      <c r="AO175" s="281"/>
      <c r="AP175" s="280"/>
      <c r="AQ175" s="281"/>
      <c r="AR175" s="282"/>
      <c r="AS175" s="275"/>
      <c r="AT175" s="282"/>
      <c r="AU175" s="282"/>
      <c r="AV175" s="283"/>
      <c r="AW175" s="283"/>
      <c r="AX175" s="275"/>
      <c r="AY175" s="284"/>
    </row>
    <row r="176" spans="1:51" ht="20.149999999999999" customHeight="1">
      <c r="A176" s="243">
        <f>1+A174</f>
        <v>128</v>
      </c>
      <c r="B176" s="390" t="s">
        <v>499</v>
      </c>
      <c r="C176" s="243" t="s">
        <v>491</v>
      </c>
      <c r="D176" s="597" t="s">
        <v>1035</v>
      </c>
      <c r="E176" s="320" t="s">
        <v>312</v>
      </c>
      <c r="F176" s="243" t="s">
        <v>29</v>
      </c>
      <c r="G176" s="243" t="s">
        <v>298</v>
      </c>
      <c r="H176" s="256">
        <v>0.5</v>
      </c>
      <c r="I176" s="243" t="s">
        <v>299</v>
      </c>
      <c r="J176" s="243" t="s">
        <v>300</v>
      </c>
      <c r="K176" s="255">
        <v>400</v>
      </c>
      <c r="L176" s="249">
        <v>0.85</v>
      </c>
      <c r="M176" s="256">
        <v>0.95</v>
      </c>
      <c r="N176" s="248">
        <f>IF(I176="kVA",IF(J176="3Ph",(H176*1000/(1.732*M176*K176)),(H176*1000/(M176*K176))),IF(I176="kW",IF(J176="3Ph",(H176*1000/(1.732*M176*K176*L176)),(H176*1000/(M176*K176*L176)))))</f>
        <v>0.89375728412186572</v>
      </c>
      <c r="O176" s="248">
        <f t="shared" si="456"/>
        <v>0</v>
      </c>
      <c r="P176" s="249" t="str">
        <f>IF(G176="MOTOR",0.2,"0.00")</f>
        <v>0.00</v>
      </c>
      <c r="Q176" s="256">
        <v>65</v>
      </c>
      <c r="R176" s="256">
        <v>0</v>
      </c>
      <c r="S176" s="256">
        <f>(Q176*1000*SQRT(R176)/143)</f>
        <v>0</v>
      </c>
      <c r="T176" s="249" t="s">
        <v>131</v>
      </c>
      <c r="U176" s="256" t="s">
        <v>377</v>
      </c>
      <c r="V176" s="249">
        <v>4</v>
      </c>
      <c r="W176" s="249" t="str">
        <f>CONCATENATE(U176," X ",V176)</f>
        <v>4C X 4</v>
      </c>
      <c r="X176" s="249" t="str">
        <f>(IF(J176="1Ph",W176,IF(J176="3Ph",(IF(G176="MOTOR",(CONCATENATE(W176,"+PE")),W176)))))</f>
        <v>4C X 4</v>
      </c>
      <c r="Y176" s="249" t="s">
        <v>314</v>
      </c>
      <c r="Z176" s="250">
        <f>IF(T176="AIR",VLOOKUP(W176,'Catalogue Aluminium'!$B$9:$G$91,2,FALSE),IF(T176="GROUND",VLOOKUP(W176,'Catalogue Aluminium'!$B$9:$G$91,3,FALSE),IF(T176="DUCT",VLOOKUP(W176,'Catalogue Aluminium'!$B$9:$G$91,4,FALSE),IF(T176="TRENCH",VLOOKUP(W176,'Catalogue Aluminium'!$B$9:$G$91,2,FALSE)))))</f>
        <v>38</v>
      </c>
      <c r="AA176" s="251">
        <f>VLOOKUP(W176,'Catalogue Aluminium'!$B$9:$G$91,5,FALSE)</f>
        <v>5.9</v>
      </c>
      <c r="AB176" s="251">
        <f>VLOOKUP(W176,'Catalogue Aluminium'!$B$9:$G$91,6,FALSE)</f>
        <v>9.4700000000000006E-2</v>
      </c>
      <c r="AC176" s="294">
        <f t="shared" ref="AC176:AC180" si="519">26+3</f>
        <v>29</v>
      </c>
      <c r="AD176" s="294">
        <f>40+50+38+50+58+60+17+64+23+24</f>
        <v>424</v>
      </c>
      <c r="AE176" s="294">
        <f t="shared" ref="AE176:AE180" si="520">11+8+8+11</f>
        <v>38</v>
      </c>
      <c r="AF176" s="294">
        <v>8</v>
      </c>
      <c r="AG176" s="294">
        <f t="shared" ref="AG176:AG180" si="521">ROUNDUP((SUM(AC176:AF176)*0.1),0)</f>
        <v>50</v>
      </c>
      <c r="AH176" s="253">
        <f t="shared" ref="AH176:AH180" si="522">SUM(AC176:AG176)</f>
        <v>549</v>
      </c>
      <c r="AI176" s="250">
        <f>IF(T176="AIR",'Catalogue Aluminium'!$K$9,IF(T176="TRENCH",'Catalogue Aluminium'!$K$12,"NA"))</f>
        <v>0.89</v>
      </c>
      <c r="AJ176" s="248">
        <f>IF(T176="Air",(IF(U176="1C",'Catalogue Aluminium'!$L$9,'Catalogue Aluminium'!$M$9)),IF(T176="DUCT",(IF($U176="1C",'Catalogue Aluminium'!$L$10,'Catalogue Aluminium'!$M$10)),IF(T176="GROUND",(IF($U176="1C",'Catalogue Aluminium'!$L$11,'Catalogue Aluminium'!$M$11)),IF(T176="TRENCH",(IF($U176="1C",'Catalogue Aluminium'!$L$12,'Catalogue Aluminium'!$M$12))))))</f>
        <v>0.66</v>
      </c>
      <c r="AK176" s="250" t="str">
        <f>IF(T176="Air",'Catalogue Aluminium'!$N$9,IF(T176="GROUND",'Catalogue Aluminium'!$N$10,IF(T176="DUCT",'Catalogue Aluminium'!$N$11,IF(T176="TRENCH",'Catalogue Aluminium'!$N$12,"NA"))))</f>
        <v>NA</v>
      </c>
      <c r="AL176" s="250" t="str">
        <f>IF(T176="Air",(IF(U176="1C",'Catalogue Aluminium'!$O$9,'Catalogue Aluminium'!$P$9)),IF(T176="DUCT",(IF($U176="1C",'Catalogue Aluminium'!$O$10,'Catalogue Aluminium'!$P$10)),IF(T176="GROUND",(IF($U176="1C",'Catalogue Aluminium'!$O$11,'Catalogue Aluminium'!$P$11)),IF(T176="TRENCH",(IF($U176="1C",'Catalogue Aluminium'!$O$12,'Catalogue Aluminium'!$P$12))))))</f>
        <v>NA</v>
      </c>
      <c r="AM176" s="250" t="str">
        <f>IF(T176="AIR","NA",IF(T176="TRENCH","NA",IF(T176="DUCT",IF(U176="1C",VLOOKUP(V176,'Catalogue Aluminium'!$Q$9:$S$28,2,FALSE),VLOOKUP(V176,'Catalogue Aluminium'!$Q$9:$S$28,3)),IF(T176="GROUND",IF(U176="1C",VLOOKUP(V176,'Catalogue Aluminium'!$Q$9:$S$28,2,FALSE),VLOOKUP(V176,'Catalogue Aluminium'!$Q$9:$S$28,3))))))</f>
        <v>NA</v>
      </c>
      <c r="AN176" s="257">
        <f>IF(T176="AIR",AI176*AJ176,IF(T176="TRENCH",AI176*AJ176,IF(T176="DUCT",AJ176*AK176*AL176*AM176,IF(T176="GROUND",AJ176*AK176*AL176*AM176))))</f>
        <v>0.58740000000000003</v>
      </c>
      <c r="AO176" s="256">
        <f>Z176*AN176</f>
        <v>22.321200000000001</v>
      </c>
      <c r="AP176" s="255">
        <f t="shared" si="466"/>
        <v>1</v>
      </c>
      <c r="AQ176" s="256" t="str">
        <f>IF(AO176*AP176&gt;=N176,"YES","NO")</f>
        <v>YES</v>
      </c>
      <c r="AR176" s="257">
        <f>SQRT(3)*AH176*N176*((AA176*L176)+(AB176*SIN(ACOS(L176))))*100/(AP176*K176*1000)</f>
        <v>1.0761239003419836</v>
      </c>
      <c r="AS176" s="249" t="str">
        <f>IF(G176="INCOMER",(IF(AR176&lt;=2,"YES","NO")),IF(G176="POWER",(IF(AR176&lt;=2.5,"YES","NO")),IF(G176="MOTOR",(IF(AR176&lt;=3,"YES","NO")))))</f>
        <v>YES</v>
      </c>
      <c r="AT176" s="257" t="str">
        <f>IF(G176="MOTOR",(SQRT(3)*AH176*O176*((AA176*P176)+(AB176*SIN(ACOS(P176))))*100/(AP176*K176*1000)),"NA")</f>
        <v>NA</v>
      </c>
      <c r="AU176" s="249" t="str">
        <f>IF(G176="MOTOR",IF(AT176&lt;=15,"YES","NO"),"NA")</f>
        <v>NA</v>
      </c>
      <c r="AV176" s="260" t="str">
        <f>IF(U176="1C",CONCATENATE(AP176,"R x ",Y176,"kV x ",U176," x ",V176," Sqmm/Phase"),CONCATENATE(AP176,"R x ",0.6,"/1kV x ",U176," x ",V176," Sqmm"))</f>
        <v>1R x 0.6/1kV x 4C x 4 Sqmm</v>
      </c>
      <c r="AW176" s="260" t="str">
        <f>IF(U176="1C",CONCATENATE(AP176,"R x ",Y176,"kV x ",U176," x ",V176," Sqmm/Phase"),CONCATENATE(AP176,"R x ",0.6,"/1kV x ",U176," x ",V176,(IF(G176="MOTOR","+PE",""))," Sqmm"))</f>
        <v>1R x 0.6/1kV x 4C x 4 Sqmm</v>
      </c>
      <c r="AX176" s="249">
        <f>(IF(K176=400,(IF(U176="1C",(4*AH176*AP176),(AH176*AP176))),IF(K176=230,(AH176*AP176))))</f>
        <v>549</v>
      </c>
      <c r="AY176" s="261"/>
    </row>
    <row r="177" spans="1:51" ht="20.149999999999999" customHeight="1">
      <c r="A177" s="243">
        <f t="shared" ref="A177:A180" si="523">1+A176</f>
        <v>129</v>
      </c>
      <c r="B177" s="390" t="s">
        <v>500</v>
      </c>
      <c r="C177" s="243" t="s">
        <v>491</v>
      </c>
      <c r="D177" s="306" t="s">
        <v>501</v>
      </c>
      <c r="E177" s="320" t="s">
        <v>312</v>
      </c>
      <c r="F177" s="243" t="s">
        <v>29</v>
      </c>
      <c r="G177" s="243" t="s">
        <v>298</v>
      </c>
      <c r="H177" s="256">
        <v>1</v>
      </c>
      <c r="I177" s="243" t="s">
        <v>299</v>
      </c>
      <c r="J177" s="243" t="s">
        <v>300</v>
      </c>
      <c r="K177" s="255">
        <v>400</v>
      </c>
      <c r="L177" s="249">
        <v>0.85</v>
      </c>
      <c r="M177" s="256">
        <v>0.95</v>
      </c>
      <c r="N177" s="248">
        <f>IF(I177="kVA",IF(J177="3Ph",(H177*1000/(1.732*M177*K177)),(H177*1000/(M177*K177))),IF(I177="kW",IF(J177="3Ph",(H177*1000/(1.732*M177*K177*L177)),(H177*1000/(M177*K177*L177)))))</f>
        <v>1.7875145682437314</v>
      </c>
      <c r="O177" s="248">
        <f t="shared" si="456"/>
        <v>0</v>
      </c>
      <c r="P177" s="249" t="str">
        <f>IF(G177="MOTOR",0.2,"0.00")</f>
        <v>0.00</v>
      </c>
      <c r="Q177" s="256">
        <v>65</v>
      </c>
      <c r="R177" s="256">
        <v>0</v>
      </c>
      <c r="S177" s="256">
        <f>(Q177*1000*SQRT(R177)/143)</f>
        <v>0</v>
      </c>
      <c r="T177" s="249" t="s">
        <v>131</v>
      </c>
      <c r="U177" s="256" t="s">
        <v>377</v>
      </c>
      <c r="V177" s="249">
        <v>4</v>
      </c>
      <c r="W177" s="249" t="str">
        <f>CONCATENATE(U177," X ",V177)</f>
        <v>4C X 4</v>
      </c>
      <c r="X177" s="249" t="str">
        <f>(IF(J177="1Ph",W177,IF(J177="3Ph",(IF(G177="MOTOR",(CONCATENATE(W177,"+PE")),W177)))))</f>
        <v>4C X 4</v>
      </c>
      <c r="Y177" s="249" t="s">
        <v>314</v>
      </c>
      <c r="Z177" s="250">
        <f>IF(T177="AIR",VLOOKUP(W177,'Catalogue Aluminium'!$B$9:$G$91,2,FALSE),IF(T177="GROUND",VLOOKUP(W177,'Catalogue Aluminium'!$B$9:$G$91,3,FALSE),IF(T177="DUCT",VLOOKUP(W177,'Catalogue Aluminium'!$B$9:$G$91,4,FALSE),IF(T177="TRENCH",VLOOKUP(W177,'Catalogue Aluminium'!$B$9:$G$91,2,FALSE)))))</f>
        <v>38</v>
      </c>
      <c r="AA177" s="251">
        <f>VLOOKUP(W177,'Catalogue Aluminium'!$B$9:$G$91,5,FALSE)</f>
        <v>5.9</v>
      </c>
      <c r="AB177" s="251">
        <f>VLOOKUP(W177,'Catalogue Aluminium'!$B$9:$G$91,6,FALSE)</f>
        <v>9.4700000000000006E-2</v>
      </c>
      <c r="AC177" s="294">
        <f t="shared" si="519"/>
        <v>29</v>
      </c>
      <c r="AD177" s="294">
        <f>40+50+38+50+58+60+17+28+18+3</f>
        <v>362</v>
      </c>
      <c r="AE177" s="294">
        <f t="shared" si="520"/>
        <v>38</v>
      </c>
      <c r="AF177" s="294">
        <v>8</v>
      </c>
      <c r="AG177" s="294">
        <f t="shared" si="521"/>
        <v>44</v>
      </c>
      <c r="AH177" s="253">
        <f t="shared" si="522"/>
        <v>481</v>
      </c>
      <c r="AI177" s="250">
        <f>IF(T177="AIR",'Catalogue Aluminium'!$K$9,IF(T177="TRENCH",'Catalogue Aluminium'!$K$12,"NA"))</f>
        <v>0.89</v>
      </c>
      <c r="AJ177" s="248">
        <f>IF(T177="Air",(IF(U177="1C",'Catalogue Aluminium'!$L$9,'Catalogue Aluminium'!$M$9)),IF(T177="DUCT",(IF($U177="1C",'Catalogue Aluminium'!$L$10,'Catalogue Aluminium'!$M$10)),IF(T177="GROUND",(IF($U177="1C",'Catalogue Aluminium'!$L$11,'Catalogue Aluminium'!$M$11)),IF(T177="TRENCH",(IF($U177="1C",'Catalogue Aluminium'!$L$12,'Catalogue Aluminium'!$M$12))))))</f>
        <v>0.66</v>
      </c>
      <c r="AK177" s="250" t="str">
        <f>IF(T177="Air",'Catalogue Aluminium'!$N$9,IF(T177="GROUND",'Catalogue Aluminium'!$N$10,IF(T177="DUCT",'Catalogue Aluminium'!$N$11,IF(T177="TRENCH",'Catalogue Aluminium'!$N$12,"NA"))))</f>
        <v>NA</v>
      </c>
      <c r="AL177" s="250" t="str">
        <f>IF(T177="Air",(IF(U177="1C",'Catalogue Aluminium'!$O$9,'Catalogue Aluminium'!$P$9)),IF(T177="DUCT",(IF($U177="1C",'Catalogue Aluminium'!$O$10,'Catalogue Aluminium'!$P$10)),IF(T177="GROUND",(IF($U177="1C",'Catalogue Aluminium'!$O$11,'Catalogue Aluminium'!$P$11)),IF(T177="TRENCH",(IF($U177="1C",'Catalogue Aluminium'!$O$12,'Catalogue Aluminium'!$P$12))))))</f>
        <v>NA</v>
      </c>
      <c r="AM177" s="250" t="str">
        <f>IF(T177="AIR","NA",IF(T177="TRENCH","NA",IF(T177="DUCT",IF(U177="1C",VLOOKUP(V177,'Catalogue Aluminium'!$Q$9:$S$28,2,FALSE),VLOOKUP(V177,'Catalogue Aluminium'!$Q$9:$S$28,3)),IF(T177="GROUND",IF(U177="1C",VLOOKUP(V177,'Catalogue Aluminium'!$Q$9:$S$28,2,FALSE),VLOOKUP(V177,'Catalogue Aluminium'!$Q$9:$S$28,3))))))</f>
        <v>NA</v>
      </c>
      <c r="AN177" s="257">
        <f>IF(T177="AIR",AI177*AJ177,IF(T177="TRENCH",AI177*AJ177,IF(T177="DUCT",AJ177*AK177*AL177*AM177,IF(T177="GROUND",AJ177*AK177*AL177*AM177))))</f>
        <v>0.58740000000000003</v>
      </c>
      <c r="AO177" s="256">
        <f>Z177*AN177</f>
        <v>22.321200000000001</v>
      </c>
      <c r="AP177" s="255">
        <f t="shared" si="466"/>
        <v>1</v>
      </c>
      <c r="AQ177" s="256" t="str">
        <f>IF(AO177*AP177&gt;=N177,"YES","NO")</f>
        <v>YES</v>
      </c>
      <c r="AR177" s="257">
        <f>SQRT(3)*AH177*N177*((AA177*L177)+(AB177*SIN(ACOS(L177))))*100/(AP177*K177*1000)</f>
        <v>1.8856670166283935</v>
      </c>
      <c r="AS177" s="249" t="str">
        <f>IF(G177="INCOMER",(IF(AR177&lt;=2,"YES","NO")),IF(G177="POWER",(IF(AR177&lt;=2.5,"YES","NO")),IF(G177="MOTOR",(IF(AR177&lt;=3,"YES","NO")))))</f>
        <v>YES</v>
      </c>
      <c r="AT177" s="257" t="str">
        <f>IF(G177="MOTOR",(SQRT(3)*AH177*O177*((AA177*P177)+(AB177*SIN(ACOS(P177))))*100/(AP177*K177*1000)),"NA")</f>
        <v>NA</v>
      </c>
      <c r="AU177" s="249" t="str">
        <f>IF(G177="MOTOR",IF(AT177&lt;=15,"YES","NO"),"NA")</f>
        <v>NA</v>
      </c>
      <c r="AV177" s="260" t="str">
        <f>IF(U177="1C",CONCATENATE(AP177,"R x ",Y177,"kV x ",U177," x ",V177," Sqmm/Phase"),CONCATENATE(AP177,"R x ",0.6,"/1kV x ",U177," x ",V177," Sqmm"))</f>
        <v>1R x 0.6/1kV x 4C x 4 Sqmm</v>
      </c>
      <c r="AW177" s="260" t="str">
        <f>IF(U177="1C",CONCATENATE(AP177,"R x ",Y177,"kV x ",U177," x ",V177," Sqmm/Phase"),CONCATENATE(AP177,"R x ",0.6,"/1kV x ",U177," x ",V177,(IF(G177="MOTOR","+PE",""))," Sqmm"))</f>
        <v>1R x 0.6/1kV x 4C x 4 Sqmm</v>
      </c>
      <c r="AX177" s="249">
        <f>(IF(K177=400,(IF(U177="1C",(4*AH177*AP177),(AH177*AP177))),IF(K177=230,(AH177*AP177))))</f>
        <v>481</v>
      </c>
      <c r="AY177" s="261"/>
    </row>
    <row r="178" spans="1:51" ht="20.149999999999999" customHeight="1">
      <c r="A178" s="243">
        <f t="shared" si="523"/>
        <v>130</v>
      </c>
      <c r="B178" s="390" t="s">
        <v>502</v>
      </c>
      <c r="C178" s="243" t="s">
        <v>491</v>
      </c>
      <c r="D178" s="306" t="s">
        <v>503</v>
      </c>
      <c r="E178" s="320" t="s">
        <v>312</v>
      </c>
      <c r="F178" s="243" t="s">
        <v>29</v>
      </c>
      <c r="G178" s="243" t="s">
        <v>298</v>
      </c>
      <c r="H178" s="256">
        <v>1</v>
      </c>
      <c r="I178" s="243" t="s">
        <v>299</v>
      </c>
      <c r="J178" s="243" t="s">
        <v>300</v>
      </c>
      <c r="K178" s="255">
        <v>400</v>
      </c>
      <c r="L178" s="249">
        <v>0.85</v>
      </c>
      <c r="M178" s="256">
        <v>0.95</v>
      </c>
      <c r="N178" s="248">
        <f>IF(I178="kVA",IF(J178="3Ph",(H178*1000/(1.732*M178*K178)),(H178*1000/(M178*K178))),IF(I178="kW",IF(J178="3Ph",(H178*1000/(1.732*M178*K178*L178)),(H178*1000/(M178*K178*L178)))))</f>
        <v>1.7875145682437314</v>
      </c>
      <c r="O178" s="248">
        <f t="shared" si="456"/>
        <v>0</v>
      </c>
      <c r="P178" s="249" t="str">
        <f>IF(G178="MOTOR",0.2,"0.00")</f>
        <v>0.00</v>
      </c>
      <c r="Q178" s="256">
        <v>65</v>
      </c>
      <c r="R178" s="256">
        <v>0</v>
      </c>
      <c r="S178" s="256">
        <f>(Q178*1000*SQRT(R178)/143)</f>
        <v>0</v>
      </c>
      <c r="T178" s="249" t="s">
        <v>131</v>
      </c>
      <c r="U178" s="256" t="s">
        <v>377</v>
      </c>
      <c r="V178" s="249">
        <v>4</v>
      </c>
      <c r="W178" s="249" t="str">
        <f>CONCATENATE(U178," X ",V178)</f>
        <v>4C X 4</v>
      </c>
      <c r="X178" s="249" t="str">
        <f>(IF(J178="1Ph",W178,IF(J178="3Ph",(IF(G178="MOTOR",(CONCATENATE(W178,"+PE")),W178)))))</f>
        <v>4C X 4</v>
      </c>
      <c r="Y178" s="249" t="s">
        <v>314</v>
      </c>
      <c r="Z178" s="250">
        <f>IF(T178="AIR",VLOOKUP(W178,'Catalogue Aluminium'!$B$9:$G$91,2,FALSE),IF(T178="GROUND",VLOOKUP(W178,'Catalogue Aluminium'!$B$9:$G$91,3,FALSE),IF(T178="DUCT",VLOOKUP(W178,'Catalogue Aluminium'!$B$9:$G$91,4,FALSE),IF(T178="TRENCH",VLOOKUP(W178,'Catalogue Aluminium'!$B$9:$G$91,2,FALSE)))))</f>
        <v>38</v>
      </c>
      <c r="AA178" s="251">
        <f>VLOOKUP(W178,'Catalogue Aluminium'!$B$9:$G$91,5,FALSE)</f>
        <v>5.9</v>
      </c>
      <c r="AB178" s="251">
        <f>VLOOKUP(W178,'Catalogue Aluminium'!$B$9:$G$91,6,FALSE)</f>
        <v>9.4700000000000006E-2</v>
      </c>
      <c r="AC178" s="294">
        <f t="shared" si="519"/>
        <v>29</v>
      </c>
      <c r="AD178" s="294">
        <f t="shared" ref="AD178:AD180" si="524">40+50+38+50+58+60+17+28+18+3</f>
        <v>362</v>
      </c>
      <c r="AE178" s="294">
        <f t="shared" si="520"/>
        <v>38</v>
      </c>
      <c r="AF178" s="294">
        <v>8</v>
      </c>
      <c r="AG178" s="294">
        <f t="shared" si="521"/>
        <v>44</v>
      </c>
      <c r="AH178" s="253">
        <f t="shared" si="522"/>
        <v>481</v>
      </c>
      <c r="AI178" s="250">
        <f>IF(T178="AIR",'Catalogue Aluminium'!$K$9,IF(T178="TRENCH",'Catalogue Aluminium'!$K$12,"NA"))</f>
        <v>0.89</v>
      </c>
      <c r="AJ178" s="248">
        <f>IF(T178="Air",(IF(U178="1C",'Catalogue Aluminium'!$L$9,'Catalogue Aluminium'!$M$9)),IF(T178="DUCT",(IF($U178="1C",'Catalogue Aluminium'!$L$10,'Catalogue Aluminium'!$M$10)),IF(T178="GROUND",(IF($U178="1C",'Catalogue Aluminium'!$L$11,'Catalogue Aluminium'!$M$11)),IF(T178="TRENCH",(IF($U178="1C",'Catalogue Aluminium'!$L$12,'Catalogue Aluminium'!$M$12))))))</f>
        <v>0.66</v>
      </c>
      <c r="AK178" s="250" t="str">
        <f>IF(T178="Air",'Catalogue Aluminium'!$N$9,IF(T178="GROUND",'Catalogue Aluminium'!$N$10,IF(T178="DUCT",'Catalogue Aluminium'!$N$11,IF(T178="TRENCH",'Catalogue Aluminium'!$N$12,"NA"))))</f>
        <v>NA</v>
      </c>
      <c r="AL178" s="250" t="str">
        <f>IF(T178="Air",(IF(U178="1C",'Catalogue Aluminium'!$O$9,'Catalogue Aluminium'!$P$9)),IF(T178="DUCT",(IF($U178="1C",'Catalogue Aluminium'!$O$10,'Catalogue Aluminium'!$P$10)),IF(T178="GROUND",(IF($U178="1C",'Catalogue Aluminium'!$O$11,'Catalogue Aluminium'!$P$11)),IF(T178="TRENCH",(IF($U178="1C",'Catalogue Aluminium'!$O$12,'Catalogue Aluminium'!$P$12))))))</f>
        <v>NA</v>
      </c>
      <c r="AM178" s="250" t="str">
        <f>IF(T178="AIR","NA",IF(T178="TRENCH","NA",IF(T178="DUCT",IF(U178="1C",VLOOKUP(V178,'Catalogue Aluminium'!$Q$9:$S$28,2,FALSE),VLOOKUP(V178,'Catalogue Aluminium'!$Q$9:$S$28,3)),IF(T178="GROUND",IF(U178="1C",VLOOKUP(V178,'Catalogue Aluminium'!$Q$9:$S$28,2,FALSE),VLOOKUP(V178,'Catalogue Aluminium'!$Q$9:$S$28,3))))))</f>
        <v>NA</v>
      </c>
      <c r="AN178" s="257">
        <f>IF(T178="AIR",AI178*AJ178,IF(T178="TRENCH",AI178*AJ178,IF(T178="DUCT",AJ178*AK178*AL178*AM178,IF(T178="GROUND",AJ178*AK178*AL178*AM178))))</f>
        <v>0.58740000000000003</v>
      </c>
      <c r="AO178" s="256">
        <f>Z178*AN178</f>
        <v>22.321200000000001</v>
      </c>
      <c r="AP178" s="255">
        <f t="shared" si="466"/>
        <v>1</v>
      </c>
      <c r="AQ178" s="256" t="str">
        <f>IF(AO178*AP178&gt;=N178,"YES","NO")</f>
        <v>YES</v>
      </c>
      <c r="AR178" s="257">
        <f>SQRT(3)*AH178*N178*((AA178*L178)+(AB178*SIN(ACOS(L178))))*100/(AP178*K178*1000)</f>
        <v>1.8856670166283935</v>
      </c>
      <c r="AS178" s="249" t="str">
        <f>IF(G178="INCOMER",(IF(AR178&lt;=2,"YES","NO")),IF(G178="POWER",(IF(AR178&lt;=2.5,"YES","NO")),IF(G178="MOTOR",(IF(AR178&lt;=3,"YES","NO")))))</f>
        <v>YES</v>
      </c>
      <c r="AT178" s="257" t="str">
        <f>IF(G178="MOTOR",(SQRT(3)*AH178*O178*((AA178*P178)+(AB178*SIN(ACOS(P178))))*100/(AP178*K178*1000)),"NA")</f>
        <v>NA</v>
      </c>
      <c r="AU178" s="249" t="str">
        <f>IF(G178="MOTOR",IF(AT178&lt;=15,"YES","NO"),"NA")</f>
        <v>NA</v>
      </c>
      <c r="AV178" s="260" t="str">
        <f>IF(U178="1C",CONCATENATE(AP178,"R x ",Y178,"kV x ",U178," x ",V178," Sqmm/Phase"),CONCATENATE(AP178,"R x ",0.6,"/1kV x ",U178," x ",V178," Sqmm"))</f>
        <v>1R x 0.6/1kV x 4C x 4 Sqmm</v>
      </c>
      <c r="AW178" s="260" t="str">
        <f>IF(U178="1C",CONCATENATE(AP178,"R x ",Y178,"kV x ",U178," x ",V178," Sqmm/Phase"),CONCATENATE(AP178,"R x ",0.6,"/1kV x ",U178," x ",V178,(IF(G178="MOTOR","+PE",""))," Sqmm"))</f>
        <v>1R x 0.6/1kV x 4C x 4 Sqmm</v>
      </c>
      <c r="AX178" s="249">
        <f>(IF(K178=400,(IF(U178="1C",(4*AH178*AP178),(AH178*AP178))),IF(K178=230,(AH178*AP178))))</f>
        <v>481</v>
      </c>
      <c r="AY178" s="261"/>
    </row>
    <row r="179" spans="1:51" ht="20.149999999999999" customHeight="1">
      <c r="A179" s="243">
        <f t="shared" si="523"/>
        <v>131</v>
      </c>
      <c r="B179" s="390" t="s">
        <v>504</v>
      </c>
      <c r="C179" s="243" t="s">
        <v>491</v>
      </c>
      <c r="D179" s="306" t="s">
        <v>505</v>
      </c>
      <c r="E179" s="320" t="s">
        <v>312</v>
      </c>
      <c r="F179" s="243" t="s">
        <v>29</v>
      </c>
      <c r="G179" s="243" t="s">
        <v>298</v>
      </c>
      <c r="H179" s="256">
        <v>1</v>
      </c>
      <c r="I179" s="243" t="s">
        <v>299</v>
      </c>
      <c r="J179" s="243" t="s">
        <v>300</v>
      </c>
      <c r="K179" s="255">
        <v>400</v>
      </c>
      <c r="L179" s="249">
        <v>0.85</v>
      </c>
      <c r="M179" s="256">
        <v>0.95</v>
      </c>
      <c r="N179" s="248">
        <f>IF(I179="kVA",IF(J179="3Ph",(H179*1000/(1.732*M179*K179)),(H179*1000/(M179*K179))),IF(I179="kW",IF(J179="3Ph",(H179*1000/(1.732*M179*K179*L179)),(H179*1000/(M179*K179*L179)))))</f>
        <v>1.7875145682437314</v>
      </c>
      <c r="O179" s="248">
        <f t="shared" si="456"/>
        <v>0</v>
      </c>
      <c r="P179" s="249" t="str">
        <f>IF(G179="MOTOR",0.2,"0.00")</f>
        <v>0.00</v>
      </c>
      <c r="Q179" s="256">
        <v>65</v>
      </c>
      <c r="R179" s="256">
        <v>0</v>
      </c>
      <c r="S179" s="256">
        <f>(Q179*1000*SQRT(R179)/143)</f>
        <v>0</v>
      </c>
      <c r="T179" s="249" t="s">
        <v>131</v>
      </c>
      <c r="U179" s="256" t="s">
        <v>377</v>
      </c>
      <c r="V179" s="249">
        <v>4</v>
      </c>
      <c r="W179" s="249" t="str">
        <f>CONCATENATE(U179," X ",V179)</f>
        <v>4C X 4</v>
      </c>
      <c r="X179" s="249" t="str">
        <f>(IF(J179="1Ph",W179,IF(J179="3Ph",(IF(G179="MOTOR",(CONCATENATE(W179,"+PE")),W179)))))</f>
        <v>4C X 4</v>
      </c>
      <c r="Y179" s="249" t="s">
        <v>314</v>
      </c>
      <c r="Z179" s="250">
        <f>IF(T179="AIR",VLOOKUP(W179,'Catalogue Aluminium'!$B$9:$G$91,2,FALSE),IF(T179="GROUND",VLOOKUP(W179,'Catalogue Aluminium'!$B$9:$G$91,3,FALSE),IF(T179="DUCT",VLOOKUP(W179,'Catalogue Aluminium'!$B$9:$G$91,4,FALSE),IF(T179="TRENCH",VLOOKUP(W179,'Catalogue Aluminium'!$B$9:$G$91,2,FALSE)))))</f>
        <v>38</v>
      </c>
      <c r="AA179" s="251">
        <f>VLOOKUP(W179,'Catalogue Aluminium'!$B$9:$G$91,5,FALSE)</f>
        <v>5.9</v>
      </c>
      <c r="AB179" s="251">
        <f>VLOOKUP(W179,'Catalogue Aluminium'!$B$9:$G$91,6,FALSE)</f>
        <v>9.4700000000000006E-2</v>
      </c>
      <c r="AC179" s="294">
        <f t="shared" si="519"/>
        <v>29</v>
      </c>
      <c r="AD179" s="294">
        <f t="shared" si="524"/>
        <v>362</v>
      </c>
      <c r="AE179" s="294">
        <f t="shared" si="520"/>
        <v>38</v>
      </c>
      <c r="AF179" s="294">
        <v>8</v>
      </c>
      <c r="AG179" s="294">
        <f t="shared" si="521"/>
        <v>44</v>
      </c>
      <c r="AH179" s="253">
        <f t="shared" si="522"/>
        <v>481</v>
      </c>
      <c r="AI179" s="250">
        <f>IF(T179="AIR",'Catalogue Aluminium'!$K$9,IF(T179="TRENCH",'Catalogue Aluminium'!$K$12,"NA"))</f>
        <v>0.89</v>
      </c>
      <c r="AJ179" s="248">
        <f>IF(T179="Air",(IF(U179="1C",'Catalogue Aluminium'!$L$9,'Catalogue Aluminium'!$M$9)),IF(T179="DUCT",(IF($U179="1C",'Catalogue Aluminium'!$L$10,'Catalogue Aluminium'!$M$10)),IF(T179="GROUND",(IF($U179="1C",'Catalogue Aluminium'!$L$11,'Catalogue Aluminium'!$M$11)),IF(T179="TRENCH",(IF($U179="1C",'Catalogue Aluminium'!$L$12,'Catalogue Aluminium'!$M$12))))))</f>
        <v>0.66</v>
      </c>
      <c r="AK179" s="250" t="str">
        <f>IF(T179="Air",'Catalogue Aluminium'!$N$9,IF(T179="GROUND",'Catalogue Aluminium'!$N$10,IF(T179="DUCT",'Catalogue Aluminium'!$N$11,IF(T179="TRENCH",'Catalogue Aluminium'!$N$12,"NA"))))</f>
        <v>NA</v>
      </c>
      <c r="AL179" s="250" t="str">
        <f>IF(T179="Air",(IF(U179="1C",'Catalogue Aluminium'!$O$9,'Catalogue Aluminium'!$P$9)),IF(T179="DUCT",(IF($U179="1C",'Catalogue Aluminium'!$O$10,'Catalogue Aluminium'!$P$10)),IF(T179="GROUND",(IF($U179="1C",'Catalogue Aluminium'!$O$11,'Catalogue Aluminium'!$P$11)),IF(T179="TRENCH",(IF($U179="1C",'Catalogue Aluminium'!$O$12,'Catalogue Aluminium'!$P$12))))))</f>
        <v>NA</v>
      </c>
      <c r="AM179" s="250" t="str">
        <f>IF(T179="AIR","NA",IF(T179="TRENCH","NA",IF(T179="DUCT",IF(U179="1C",VLOOKUP(V179,'Catalogue Aluminium'!$Q$9:$S$28,2,FALSE),VLOOKUP(V179,'Catalogue Aluminium'!$Q$9:$S$28,3)),IF(T179="GROUND",IF(U179="1C",VLOOKUP(V179,'Catalogue Aluminium'!$Q$9:$S$28,2,FALSE),VLOOKUP(V179,'Catalogue Aluminium'!$Q$9:$S$28,3))))))</f>
        <v>NA</v>
      </c>
      <c r="AN179" s="257">
        <f>IF(T179="AIR",AI179*AJ179,IF(T179="TRENCH",AI179*AJ179,IF(T179="DUCT",AJ179*AK179*AL179*AM179,IF(T179="GROUND",AJ179*AK179*AL179*AM179))))</f>
        <v>0.58740000000000003</v>
      </c>
      <c r="AO179" s="256">
        <f>Z179*AN179</f>
        <v>22.321200000000001</v>
      </c>
      <c r="AP179" s="255">
        <f t="shared" si="466"/>
        <v>1</v>
      </c>
      <c r="AQ179" s="256" t="str">
        <f>IF(AO179*AP179&gt;=N179,"YES","NO")</f>
        <v>YES</v>
      </c>
      <c r="AR179" s="257">
        <f>SQRT(3)*AH179*N179*((AA179*L179)+(AB179*SIN(ACOS(L179))))*100/(AP179*K179*1000)</f>
        <v>1.8856670166283935</v>
      </c>
      <c r="AS179" s="249" t="str">
        <f>IF(G179="INCOMER",(IF(AR179&lt;=2,"YES","NO")),IF(G179="POWER",(IF(AR179&lt;=2.5,"YES","NO")),IF(G179="MOTOR",(IF(AR179&lt;=3,"YES","NO")))))</f>
        <v>YES</v>
      </c>
      <c r="AT179" s="257" t="str">
        <f>IF(G179="MOTOR",(SQRT(3)*AH179*O179*((AA179*P179)+(AB179*SIN(ACOS(P179))))*100/(AP179*K179*1000)),"NA")</f>
        <v>NA</v>
      </c>
      <c r="AU179" s="249" t="str">
        <f>IF(G179="MOTOR",IF(AT179&lt;=15,"YES","NO"),"NA")</f>
        <v>NA</v>
      </c>
      <c r="AV179" s="260" t="str">
        <f>IF(U179="1C",CONCATENATE(AP179,"R x ",Y179,"kV x ",U179," x ",V179," Sqmm/Phase"),CONCATENATE(AP179,"R x ",0.6,"/1kV x ",U179," x ",V179," Sqmm"))</f>
        <v>1R x 0.6/1kV x 4C x 4 Sqmm</v>
      </c>
      <c r="AW179" s="260" t="str">
        <f>IF(U179="1C",CONCATENATE(AP179,"R x ",Y179,"kV x ",U179," x ",V179," Sqmm/Phase"),CONCATENATE(AP179,"R x ",0.6,"/1kV x ",U179," x ",V179,(IF(G179="MOTOR","+PE",""))," Sqmm"))</f>
        <v>1R x 0.6/1kV x 4C x 4 Sqmm</v>
      </c>
      <c r="AX179" s="249">
        <f>(IF(K179=400,(IF(U179="1C",(4*AH179*AP179),(AH179*AP179))),IF(K179=230,(AH179*AP179))))</f>
        <v>481</v>
      </c>
      <c r="AY179" s="261"/>
    </row>
    <row r="180" spans="1:51" ht="20.149999999999999" customHeight="1">
      <c r="A180" s="243">
        <f t="shared" si="523"/>
        <v>132</v>
      </c>
      <c r="B180" s="390" t="s">
        <v>506</v>
      </c>
      <c r="C180" s="243" t="s">
        <v>491</v>
      </c>
      <c r="D180" s="306" t="s">
        <v>507</v>
      </c>
      <c r="E180" s="320" t="s">
        <v>312</v>
      </c>
      <c r="F180" s="243" t="s">
        <v>29</v>
      </c>
      <c r="G180" s="243" t="s">
        <v>298</v>
      </c>
      <c r="H180" s="256">
        <v>1</v>
      </c>
      <c r="I180" s="243" t="s">
        <v>299</v>
      </c>
      <c r="J180" s="243" t="s">
        <v>300</v>
      </c>
      <c r="K180" s="255">
        <v>400</v>
      </c>
      <c r="L180" s="249">
        <v>0.85</v>
      </c>
      <c r="M180" s="256">
        <v>0.95</v>
      </c>
      <c r="N180" s="248">
        <f>IF(I180="kVA",IF(J180="3Ph",(H180*1000/(1.732*M180*K180)),(H180*1000/(M180*K180))),IF(I180="kW",IF(J180="3Ph",(H180*1000/(1.732*M180*K180*L180)),(H180*1000/(M180*K180*L180)))))</f>
        <v>1.7875145682437314</v>
      </c>
      <c r="O180" s="248">
        <f t="shared" si="456"/>
        <v>0</v>
      </c>
      <c r="P180" s="249" t="str">
        <f>IF(G180="MOTOR",0.2,"0.00")</f>
        <v>0.00</v>
      </c>
      <c r="Q180" s="256">
        <v>65</v>
      </c>
      <c r="R180" s="256">
        <v>0</v>
      </c>
      <c r="S180" s="256">
        <f>(Q180*1000*SQRT(R180)/143)</f>
        <v>0</v>
      </c>
      <c r="T180" s="249" t="s">
        <v>131</v>
      </c>
      <c r="U180" s="256" t="s">
        <v>377</v>
      </c>
      <c r="V180" s="249">
        <v>4</v>
      </c>
      <c r="W180" s="249" t="str">
        <f>CONCATENATE(U180," X ",V180)</f>
        <v>4C X 4</v>
      </c>
      <c r="X180" s="249" t="str">
        <f>(IF(J180="1Ph",W180,IF(J180="3Ph",(IF(G180="MOTOR",(CONCATENATE(W180,"+PE")),W180)))))</f>
        <v>4C X 4</v>
      </c>
      <c r="Y180" s="249" t="s">
        <v>314</v>
      </c>
      <c r="Z180" s="250">
        <f>IF(T180="AIR",VLOOKUP(W180,'Catalogue Aluminium'!$B$9:$G$91,2,FALSE),IF(T180="GROUND",VLOOKUP(W180,'Catalogue Aluminium'!$B$9:$G$91,3,FALSE),IF(T180="DUCT",VLOOKUP(W180,'Catalogue Aluminium'!$B$9:$G$91,4,FALSE),IF(T180="TRENCH",VLOOKUP(W180,'Catalogue Aluminium'!$B$9:$G$91,2,FALSE)))))</f>
        <v>38</v>
      </c>
      <c r="AA180" s="251">
        <f>VLOOKUP(W180,'Catalogue Aluminium'!$B$9:$G$91,5,FALSE)</f>
        <v>5.9</v>
      </c>
      <c r="AB180" s="251">
        <f>VLOOKUP(W180,'Catalogue Aluminium'!$B$9:$G$91,6,FALSE)</f>
        <v>9.4700000000000006E-2</v>
      </c>
      <c r="AC180" s="294">
        <f t="shared" si="519"/>
        <v>29</v>
      </c>
      <c r="AD180" s="294">
        <f t="shared" si="524"/>
        <v>362</v>
      </c>
      <c r="AE180" s="294">
        <f t="shared" si="520"/>
        <v>38</v>
      </c>
      <c r="AF180" s="294">
        <v>8</v>
      </c>
      <c r="AG180" s="294">
        <f t="shared" si="521"/>
        <v>44</v>
      </c>
      <c r="AH180" s="253">
        <f t="shared" si="522"/>
        <v>481</v>
      </c>
      <c r="AI180" s="250">
        <f>IF(T180="AIR",'Catalogue Aluminium'!$K$9,IF(T180="TRENCH",'Catalogue Aluminium'!$K$12,"NA"))</f>
        <v>0.89</v>
      </c>
      <c r="AJ180" s="248">
        <f>IF(T180="Air",(IF(U180="1C",'Catalogue Aluminium'!$L$9,'Catalogue Aluminium'!$M$9)),IF(T180="DUCT",(IF($U180="1C",'Catalogue Aluminium'!$L$10,'Catalogue Aluminium'!$M$10)),IF(T180="GROUND",(IF($U180="1C",'Catalogue Aluminium'!$L$11,'Catalogue Aluminium'!$M$11)),IF(T180="TRENCH",(IF($U180="1C",'Catalogue Aluminium'!$L$12,'Catalogue Aluminium'!$M$12))))))</f>
        <v>0.66</v>
      </c>
      <c r="AK180" s="250" t="str">
        <f>IF(T180="Air",'Catalogue Aluminium'!$N$9,IF(T180="GROUND",'Catalogue Aluminium'!$N$10,IF(T180="DUCT",'Catalogue Aluminium'!$N$11,IF(T180="TRENCH",'Catalogue Aluminium'!$N$12,"NA"))))</f>
        <v>NA</v>
      </c>
      <c r="AL180" s="250" t="str">
        <f>IF(T180="Air",(IF(U180="1C",'Catalogue Aluminium'!$O$9,'Catalogue Aluminium'!$P$9)),IF(T180="DUCT",(IF($U180="1C",'Catalogue Aluminium'!$O$10,'Catalogue Aluminium'!$P$10)),IF(T180="GROUND",(IF($U180="1C",'Catalogue Aluminium'!$O$11,'Catalogue Aluminium'!$P$11)),IF(T180="TRENCH",(IF($U180="1C",'Catalogue Aluminium'!$O$12,'Catalogue Aluminium'!$P$12))))))</f>
        <v>NA</v>
      </c>
      <c r="AM180" s="250" t="str">
        <f>IF(T180="AIR","NA",IF(T180="TRENCH","NA",IF(T180="DUCT",IF(U180="1C",VLOOKUP(V180,'Catalogue Aluminium'!$Q$9:$S$28,2,FALSE),VLOOKUP(V180,'Catalogue Aluminium'!$Q$9:$S$28,3)),IF(T180="GROUND",IF(U180="1C",VLOOKUP(V180,'Catalogue Aluminium'!$Q$9:$S$28,2,FALSE),VLOOKUP(V180,'Catalogue Aluminium'!$Q$9:$S$28,3))))))</f>
        <v>NA</v>
      </c>
      <c r="AN180" s="257">
        <f>IF(T180="AIR",AI180*AJ180,IF(T180="TRENCH",AI180*AJ180,IF(T180="DUCT",AJ180*AK180*AL180*AM180,IF(T180="GROUND",AJ180*AK180*AL180*AM180))))</f>
        <v>0.58740000000000003</v>
      </c>
      <c r="AO180" s="256">
        <f>Z180*AN180</f>
        <v>22.321200000000001</v>
      </c>
      <c r="AP180" s="255">
        <f t="shared" si="466"/>
        <v>1</v>
      </c>
      <c r="AQ180" s="256" t="str">
        <f>IF(AO180*AP180&gt;=N180,"YES","NO")</f>
        <v>YES</v>
      </c>
      <c r="AR180" s="257">
        <f>SQRT(3)*AH180*N180*((AA180*L180)+(AB180*SIN(ACOS(L180))))*100/(AP180*K180*1000)</f>
        <v>1.8856670166283935</v>
      </c>
      <c r="AS180" s="249" t="str">
        <f>IF(G180="INCOMER",(IF(AR180&lt;=2,"YES","NO")),IF(G180="POWER",(IF(AR180&lt;=2.5,"YES","NO")),IF(G180="MOTOR",(IF(AR180&lt;=3,"YES","NO")))))</f>
        <v>YES</v>
      </c>
      <c r="AT180" s="257" t="str">
        <f>IF(G180="MOTOR",(SQRT(3)*AH180*O180*((AA180*P180)+(AB180*SIN(ACOS(P180))))*100/(AP180*K180*1000)),"NA")</f>
        <v>NA</v>
      </c>
      <c r="AU180" s="249" t="str">
        <f>IF(G180="MOTOR",IF(AT180&lt;=15,"YES","NO"),"NA")</f>
        <v>NA</v>
      </c>
      <c r="AV180" s="260" t="str">
        <f>IF(U180="1C",CONCATENATE(AP180,"R x ",Y180,"kV x ",U180," x ",V180," Sqmm/Phase"),CONCATENATE(AP180,"R x ",0.6,"/1kV x ",U180," x ",V180," Sqmm"))</f>
        <v>1R x 0.6/1kV x 4C x 4 Sqmm</v>
      </c>
      <c r="AW180" s="260" t="str">
        <f>IF(U180="1C",CONCATENATE(AP180,"R x ",Y180,"kV x ",U180," x ",V180," Sqmm/Phase"),CONCATENATE(AP180,"R x ",0.6,"/1kV x ",U180," x ",V180,(IF(G180="MOTOR","+PE",""))," Sqmm"))</f>
        <v>1R x 0.6/1kV x 4C x 4 Sqmm</v>
      </c>
      <c r="AX180" s="249">
        <f>(IF(K180=400,(IF(U180="1C",(4*AH180*AP180),(AH180*AP180))),IF(K180=230,(AH180*AP180))))</f>
        <v>481</v>
      </c>
      <c r="AY180" s="261"/>
    </row>
    <row r="181" spans="1:51" s="70" customFormat="1" ht="20.149999999999999" customHeight="1">
      <c r="A181" s="273"/>
      <c r="B181" s="273"/>
      <c r="C181" s="273"/>
      <c r="D181" s="357"/>
      <c r="E181" s="358"/>
      <c r="F181" s="359"/>
      <c r="G181" s="273"/>
      <c r="H181" s="281"/>
      <c r="I181" s="273"/>
      <c r="J181" s="273"/>
      <c r="K181" s="280"/>
      <c r="L181" s="275"/>
      <c r="M181" s="281"/>
      <c r="N181" s="274"/>
      <c r="O181" s="274"/>
      <c r="P181" s="275"/>
      <c r="Q181" s="281"/>
      <c r="R181" s="281"/>
      <c r="S181" s="281"/>
      <c r="T181" s="275"/>
      <c r="U181" s="281"/>
      <c r="V181" s="275"/>
      <c r="W181" s="275"/>
      <c r="X181" s="275"/>
      <c r="Y181" s="275"/>
      <c r="Z181" s="276"/>
      <c r="AA181" s="277"/>
      <c r="AB181" s="277"/>
      <c r="AC181" s="277"/>
      <c r="AD181" s="277"/>
      <c r="AE181" s="277"/>
      <c r="AF181" s="277"/>
      <c r="AG181" s="277"/>
      <c r="AH181" s="277"/>
      <c r="AI181" s="276"/>
      <c r="AJ181" s="274"/>
      <c r="AK181" s="276"/>
      <c r="AL181" s="276"/>
      <c r="AM181" s="276"/>
      <c r="AN181" s="282"/>
      <c r="AO181" s="281"/>
      <c r="AP181" s="280"/>
      <c r="AQ181" s="281"/>
      <c r="AR181" s="282"/>
      <c r="AS181" s="275"/>
      <c r="AT181" s="282"/>
      <c r="AU181" s="282"/>
      <c r="AV181" s="283"/>
      <c r="AW181" s="283"/>
      <c r="AX181" s="275"/>
      <c r="AY181" s="284"/>
    </row>
    <row r="182" spans="1:51" ht="20.149999999999999" customHeight="1">
      <c r="A182" s="243">
        <f>1+A180</f>
        <v>133</v>
      </c>
      <c r="B182" s="390" t="s">
        <v>508</v>
      </c>
      <c r="C182" s="243" t="s">
        <v>491</v>
      </c>
      <c r="D182" s="306" t="s">
        <v>509</v>
      </c>
      <c r="E182" s="272" t="s">
        <v>310</v>
      </c>
      <c r="F182" s="243" t="s">
        <v>28</v>
      </c>
      <c r="G182" s="243" t="s">
        <v>298</v>
      </c>
      <c r="H182" s="256">
        <v>2.2999999999999998</v>
      </c>
      <c r="I182" s="243" t="s">
        <v>299</v>
      </c>
      <c r="J182" s="243" t="s">
        <v>313</v>
      </c>
      <c r="K182" s="255">
        <v>230</v>
      </c>
      <c r="L182" s="249">
        <v>0.85</v>
      </c>
      <c r="M182" s="256">
        <v>0.95</v>
      </c>
      <c r="N182" s="248">
        <f>IF(I182="kVA",IF(J182="3Ph",(H182*1000/(1.732*M182*K182)),(H182*1000/(M182*K182))),IF(I182="kW",IF(J182="3Ph",(H182*1000/(1.732*M182*K182*L182)),(H182*1000/(M182*K182*L182)))))</f>
        <v>12.383900928792571</v>
      </c>
      <c r="O182" s="248">
        <f t="shared" si="456"/>
        <v>0</v>
      </c>
      <c r="P182" s="249" t="str">
        <f>IF(G182="MOTOR",0.2,"0.00")</f>
        <v>0.00</v>
      </c>
      <c r="Q182" s="256">
        <v>65</v>
      </c>
      <c r="R182" s="256">
        <v>0</v>
      </c>
      <c r="S182" s="256">
        <f>(Q182*1000*SQRT(R182)/143)</f>
        <v>0</v>
      </c>
      <c r="T182" s="249" t="s">
        <v>131</v>
      </c>
      <c r="U182" s="256" t="s">
        <v>302</v>
      </c>
      <c r="V182" s="249">
        <v>95</v>
      </c>
      <c r="W182" s="249" t="str">
        <f>CONCATENATE(U182," X ",V182)</f>
        <v>3C X 95</v>
      </c>
      <c r="X182" s="249" t="str">
        <f>(IF(J182="1Ph",W182,IF(J182="3Ph",(IF(G182="MOTOR",(CONCATENATE(W182,"+PE")),W182)))))</f>
        <v>3C X 95</v>
      </c>
      <c r="Y182" s="249" t="s">
        <v>314</v>
      </c>
      <c r="Z182" s="250">
        <f>IF(T182="AIR",VLOOKUP(W182,'Catalogue Aluminium'!$B$9:$G$91,2,FALSE),IF(T182="GROUND",VLOOKUP(W182,'Catalogue Aluminium'!$B$9:$G$91,3,FALSE),IF(T182="DUCT",VLOOKUP(W182,'Catalogue Aluminium'!$B$9:$G$91,4,FALSE),IF(T182="TRENCH",VLOOKUP(W182,'Catalogue Aluminium'!$B$9:$G$91,2,FALSE)))))</f>
        <v>221</v>
      </c>
      <c r="AA182" s="251">
        <f>VLOOKUP(W182,'Catalogue Aluminium'!$B$9:$G$91,5,FALSE)</f>
        <v>0.41</v>
      </c>
      <c r="AB182" s="251">
        <f>VLOOKUP(W182,'Catalogue Aluminium'!$B$9:$G$91,6,FALSE)</f>
        <v>7.3400000000000007E-2</v>
      </c>
      <c r="AC182" s="323">
        <f t="shared" ref="AC182" si="525">32+6</f>
        <v>38</v>
      </c>
      <c r="AD182" s="294">
        <f>42+73+92+196+100</f>
        <v>503</v>
      </c>
      <c r="AE182" s="294">
        <f t="shared" ref="AE182" si="526">11+8+8+11</f>
        <v>38</v>
      </c>
      <c r="AF182" s="294">
        <v>8</v>
      </c>
      <c r="AG182" s="294">
        <f t="shared" ref="AG182" si="527">ROUNDUP((SUM(AC182:AF182)*0.1),0)</f>
        <v>59</v>
      </c>
      <c r="AH182" s="253">
        <f t="shared" ref="AH182" si="528">SUM(AC182:AG182)</f>
        <v>646</v>
      </c>
      <c r="AI182" s="250">
        <f>IF(T182="AIR",'Catalogue Aluminium'!$K$9,IF(T182="TRENCH",'Catalogue Aluminium'!$K$12,"NA"))</f>
        <v>0.89</v>
      </c>
      <c r="AJ182" s="248">
        <f>IF(T182="Air",(IF(U182="1C",'Catalogue Aluminium'!$L$9,'Catalogue Aluminium'!$M$9)),IF(T182="DUCT",(IF($U182="1C",'Catalogue Aluminium'!$L$10,'Catalogue Aluminium'!$M$10)),IF(T182="GROUND",(IF($U182="1C",'Catalogue Aluminium'!$L$11,'Catalogue Aluminium'!$M$11)),IF(T182="TRENCH",(IF($U182="1C",'Catalogue Aluminium'!$L$12,'Catalogue Aluminium'!$M$12))))))</f>
        <v>0.66</v>
      </c>
      <c r="AK182" s="250" t="str">
        <f>IF(T182="Air",'Catalogue Aluminium'!$N$9,IF(T182="GROUND",'Catalogue Aluminium'!$N$10,IF(T182="DUCT",'Catalogue Aluminium'!$N$11,IF(T182="TRENCH",'Catalogue Aluminium'!$N$12,"NA"))))</f>
        <v>NA</v>
      </c>
      <c r="AL182" s="250" t="str">
        <f>IF(T182="Air",(IF(U182="1C",'Catalogue Aluminium'!$O$9,'Catalogue Aluminium'!$P$9)),IF(T182="DUCT",(IF($U182="1C",'Catalogue Aluminium'!$O$10,'Catalogue Aluminium'!$P$10)),IF(T182="GROUND",(IF($U182="1C",'Catalogue Aluminium'!$O$11,'Catalogue Aluminium'!$P$11)),IF(T182="TRENCH",(IF($U182="1C",'Catalogue Aluminium'!$O$12,'Catalogue Aluminium'!$P$12))))))</f>
        <v>NA</v>
      </c>
      <c r="AM182" s="250" t="str">
        <f>IF(T182="AIR","NA",IF(T182="TRENCH","NA",IF(T182="DUCT",IF(U182="1C",VLOOKUP(V182,'Catalogue Aluminium'!$Q$9:$S$28,2,FALSE),VLOOKUP(V182,'Catalogue Aluminium'!$Q$9:$S$28,3)),IF(T182="GROUND",IF(U182="1C",VLOOKUP(V182,'Catalogue Aluminium'!$Q$9:$S$28,2,FALSE),VLOOKUP(V182,'Catalogue Aluminium'!$Q$9:$S$28,3))))))</f>
        <v>NA</v>
      </c>
      <c r="AN182" s="257">
        <f>IF(T182="AIR",AI182*AJ182,IF(T182="TRENCH",AI182*AJ182,IF(T182="DUCT",AJ182*AK182*AL182*AM182,IF(T182="GROUND",AJ182*AK182*AL182*AM182))))</f>
        <v>0.58740000000000003</v>
      </c>
      <c r="AO182" s="256">
        <f>Z182*AN182</f>
        <v>129.81540000000001</v>
      </c>
      <c r="AP182" s="255">
        <f t="shared" si="466"/>
        <v>1</v>
      </c>
      <c r="AQ182" s="256" t="str">
        <f>IF(AO182*AP182&gt;=N182,"YES","NO")</f>
        <v>YES</v>
      </c>
      <c r="AR182" s="257">
        <f>SQRT(3)*AH182*N182*((AA182*L182)+(AB182*SIN(ACOS(L182))))*100/(AP182*K182*1000)</f>
        <v>2.3324901631176944</v>
      </c>
      <c r="AS182" s="249" t="str">
        <f>IF(G182="INCOMER",(IF(AR182&lt;=2,"YES","NO")),IF(G182="POWER",(IF(AR182&lt;=2.5,"YES","NO")),IF(G182="MOTOR",(IF(AR182&lt;=3,"YES","NO")))))</f>
        <v>YES</v>
      </c>
      <c r="AT182" s="257" t="str">
        <f>IF(G182="MOTOR",(SQRT(3)*AH182*O182*((AA182*P182)+(AB182*SIN(ACOS(P182))))*100/(AP182*K182*1000)),"NA")</f>
        <v>NA</v>
      </c>
      <c r="AU182" s="249" t="str">
        <f>IF(G182="MOTOR",IF(AT182&lt;=15,"YES","NO"),"NA")</f>
        <v>NA</v>
      </c>
      <c r="AV182" s="260" t="str">
        <f>IF(U182="1C",CONCATENATE(AP182,"R x ",Y182,"kV x ",U182," x ",V182," Sqmm/Phase"),CONCATENATE(AP182,"R x ",0.6,"/1kV x ",U182," x ",V182," Sqmm"))</f>
        <v>1R x 0.6/1kV x 3C x 95 Sqmm</v>
      </c>
      <c r="AW182" s="260" t="str">
        <f>IF(U182="1C",CONCATENATE(AP182,"R x ",Y182,"kV x ",U182," x ",V182," Sqmm/Phase"),CONCATENATE(AP182,"R x ",0.6,"/1kV x ",U182," x ",V182,(IF(G182="MOTOR","+PE",""))," Sqmm"))</f>
        <v>1R x 0.6/1kV x 3C x 95 Sqmm</v>
      </c>
      <c r="AX182" s="249">
        <f>(IF(K182=400,(IF(U182="1C",(4*AH182*AP182),(AH182*AP182))),IF(K182=230,(AH182*AP182))))</f>
        <v>646</v>
      </c>
      <c r="AY182" s="261"/>
    </row>
    <row r="183" spans="1:51" s="70" customFormat="1" ht="20.149999999999999" customHeight="1">
      <c r="A183" s="273"/>
      <c r="B183" s="273"/>
      <c r="C183" s="273"/>
      <c r="D183" s="357" t="s">
        <v>315</v>
      </c>
      <c r="E183" s="273"/>
      <c r="F183" s="359"/>
      <c r="G183" s="273"/>
      <c r="H183" s="281"/>
      <c r="I183" s="273"/>
      <c r="J183" s="273"/>
      <c r="K183" s="280"/>
      <c r="L183" s="275"/>
      <c r="M183" s="281"/>
      <c r="N183" s="274"/>
      <c r="O183" s="274"/>
      <c r="P183" s="275"/>
      <c r="Q183" s="281"/>
      <c r="R183" s="281"/>
      <c r="S183" s="281"/>
      <c r="T183" s="275"/>
      <c r="U183" s="281"/>
      <c r="V183" s="275"/>
      <c r="W183" s="275"/>
      <c r="X183" s="275"/>
      <c r="Y183" s="275"/>
      <c r="Z183" s="276"/>
      <c r="AA183" s="277"/>
      <c r="AB183" s="277"/>
      <c r="AC183" s="323"/>
      <c r="AD183" s="323"/>
      <c r="AE183" s="323"/>
      <c r="AF183" s="323"/>
      <c r="AG183" s="323"/>
      <c r="AH183" s="279"/>
      <c r="AI183" s="276"/>
      <c r="AJ183" s="274"/>
      <c r="AK183" s="276"/>
      <c r="AL183" s="276"/>
      <c r="AM183" s="276"/>
      <c r="AN183" s="282"/>
      <c r="AO183" s="281"/>
      <c r="AP183" s="280"/>
      <c r="AQ183" s="281"/>
      <c r="AR183" s="282"/>
      <c r="AS183" s="275"/>
      <c r="AT183" s="282"/>
      <c r="AU183" s="282"/>
      <c r="AV183" s="283"/>
      <c r="AW183" s="283"/>
      <c r="AX183" s="275"/>
      <c r="AY183" s="284"/>
    </row>
    <row r="184" spans="1:51" ht="20.149999999999999" customHeight="1">
      <c r="A184" s="243">
        <f>1+A182</f>
        <v>134</v>
      </c>
      <c r="B184" s="596" t="s">
        <v>1036</v>
      </c>
      <c r="C184" s="243" t="s">
        <v>491</v>
      </c>
      <c r="D184" s="306" t="s">
        <v>510</v>
      </c>
      <c r="E184" s="272" t="s">
        <v>310</v>
      </c>
      <c r="F184" s="243" t="s">
        <v>28</v>
      </c>
      <c r="G184" s="243" t="s">
        <v>298</v>
      </c>
      <c r="H184" s="256">
        <v>2.2000000000000002</v>
      </c>
      <c r="I184" s="243" t="s">
        <v>299</v>
      </c>
      <c r="J184" s="243" t="s">
        <v>313</v>
      </c>
      <c r="K184" s="255">
        <v>230</v>
      </c>
      <c r="L184" s="249">
        <v>0.85</v>
      </c>
      <c r="M184" s="256">
        <v>0.95</v>
      </c>
      <c r="N184" s="248">
        <f>IF(I184="kVA",IF(J184="3Ph",(H184*1000/(1.732*M184*K184)),(H184*1000/(M184*K184))),IF(I184="kW",IF(J184="3Ph",(H184*1000/(1.732*M184*K184*L184)),(H184*1000/(M184*K184*L184)))))</f>
        <v>11.845470453627676</v>
      </c>
      <c r="O184" s="248">
        <f t="shared" si="456"/>
        <v>0</v>
      </c>
      <c r="P184" s="249" t="str">
        <f>IF(G184="MOTOR",0.2,"0.00")</f>
        <v>0.00</v>
      </c>
      <c r="Q184" s="256">
        <v>65</v>
      </c>
      <c r="R184" s="256">
        <v>0</v>
      </c>
      <c r="S184" s="256">
        <f>(Q184*1000*SQRT(R184)/143)</f>
        <v>0</v>
      </c>
      <c r="T184" s="249" t="s">
        <v>131</v>
      </c>
      <c r="U184" s="256" t="s">
        <v>302</v>
      </c>
      <c r="V184" s="249">
        <v>70</v>
      </c>
      <c r="W184" s="249" t="str">
        <f>CONCATENATE(U184," X ",V184)</f>
        <v>3C X 70</v>
      </c>
      <c r="X184" s="249" t="str">
        <f>(IF(J184="1Ph",W184,IF(J184="3Ph",(IF(G184="MOTOR",(CONCATENATE(W184,"+PE")),W184)))))</f>
        <v>3C X 70</v>
      </c>
      <c r="Y184" s="249" t="s">
        <v>314</v>
      </c>
      <c r="Z184" s="250">
        <f>IF(T184="AIR",VLOOKUP(W184,'Catalogue Aluminium'!$B$9:$G$91,2,FALSE),IF(T184="GROUND",VLOOKUP(W184,'Catalogue Aluminium'!$B$9:$G$91,3,FALSE),IF(T184="DUCT",VLOOKUP(W184,'Catalogue Aluminium'!$B$9:$G$91,4,FALSE),IF(T184="TRENCH",VLOOKUP(W184,'Catalogue Aluminium'!$B$9:$G$91,2,FALSE)))))</f>
        <v>177</v>
      </c>
      <c r="AA184" s="251">
        <f>VLOOKUP(W184,'Catalogue Aluminium'!$B$9:$G$91,5,FALSE)</f>
        <v>0.56699999999999995</v>
      </c>
      <c r="AB184" s="251">
        <f>VLOOKUP(W184,'Catalogue Aluminium'!$B$9:$G$91,6,FALSE)</f>
        <v>7.5200000000000003E-2</v>
      </c>
      <c r="AC184" s="323">
        <f t="shared" ref="AC184:AC185" si="529">32+6</f>
        <v>38</v>
      </c>
      <c r="AD184" s="294">
        <f>40+50+38+50+17+(27+42+30+21+20)</f>
        <v>335</v>
      </c>
      <c r="AE184" s="294">
        <f t="shared" ref="AE184:AE185" si="530">11+8+8+11</f>
        <v>38</v>
      </c>
      <c r="AF184" s="294">
        <v>8</v>
      </c>
      <c r="AG184" s="294">
        <f t="shared" ref="AG184:AG185" si="531">ROUNDUP((SUM(AC184:AF184)*0.1),0)</f>
        <v>42</v>
      </c>
      <c r="AH184" s="253">
        <f t="shared" ref="AH184:AH185" si="532">SUM(AC184:AG184)</f>
        <v>461</v>
      </c>
      <c r="AI184" s="250">
        <f>IF(T184="AIR",'Catalogue Aluminium'!$K$9,IF(T184="TRENCH",'Catalogue Aluminium'!$K$12,"NA"))</f>
        <v>0.89</v>
      </c>
      <c r="AJ184" s="248">
        <f>IF(T184="Air",(IF(U184="1C",'Catalogue Aluminium'!$L$9,'Catalogue Aluminium'!$M$9)),IF(T184="DUCT",(IF($U184="1C",'Catalogue Aluminium'!$L$10,'Catalogue Aluminium'!$M$10)),IF(T184="GROUND",(IF($U184="1C",'Catalogue Aluminium'!$L$11,'Catalogue Aluminium'!$M$11)),IF(T184="TRENCH",(IF($U184="1C",'Catalogue Aluminium'!$L$12,'Catalogue Aluminium'!$M$12))))))</f>
        <v>0.66</v>
      </c>
      <c r="AK184" s="250" t="str">
        <f>IF(T184="Air",'Catalogue Aluminium'!$N$9,IF(T184="GROUND",'Catalogue Aluminium'!$N$10,IF(T184="DUCT",'Catalogue Aluminium'!$N$11,IF(T184="TRENCH",'Catalogue Aluminium'!$N$12,"NA"))))</f>
        <v>NA</v>
      </c>
      <c r="AL184" s="250" t="str">
        <f>IF(T184="Air",(IF(U184="1C",'Catalogue Aluminium'!$O$9,'Catalogue Aluminium'!$P$9)),IF(T184="DUCT",(IF($U184="1C",'Catalogue Aluminium'!$O$10,'Catalogue Aluminium'!$P$10)),IF(T184="GROUND",(IF($U184="1C",'Catalogue Aluminium'!$O$11,'Catalogue Aluminium'!$P$11)),IF(T184="TRENCH",(IF($U184="1C",'Catalogue Aluminium'!$O$12,'Catalogue Aluminium'!$P$12))))))</f>
        <v>NA</v>
      </c>
      <c r="AM184" s="250" t="str">
        <f>IF(T184="AIR","NA",IF(T184="TRENCH","NA",IF(T184="DUCT",IF(U184="1C",VLOOKUP(V184,'Catalogue Aluminium'!$Q$9:$S$28,2,FALSE),VLOOKUP(V184,'Catalogue Aluminium'!$Q$9:$S$28,3)),IF(T184="GROUND",IF(U184="1C",VLOOKUP(V184,'Catalogue Aluminium'!$Q$9:$S$28,2,FALSE),VLOOKUP(V184,'Catalogue Aluminium'!$Q$9:$S$28,3))))))</f>
        <v>NA</v>
      </c>
      <c r="AN184" s="257">
        <f>IF(T184="AIR",AI184*AJ184,IF(T184="TRENCH",AI184*AJ184,IF(T184="DUCT",AJ184*AK184*AL184*AM184,IF(T184="GROUND",AJ184*AK184*AL184*AM184))))</f>
        <v>0.58740000000000003</v>
      </c>
      <c r="AO184" s="256">
        <f>Z184*AN184</f>
        <v>103.96980000000001</v>
      </c>
      <c r="AP184" s="255">
        <f t="shared" si="466"/>
        <v>1</v>
      </c>
      <c r="AQ184" s="256" t="str">
        <f>IF(AO184*AP184&gt;=N184,"YES","NO")</f>
        <v>YES</v>
      </c>
      <c r="AR184" s="257">
        <f>SQRT(3)*AH184*N184*((AA184*L184)+(AB184*SIN(ACOS(L184))))*100/(AP184*K184*1000)</f>
        <v>2.1448340040192391</v>
      </c>
      <c r="AS184" s="249" t="str">
        <f>IF(G184="INCOMER",(IF(AR184&lt;=2,"YES","NO")),IF(G184="POWER",(IF(AR184&lt;=2.5,"YES","NO")),IF(G184="MOTOR",(IF(AR184&lt;=3,"YES","NO")))))</f>
        <v>YES</v>
      </c>
      <c r="AT184" s="257" t="str">
        <f>IF(G184="MOTOR",(SQRT(3)*AH184*O184*((AA184*P184)+(AB184*SIN(ACOS(P184))))*100/(AP184*K184*1000)),"NA")</f>
        <v>NA</v>
      </c>
      <c r="AU184" s="249" t="str">
        <f>IF(G184="MOTOR",IF(AT184&lt;=15,"YES","NO"),"NA")</f>
        <v>NA</v>
      </c>
      <c r="AV184" s="260" t="str">
        <f>IF(U184="1C",CONCATENATE(AP184,"R x ",Y184,"kV x ",U184," x ",V184," Sqmm/Phase"),CONCATENATE(AP184,"R x ",0.6,"/1kV x ",U184," x ",V184," Sqmm"))</f>
        <v>1R x 0.6/1kV x 3C x 70 Sqmm</v>
      </c>
      <c r="AW184" s="260" t="str">
        <f>IF(U184="1C",CONCATENATE(AP184,"R x ",Y184,"kV x ",U184," x ",V184," Sqmm/Phase"),CONCATENATE(AP184,"R x ",0.6,"/1kV x ",U184," x ",V184,(IF(G184="MOTOR","+PE",""))," Sqmm"))</f>
        <v>1R x 0.6/1kV x 3C x 70 Sqmm</v>
      </c>
      <c r="AX184" s="249">
        <f>(IF(K184=400,(IF(U184="1C",(4*AH184*AP184),(AH184*AP184))),IF(K184=230,(AH184*AP184))))</f>
        <v>461</v>
      </c>
      <c r="AY184" s="261"/>
    </row>
    <row r="185" spans="1:51" ht="20.149999999999999" customHeight="1">
      <c r="A185" s="243">
        <f t="shared" ref="A185" si="533">1+A184</f>
        <v>135</v>
      </c>
      <c r="B185" s="390" t="s">
        <v>382</v>
      </c>
      <c r="C185" s="243" t="s">
        <v>491</v>
      </c>
      <c r="D185" s="306" t="s">
        <v>511</v>
      </c>
      <c r="E185" s="272" t="s">
        <v>310</v>
      </c>
      <c r="F185" s="243" t="s">
        <v>28</v>
      </c>
      <c r="G185" s="243" t="s">
        <v>298</v>
      </c>
      <c r="H185" s="256">
        <v>1.5</v>
      </c>
      <c r="I185" s="243" t="s">
        <v>299</v>
      </c>
      <c r="J185" s="243" t="s">
        <v>313</v>
      </c>
      <c r="K185" s="255">
        <v>230</v>
      </c>
      <c r="L185" s="249">
        <v>0.85</v>
      </c>
      <c r="M185" s="256">
        <v>0.95</v>
      </c>
      <c r="N185" s="248">
        <f>IF(I185="kVA",IF(J185="3Ph",(H185*1000/(1.732*M185*K185)),(H185*1000/(M185*K185))),IF(I185="kW",IF(J185="3Ph",(H185*1000/(1.732*M185*K185*L185)),(H185*1000/(M185*K185*L185)))))</f>
        <v>8.0764571274734145</v>
      </c>
      <c r="O185" s="248">
        <f t="shared" si="456"/>
        <v>0</v>
      </c>
      <c r="P185" s="249" t="str">
        <f>IF(G185="MOTOR",0.2,"0.00")</f>
        <v>0.00</v>
      </c>
      <c r="Q185" s="256">
        <v>65</v>
      </c>
      <c r="R185" s="256">
        <v>0</v>
      </c>
      <c r="S185" s="256">
        <f>(Q185*1000*SQRT(R185)/143)</f>
        <v>0</v>
      </c>
      <c r="T185" s="249" t="s">
        <v>131</v>
      </c>
      <c r="U185" s="256" t="s">
        <v>302</v>
      </c>
      <c r="V185" s="249">
        <v>50</v>
      </c>
      <c r="W185" s="249" t="str">
        <f>CONCATENATE(U185," X ",V185)</f>
        <v>3C X 50</v>
      </c>
      <c r="X185" s="249" t="str">
        <f>(IF(J185="1Ph",W185,IF(J185="3Ph",(IF(G185="MOTOR",(CONCATENATE(W185,"+PE")),W185)))))</f>
        <v>3C X 50</v>
      </c>
      <c r="Y185" s="249" t="s">
        <v>314</v>
      </c>
      <c r="Z185" s="250">
        <f>IF(T185="AIR",VLOOKUP(W185,'Catalogue Aluminium'!$B$9:$G$91,2,FALSE),IF(T185="GROUND",VLOOKUP(W185,'Catalogue Aluminium'!$B$9:$G$91,3,FALSE),IF(T185="DUCT",VLOOKUP(W185,'Catalogue Aluminium'!$B$9:$G$91,4,FALSE),IF(T185="TRENCH",VLOOKUP(W185,'Catalogue Aluminium'!$B$9:$G$91,2,FALSE)))))</f>
        <v>141</v>
      </c>
      <c r="AA185" s="251">
        <f>VLOOKUP(W185,'Catalogue Aluminium'!$B$9:$G$91,5,FALSE)</f>
        <v>0.82</v>
      </c>
      <c r="AB185" s="251">
        <f>VLOOKUP(W185,'Catalogue Aluminium'!$B$9:$G$91,6,FALSE)</f>
        <v>7.9200000000000007E-2</v>
      </c>
      <c r="AC185" s="323">
        <f t="shared" si="529"/>
        <v>38</v>
      </c>
      <c r="AD185" s="294">
        <f>40+50+38+50+17+(27+42+30+21+20)</f>
        <v>335</v>
      </c>
      <c r="AE185" s="294">
        <f t="shared" si="530"/>
        <v>38</v>
      </c>
      <c r="AF185" s="294">
        <v>8</v>
      </c>
      <c r="AG185" s="294">
        <f t="shared" si="531"/>
        <v>42</v>
      </c>
      <c r="AH185" s="253">
        <f t="shared" si="532"/>
        <v>461</v>
      </c>
      <c r="AI185" s="250">
        <f>IF(T185="AIR",'Catalogue Aluminium'!$K$9,IF(T185="TRENCH",'Catalogue Aluminium'!$K$12,"NA"))</f>
        <v>0.89</v>
      </c>
      <c r="AJ185" s="248">
        <f>IF(T185="Air",(IF(U185="1C",'Catalogue Aluminium'!$L$9,'Catalogue Aluminium'!$M$9)),IF(T185="DUCT",(IF($U185="1C",'Catalogue Aluminium'!$L$10,'Catalogue Aluminium'!$M$10)),IF(T185="GROUND",(IF($U185="1C",'Catalogue Aluminium'!$L$11,'Catalogue Aluminium'!$M$11)),IF(T185="TRENCH",(IF($U185="1C",'Catalogue Aluminium'!$L$12,'Catalogue Aluminium'!$M$12))))))</f>
        <v>0.66</v>
      </c>
      <c r="AK185" s="250" t="str">
        <f>IF(T185="Air",'Catalogue Aluminium'!$N$9,IF(T185="GROUND",'Catalogue Aluminium'!$N$10,IF(T185="DUCT",'Catalogue Aluminium'!$N$11,IF(T185="TRENCH",'Catalogue Aluminium'!$N$12,"NA"))))</f>
        <v>NA</v>
      </c>
      <c r="AL185" s="250" t="str">
        <f>IF(T185="Air",(IF(U185="1C",'Catalogue Aluminium'!$O$9,'Catalogue Aluminium'!$P$9)),IF(T185="DUCT",(IF($U185="1C",'Catalogue Aluminium'!$O$10,'Catalogue Aluminium'!$P$10)),IF(T185="GROUND",(IF($U185="1C",'Catalogue Aluminium'!$O$11,'Catalogue Aluminium'!$P$11)),IF(T185="TRENCH",(IF($U185="1C",'Catalogue Aluminium'!$O$12,'Catalogue Aluminium'!$P$12))))))</f>
        <v>NA</v>
      </c>
      <c r="AM185" s="250" t="str">
        <f>IF(T185="AIR","NA",IF(T185="TRENCH","NA",IF(T185="DUCT",IF(U185="1C",VLOOKUP(V185,'Catalogue Aluminium'!$Q$9:$S$28,2,FALSE),VLOOKUP(V185,'Catalogue Aluminium'!$Q$9:$S$28,3)),IF(T185="GROUND",IF(U185="1C",VLOOKUP(V185,'Catalogue Aluminium'!$Q$9:$S$28,2,FALSE),VLOOKUP(V185,'Catalogue Aluminium'!$Q$9:$S$28,3))))))</f>
        <v>NA</v>
      </c>
      <c r="AN185" s="257">
        <f>IF(T185="AIR",AI185*AJ185,IF(T185="TRENCH",AI185*AJ185,IF(T185="DUCT",AJ185*AK185*AL185*AM185,IF(T185="GROUND",AJ185*AK185*AL185*AM185))))</f>
        <v>0.58740000000000003</v>
      </c>
      <c r="AO185" s="256">
        <f>Z185*AN185</f>
        <v>82.823400000000007</v>
      </c>
      <c r="AP185" s="255">
        <f t="shared" si="466"/>
        <v>1</v>
      </c>
      <c r="AQ185" s="256" t="str">
        <f>IF(AO185*AP185&gt;=N185,"YES","NO")</f>
        <v>YES</v>
      </c>
      <c r="AR185" s="257">
        <f>SQRT(3)*AH185*N185*((AA185*L185)+(AB185*SIN(ACOS(L185))))*100/(AP185*K185*1000)</f>
        <v>2.071262607396545</v>
      </c>
      <c r="AS185" s="249" t="str">
        <f>IF(G185="INCOMER",(IF(AR185&lt;=2,"YES","NO")),IF(G185="POWER",(IF(AR185&lt;=2.5,"YES","NO")),IF(G185="MOTOR",(IF(AR185&lt;=3,"YES","NO")))))</f>
        <v>YES</v>
      </c>
      <c r="AT185" s="257" t="str">
        <f>IF(G185="MOTOR",(SQRT(3)*AH185*O185*((AA185*P185)+(AB185*SIN(ACOS(P185))))*100/(AP185*K185*1000)),"NA")</f>
        <v>NA</v>
      </c>
      <c r="AU185" s="249" t="str">
        <f>IF(G185="MOTOR",IF(AT185&lt;=15,"YES","NO"),"NA")</f>
        <v>NA</v>
      </c>
      <c r="AV185" s="260" t="str">
        <f>IF(U185="1C",CONCATENATE(AP185,"R x ",Y185,"kV x ",U185," x ",V185," Sqmm/Phase"),CONCATENATE(AP185,"R x ",0.6,"/1kV x ",U185," x ",V185," Sqmm"))</f>
        <v>1R x 0.6/1kV x 3C x 50 Sqmm</v>
      </c>
      <c r="AW185" s="260" t="str">
        <f>IF(U185="1C",CONCATENATE(AP185,"R x ",Y185,"kV x ",U185," x ",V185," Sqmm/Phase"),CONCATENATE(AP185,"R x ",0.6,"/1kV x ",U185," x ",V185,(IF(G185="MOTOR","+PE",""))," Sqmm"))</f>
        <v>1R x 0.6/1kV x 3C x 50 Sqmm</v>
      </c>
      <c r="AX185" s="249">
        <f>(IF(K185=400,(IF(U185="1C",(4*AH185*AP185),(AH185*AP185))),IF(K185=230,(AH185*AP185))))</f>
        <v>461</v>
      </c>
      <c r="AY185" s="261"/>
    </row>
    <row r="186" spans="1:51" s="117" customFormat="1" ht="20.149999999999999" hidden="1" customHeight="1">
      <c r="A186" s="356" t="s">
        <v>303</v>
      </c>
      <c r="B186" s="391"/>
      <c r="C186" s="391"/>
      <c r="D186" s="392" t="s">
        <v>512</v>
      </c>
      <c r="E186" s="393"/>
      <c r="F186" s="394"/>
      <c r="G186" s="391"/>
      <c r="H186" s="360"/>
      <c r="I186" s="391"/>
      <c r="J186" s="391"/>
      <c r="K186" s="361"/>
      <c r="L186" s="395"/>
      <c r="M186" s="360"/>
      <c r="N186" s="396"/>
      <c r="O186" s="396"/>
      <c r="P186" s="395"/>
      <c r="Q186" s="360"/>
      <c r="R186" s="360"/>
      <c r="S186" s="360"/>
      <c r="T186" s="395"/>
      <c r="U186" s="360"/>
      <c r="V186" s="395"/>
      <c r="W186" s="395"/>
      <c r="X186" s="395"/>
      <c r="Y186" s="395"/>
      <c r="Z186" s="397"/>
      <c r="AA186" s="398"/>
      <c r="AB186" s="398"/>
      <c r="AC186" s="399"/>
      <c r="AD186" s="399"/>
      <c r="AE186" s="399"/>
      <c r="AF186" s="399"/>
      <c r="AG186" s="399"/>
      <c r="AH186" s="400"/>
      <c r="AI186" s="397"/>
      <c r="AJ186" s="396"/>
      <c r="AK186" s="397"/>
      <c r="AL186" s="397"/>
      <c r="AM186" s="397"/>
      <c r="AN186" s="401"/>
      <c r="AO186" s="360"/>
      <c r="AP186" s="361"/>
      <c r="AQ186" s="360"/>
      <c r="AR186" s="401"/>
      <c r="AS186" s="395"/>
      <c r="AT186" s="401"/>
      <c r="AU186" s="401"/>
      <c r="AV186" s="402"/>
      <c r="AW186" s="402"/>
      <c r="AX186" s="395"/>
      <c r="AY186" s="403"/>
    </row>
    <row r="187" spans="1:51" s="75" customFormat="1" ht="20.149999999999999" hidden="1" customHeight="1">
      <c r="A187" s="262" t="s">
        <v>303</v>
      </c>
      <c r="B187" s="404" t="s">
        <v>382</v>
      </c>
      <c r="C187" s="262" t="str">
        <f>$D$164</f>
        <v>EPMCC-1</v>
      </c>
      <c r="D187" s="290" t="s">
        <v>513</v>
      </c>
      <c r="E187" s="405" t="s">
        <v>318</v>
      </c>
      <c r="F187" s="262" t="s">
        <v>28</v>
      </c>
      <c r="G187" s="262" t="s">
        <v>311</v>
      </c>
      <c r="H187" s="258">
        <v>5</v>
      </c>
      <c r="I187" s="262" t="s">
        <v>299</v>
      </c>
      <c r="J187" s="262" t="s">
        <v>300</v>
      </c>
      <c r="K187" s="259">
        <v>400</v>
      </c>
      <c r="L187" s="264">
        <v>0.82</v>
      </c>
      <c r="M187" s="258">
        <v>0.89599999999999991</v>
      </c>
      <c r="N187" s="263">
        <f>IF(I187="kVA",IF(J187="3Ph",(H187*1000/(1.732*M187*K187)),(H187*1000/(M187*K187))),IF(I187="kW",IF(J187="3Ph",(H187*1000/(1.732*M187*K187*L187)),(H187*1000/(M187*K187*L187)))))</f>
        <v>9.8229122240908993</v>
      </c>
      <c r="O187" s="263">
        <f t="shared" si="456"/>
        <v>58.937473344545396</v>
      </c>
      <c r="P187" s="264">
        <f>IF(G187="MOTOR",0.2,"0.00")</f>
        <v>0.2</v>
      </c>
      <c r="Q187" s="258">
        <v>50</v>
      </c>
      <c r="R187" s="258">
        <v>0</v>
      </c>
      <c r="S187" s="258">
        <f>(Q187*1000*SQRT(R187)/143)</f>
        <v>0</v>
      </c>
      <c r="T187" s="264" t="s">
        <v>131</v>
      </c>
      <c r="U187" s="258" t="s">
        <v>302</v>
      </c>
      <c r="V187" s="264">
        <v>16</v>
      </c>
      <c r="W187" s="264" t="str">
        <f>CONCATENATE(U187," X ",V187)</f>
        <v>3C X 16</v>
      </c>
      <c r="X187" s="264" t="str">
        <f>(IF(J187="1Ph",W187,IF(J187="3Ph",(IF(G187="MOTOR",(CONCATENATE(W187,"+PE")),W187)))))</f>
        <v>3C X 16+PE</v>
      </c>
      <c r="Y187" s="264" t="s">
        <v>314</v>
      </c>
      <c r="Z187" s="265">
        <f>IF(T187="AIR",VLOOKUP(W187,'Catalogue Aluminium'!$B$9:$G$91,2,FALSE),IF(T187="GROUND",VLOOKUP(W187,'Catalogue Aluminium'!$B$9:$G$91,3,FALSE),IF(T187="DUCT",VLOOKUP(W187,'Catalogue Aluminium'!$B$9:$G$91,4,FALSE),IF(T187="TRENCH",VLOOKUP(W187,'Catalogue Aluminium'!$B$9:$G$91,2,FALSE)))))</f>
        <v>70</v>
      </c>
      <c r="AA187" s="266">
        <f>VLOOKUP(W187,'Catalogue Aluminium'!$B$9:$G$91,5,FALSE)</f>
        <v>2.44</v>
      </c>
      <c r="AB187" s="266">
        <f>VLOOKUP(W187,'Catalogue Aluminium'!$B$9:$G$91,6,FALSE)</f>
        <v>8.1500000000000003E-2</v>
      </c>
      <c r="AC187" s="406">
        <f>28+7</f>
        <v>35</v>
      </c>
      <c r="AD187" s="264">
        <f>11+34+48+10+20</f>
        <v>123</v>
      </c>
      <c r="AE187" s="322">
        <f t="shared" ref="AE187:AE189" si="534">11+11</f>
        <v>22</v>
      </c>
      <c r="AF187" s="264">
        <v>8</v>
      </c>
      <c r="AG187" s="264">
        <f t="shared" ref="AG187:AG189" si="535">ROUNDUP((SUM(AC187:AF187)*0.1),0)</f>
        <v>19</v>
      </c>
      <c r="AH187" s="267"/>
      <c r="AI187" s="265">
        <f>IF(T187="AIR",'Catalogue Aluminium'!$K$9,IF(T187="TRENCH",'Catalogue Aluminium'!$K$12,"NA"))</f>
        <v>0.89</v>
      </c>
      <c r="AJ187" s="263">
        <f>IF(T187="Air",(IF(U187="1C",'Catalogue Aluminium'!$L$9,'Catalogue Aluminium'!$M$9)),IF(T187="DUCT",(IF($U187="1C",'Catalogue Aluminium'!$L$10,'Catalogue Aluminium'!$M$10)),IF(T187="GROUND",(IF($U187="1C",'Catalogue Aluminium'!$L$11,'Catalogue Aluminium'!$M$11)),IF(T187="TRENCH",(IF($U187="1C",'Catalogue Aluminium'!$L$12,'Catalogue Aluminium'!$M$12))))))</f>
        <v>0.66</v>
      </c>
      <c r="AK187" s="265" t="str">
        <f>IF(T187="Air",'Catalogue Aluminium'!$N$9,IF(T187="GROUND",'Catalogue Aluminium'!$N$10,IF(T187="DUCT",'Catalogue Aluminium'!$N$11,IF(T187="TRENCH",'Catalogue Aluminium'!$N$12,"NA"))))</f>
        <v>NA</v>
      </c>
      <c r="AL187" s="265" t="str">
        <f>IF(T187="Air",(IF(U187="1C",'Catalogue Aluminium'!$O$9,'Catalogue Aluminium'!$P$9)),IF(T187="DUCT",(IF($U187="1C",'Catalogue Aluminium'!$O$10,'Catalogue Aluminium'!$P$10)),IF(T187="GROUND",(IF($U187="1C",'Catalogue Aluminium'!$O$11,'Catalogue Aluminium'!$P$11)),IF(T187="TRENCH",(IF($U187="1C",'Catalogue Aluminium'!$O$12,'Catalogue Aluminium'!$P$12))))))</f>
        <v>NA</v>
      </c>
      <c r="AM187" s="265" t="str">
        <f>IF(T187="AIR","NA",IF(T187="TRENCH","NA",IF(T187="DUCT",IF(U187="1C",VLOOKUP(V187,'Catalogue Aluminium'!$Q$9:$S$28,2,FALSE),VLOOKUP(V187,'Catalogue Aluminium'!$Q$9:$S$28,3)),IF(T187="GROUND",IF(U187="1C",VLOOKUP(V187,'Catalogue Aluminium'!$Q$9:$S$28,2,FALSE),VLOOKUP(V187,'Catalogue Aluminium'!$Q$9:$S$28,3))))))</f>
        <v>NA</v>
      </c>
      <c r="AN187" s="268">
        <f>IF(T187="AIR",AI187*AJ187,IF(T187="TRENCH",AI187*AJ187,IF(T187="DUCT",AJ187*AK187*AL187*AM187,IF(T187="GROUND",AJ187*AK187*AL187*AM187))))</f>
        <v>0.58740000000000003</v>
      </c>
      <c r="AO187" s="258">
        <f>Z187*AN187</f>
        <v>41.118000000000002</v>
      </c>
      <c r="AP187" s="259">
        <f t="shared" si="466"/>
        <v>1</v>
      </c>
      <c r="AQ187" s="258" t="str">
        <f>IF(AO187*AP187&gt;=N187,"YES","NO")</f>
        <v>YES</v>
      </c>
      <c r="AR187" s="268">
        <f>SQRT(3)*AH187*N187*((AA187*L187)+(AB187*SIN(ACOS(L187))))*100/(AP187*K187*1000)</f>
        <v>0</v>
      </c>
      <c r="AS187" s="349" t="str">
        <f>IF(G187="INCOMER",(IF(AR187&lt;=2,"YES","NO")),IF(G187="POWER",(IF(AR187&lt;=2.5,"YES","NO")),IF(G187="MOTOR",(IF(AR187&lt;=3,"YES","NO")))))</f>
        <v>YES</v>
      </c>
      <c r="AT187" s="350">
        <f>IF(G187="MOTOR",(SQRT(3)*AH187*O187*((AA187*P187)+(AB187*SIN(ACOS(P187))))*100/(AP187*K187*1000)),"NA")</f>
        <v>0</v>
      </c>
      <c r="AU187" s="264" t="str">
        <f>IF(G187="MOTOR",IF(AT187&lt;=15,"YES","NO"),"NA")</f>
        <v>YES</v>
      </c>
      <c r="AV187" s="269" t="str">
        <f>IF(U187="1C",CONCATENATE(AP187,"R x ",Y187,"kV x ",U187," x ",V187," Sqmm/Phase"),CONCATENATE(AP187,"R x ",0.6,"/1kV x ",U187," x ",V187," Sqmm"))</f>
        <v>1R x 0.6/1kV x 3C x 16 Sqmm</v>
      </c>
      <c r="AW187" s="269" t="str">
        <f>IF(U187="1C",CONCATENATE(AP187,"R x ",Y187,"kV x ",U187," x ",V187," Sqmm/Phase"),CONCATENATE(AP187,"R x ",0.6,"/1kV x ",U187," x ",V187,(IF(G187="MOTOR","+PE",""))," Sqmm"))</f>
        <v>1R x 0.6/1kV x 3C x 16+PE Sqmm</v>
      </c>
      <c r="AX187" s="264"/>
      <c r="AY187" s="270"/>
    </row>
    <row r="188" spans="1:51" s="75" customFormat="1" ht="20.149999999999999" hidden="1" customHeight="1">
      <c r="A188" s="262" t="s">
        <v>303</v>
      </c>
      <c r="B188" s="404" t="s">
        <v>382</v>
      </c>
      <c r="C188" s="262" t="str">
        <f>$D$164</f>
        <v>EPMCC-1</v>
      </c>
      <c r="D188" s="290" t="s">
        <v>514</v>
      </c>
      <c r="E188" s="405" t="s">
        <v>318</v>
      </c>
      <c r="F188" s="262" t="s">
        <v>29</v>
      </c>
      <c r="G188" s="262" t="s">
        <v>311</v>
      </c>
      <c r="H188" s="258">
        <v>5</v>
      </c>
      <c r="I188" s="262" t="s">
        <v>299</v>
      </c>
      <c r="J188" s="262" t="s">
        <v>300</v>
      </c>
      <c r="K188" s="259">
        <v>400</v>
      </c>
      <c r="L188" s="264">
        <v>0.82</v>
      </c>
      <c r="M188" s="258">
        <v>0.89599999999999991</v>
      </c>
      <c r="N188" s="263">
        <f>IF(I188="kVA",IF(J188="3Ph",(H188*1000/(1.732*M188*K188)),(H188*1000/(M188*K188))),IF(I188="kW",IF(J188="3Ph",(H188*1000/(1.732*M188*K188*L188)),(H188*1000/(M188*K188*L188)))))</f>
        <v>9.8229122240908993</v>
      </c>
      <c r="O188" s="263">
        <f t="shared" si="456"/>
        <v>58.937473344545396</v>
      </c>
      <c r="P188" s="264">
        <f>IF(G188="MOTOR",0.2,"0.00")</f>
        <v>0.2</v>
      </c>
      <c r="Q188" s="258">
        <v>50</v>
      </c>
      <c r="R188" s="258">
        <v>0</v>
      </c>
      <c r="S188" s="258">
        <f>(Q188*1000*SQRT(R188)/143)</f>
        <v>0</v>
      </c>
      <c r="T188" s="264" t="s">
        <v>131</v>
      </c>
      <c r="U188" s="258" t="s">
        <v>302</v>
      </c>
      <c r="V188" s="264">
        <v>16</v>
      </c>
      <c r="W188" s="264" t="str">
        <f>CONCATENATE(U188," X ",V188)</f>
        <v>3C X 16</v>
      </c>
      <c r="X188" s="264" t="str">
        <f>(IF(J188="1Ph",W188,IF(J188="3Ph",(IF(G188="MOTOR",(CONCATENATE(W188,"+PE")),W188)))))</f>
        <v>3C X 16+PE</v>
      </c>
      <c r="Y188" s="264" t="s">
        <v>314</v>
      </c>
      <c r="Z188" s="265">
        <f>IF(T188="AIR",VLOOKUP(W188,'Catalogue Aluminium'!$B$9:$G$91,2,FALSE),IF(T188="GROUND",VLOOKUP(W188,'Catalogue Aluminium'!$B$9:$G$91,3,FALSE),IF(T188="DUCT",VLOOKUP(W188,'Catalogue Aluminium'!$B$9:$G$91,4,FALSE),IF(T188="TRENCH",VLOOKUP(W188,'Catalogue Aluminium'!$B$9:$G$91,2,FALSE)))))</f>
        <v>70</v>
      </c>
      <c r="AA188" s="266">
        <f>VLOOKUP(W188,'Catalogue Aluminium'!$B$9:$G$91,5,FALSE)</f>
        <v>2.44</v>
      </c>
      <c r="AB188" s="266">
        <f>VLOOKUP(W188,'Catalogue Aluminium'!$B$9:$G$91,6,FALSE)</f>
        <v>8.1500000000000003E-2</v>
      </c>
      <c r="AC188" s="406">
        <f>22+7</f>
        <v>29</v>
      </c>
      <c r="AD188" s="264">
        <f>11+34+48+10+20</f>
        <v>123</v>
      </c>
      <c r="AE188" s="322">
        <f t="shared" si="534"/>
        <v>22</v>
      </c>
      <c r="AF188" s="264">
        <v>8</v>
      </c>
      <c r="AG188" s="264">
        <f t="shared" si="535"/>
        <v>19</v>
      </c>
      <c r="AH188" s="267"/>
      <c r="AI188" s="265">
        <f>IF(T188="AIR",'Catalogue Aluminium'!$K$9,IF(T188="TRENCH",'Catalogue Aluminium'!$K$12,"NA"))</f>
        <v>0.89</v>
      </c>
      <c r="AJ188" s="263">
        <f>IF(T188="Air",(IF(U188="1C",'Catalogue Aluminium'!$L$9,'Catalogue Aluminium'!$M$9)),IF(T188="DUCT",(IF($U188="1C",'Catalogue Aluminium'!$L$10,'Catalogue Aluminium'!$M$10)),IF(T188="GROUND",(IF($U188="1C",'Catalogue Aluminium'!$L$11,'Catalogue Aluminium'!$M$11)),IF(T188="TRENCH",(IF($U188="1C",'Catalogue Aluminium'!$L$12,'Catalogue Aluminium'!$M$12))))))</f>
        <v>0.66</v>
      </c>
      <c r="AK188" s="265" t="str">
        <f>IF(T188="Air",'Catalogue Aluminium'!$N$9,IF(T188="GROUND",'Catalogue Aluminium'!$N$10,IF(T188="DUCT",'Catalogue Aluminium'!$N$11,IF(T188="TRENCH",'Catalogue Aluminium'!$N$12,"NA"))))</f>
        <v>NA</v>
      </c>
      <c r="AL188" s="265" t="str">
        <f>IF(T188="Air",(IF(U188="1C",'Catalogue Aluminium'!$O$9,'Catalogue Aluminium'!$P$9)),IF(T188="DUCT",(IF($U188="1C",'Catalogue Aluminium'!$O$10,'Catalogue Aluminium'!$P$10)),IF(T188="GROUND",(IF($U188="1C",'Catalogue Aluminium'!$O$11,'Catalogue Aluminium'!$P$11)),IF(T188="TRENCH",(IF($U188="1C",'Catalogue Aluminium'!$O$12,'Catalogue Aluminium'!$P$12))))))</f>
        <v>NA</v>
      </c>
      <c r="AM188" s="265" t="str">
        <f>IF(T188="AIR","NA",IF(T188="TRENCH","NA",IF(T188="DUCT",IF(U188="1C",VLOOKUP(V188,'Catalogue Aluminium'!$Q$9:$S$28,2,FALSE),VLOOKUP(V188,'Catalogue Aluminium'!$Q$9:$S$28,3)),IF(T188="GROUND",IF(U188="1C",VLOOKUP(V188,'Catalogue Aluminium'!$Q$9:$S$28,2,FALSE),VLOOKUP(V188,'Catalogue Aluminium'!$Q$9:$S$28,3))))))</f>
        <v>NA</v>
      </c>
      <c r="AN188" s="268">
        <f>IF(T188="AIR",AI188*AJ188,IF(T188="TRENCH",AI188*AJ188,IF(T188="DUCT",AJ188*AK188*AL188*AM188,IF(T188="GROUND",AJ188*AK188*AL188*AM188))))</f>
        <v>0.58740000000000003</v>
      </c>
      <c r="AO188" s="258">
        <f>Z188*AN188</f>
        <v>41.118000000000002</v>
      </c>
      <c r="AP188" s="259">
        <f t="shared" si="466"/>
        <v>1</v>
      </c>
      <c r="AQ188" s="258" t="str">
        <f>IF(AO188*AP188&gt;=N188,"YES","NO")</f>
        <v>YES</v>
      </c>
      <c r="AR188" s="268">
        <f>SQRT(3)*AH188*N188*((AA188*L188)+(AB188*SIN(ACOS(L188))))*100/(AP188*K188*1000)</f>
        <v>0</v>
      </c>
      <c r="AS188" s="349" t="str">
        <f>IF(G188="INCOMER",(IF(AR188&lt;=2,"YES","NO")),IF(G188="POWER",(IF(AR188&lt;=2.5,"YES","NO")),IF(G188="MOTOR",(IF(AR188&lt;=3,"YES","NO")))))</f>
        <v>YES</v>
      </c>
      <c r="AT188" s="350">
        <f>IF(G188="MOTOR",(SQRT(3)*AH188*O188*((AA188*P188)+(AB188*SIN(ACOS(P188))))*100/(AP188*K188*1000)),"NA")</f>
        <v>0</v>
      </c>
      <c r="AU188" s="264" t="str">
        <f>IF(G188="MOTOR",IF(AT188&lt;=15,"YES","NO"),"NA")</f>
        <v>YES</v>
      </c>
      <c r="AV188" s="269" t="str">
        <f>IF(U188="1C",CONCATENATE(AP188,"R x ",Y188,"kV x ",U188," x ",V188," Sqmm/Phase"),CONCATENATE(AP188,"R x ",0.6,"/1kV x ",U188," x ",V188," Sqmm"))</f>
        <v>1R x 0.6/1kV x 3C x 16 Sqmm</v>
      </c>
      <c r="AW188" s="269" t="str">
        <f>IF(U188="1C",CONCATENATE(AP188,"R x ",Y188,"kV x ",U188," x ",V188," Sqmm/Phase"),CONCATENATE(AP188,"R x ",0.6,"/1kV x ",U188," x ",V188,(IF(G188="MOTOR","+PE",""))," Sqmm"))</f>
        <v>1R x 0.6/1kV x 3C x 16+PE Sqmm</v>
      </c>
      <c r="AX188" s="264"/>
      <c r="AY188" s="270"/>
    </row>
    <row r="189" spans="1:51" s="75" customFormat="1" ht="20.149999999999999" hidden="1" customHeight="1">
      <c r="A189" s="262" t="s">
        <v>303</v>
      </c>
      <c r="B189" s="404" t="s">
        <v>382</v>
      </c>
      <c r="C189" s="262" t="str">
        <f>$D$164</f>
        <v>EPMCC-1</v>
      </c>
      <c r="D189" s="290" t="s">
        <v>515</v>
      </c>
      <c r="E189" s="405" t="s">
        <v>318</v>
      </c>
      <c r="F189" s="262" t="s">
        <v>28</v>
      </c>
      <c r="G189" s="262" t="s">
        <v>298</v>
      </c>
      <c r="H189" s="258">
        <v>3</v>
      </c>
      <c r="I189" s="262" t="s">
        <v>299</v>
      </c>
      <c r="J189" s="262" t="s">
        <v>300</v>
      </c>
      <c r="K189" s="259">
        <v>400</v>
      </c>
      <c r="L189" s="264">
        <v>0.85</v>
      </c>
      <c r="M189" s="258">
        <v>0.95</v>
      </c>
      <c r="N189" s="263">
        <f>IF(I189="kVA",IF(J189="3Ph",(H189*1000/(1.732*M189*K189)),(H189*1000/(M189*K189))),IF(I189="kW",IF(J189="3Ph",(H189*1000/(1.732*M189*K189*L189)),(H189*1000/(M189*K189*L189)))))</f>
        <v>5.3625437047311939</v>
      </c>
      <c r="O189" s="263">
        <f t="shared" si="456"/>
        <v>0</v>
      </c>
      <c r="P189" s="264" t="str">
        <f>IF(G189="MOTOR",0.2,"0.00")</f>
        <v>0.00</v>
      </c>
      <c r="Q189" s="258">
        <v>50</v>
      </c>
      <c r="R189" s="258">
        <v>0</v>
      </c>
      <c r="S189" s="258">
        <f>(Q189*1000*SQRT(R189)/143)</f>
        <v>0</v>
      </c>
      <c r="T189" s="264" t="s">
        <v>131</v>
      </c>
      <c r="U189" s="258" t="s">
        <v>377</v>
      </c>
      <c r="V189" s="264">
        <v>10</v>
      </c>
      <c r="W189" s="264" t="str">
        <f>CONCATENATE(U189," X ",V189)</f>
        <v>4C X 10</v>
      </c>
      <c r="X189" s="264" t="str">
        <f>(IF(J189="1Ph",W189,IF(J189="3Ph",(IF(G189="MOTOR",(CONCATENATE(W189,"+PE")),W189)))))</f>
        <v>4C X 10</v>
      </c>
      <c r="Y189" s="264" t="s">
        <v>314</v>
      </c>
      <c r="Z189" s="265">
        <f>IF(T189="AIR",VLOOKUP(W189,'Catalogue Aluminium'!$B$9:$G$91,2,FALSE),IF(T189="GROUND",VLOOKUP(W189,'Catalogue Aluminium'!$B$9:$G$91,3,FALSE),IF(T189="DUCT",VLOOKUP(W189,'Catalogue Aluminium'!$B$9:$G$91,4,FALSE),IF(T189="TRENCH",VLOOKUP(W189,'Catalogue Aluminium'!$B$9:$G$91,2,FALSE)))))</f>
        <v>60</v>
      </c>
      <c r="AA189" s="266">
        <f>VLOOKUP(W189,'Catalogue Aluminium'!$B$9:$G$91,5,FALSE)</f>
        <v>3.94</v>
      </c>
      <c r="AB189" s="266">
        <f>VLOOKUP(W189,'Catalogue Aluminium'!$B$9:$G$91,6,FALSE)</f>
        <v>8.5199999999999998E-2</v>
      </c>
      <c r="AC189" s="406">
        <f>28+7</f>
        <v>35</v>
      </c>
      <c r="AD189" s="264">
        <f>11+34+48+70</f>
        <v>163</v>
      </c>
      <c r="AE189" s="322">
        <f t="shared" si="534"/>
        <v>22</v>
      </c>
      <c r="AF189" s="264">
        <v>8</v>
      </c>
      <c r="AG189" s="264">
        <f t="shared" si="535"/>
        <v>23</v>
      </c>
      <c r="AH189" s="267"/>
      <c r="AI189" s="265">
        <f>IF(T189="AIR",'Catalogue Aluminium'!$K$9,IF(T189="TRENCH",'Catalogue Aluminium'!$K$12,"NA"))</f>
        <v>0.89</v>
      </c>
      <c r="AJ189" s="263">
        <f>IF(T189="Air",(IF(U189="1C",'Catalogue Aluminium'!$L$9,'Catalogue Aluminium'!$M$9)),IF(T189="DUCT",(IF($U189="1C",'Catalogue Aluminium'!$L$10,'Catalogue Aluminium'!$M$10)),IF(T189="GROUND",(IF($U189="1C",'Catalogue Aluminium'!$L$11,'Catalogue Aluminium'!$M$11)),IF(T189="TRENCH",(IF($U189="1C",'Catalogue Aluminium'!$L$12,'Catalogue Aluminium'!$M$12))))))</f>
        <v>0.66</v>
      </c>
      <c r="AK189" s="265" t="str">
        <f>IF(T189="Air",'Catalogue Aluminium'!$N$9,IF(T189="GROUND",'Catalogue Aluminium'!$N$10,IF(T189="DUCT",'Catalogue Aluminium'!$N$11,IF(T189="TRENCH",'Catalogue Aluminium'!$N$12,"NA"))))</f>
        <v>NA</v>
      </c>
      <c r="AL189" s="265" t="str">
        <f>IF(T189="Air",(IF(U189="1C",'Catalogue Aluminium'!$O$9,'Catalogue Aluminium'!$P$9)),IF(T189="DUCT",(IF($U189="1C",'Catalogue Aluminium'!$O$10,'Catalogue Aluminium'!$P$10)),IF(T189="GROUND",(IF($U189="1C",'Catalogue Aluminium'!$O$11,'Catalogue Aluminium'!$P$11)),IF(T189="TRENCH",(IF($U189="1C",'Catalogue Aluminium'!$O$12,'Catalogue Aluminium'!$P$12))))))</f>
        <v>NA</v>
      </c>
      <c r="AM189" s="265" t="str">
        <f>IF(T189="AIR","NA",IF(T189="TRENCH","NA",IF(T189="DUCT",IF(U189="1C",VLOOKUP(V189,'Catalogue Aluminium'!$Q$9:$S$28,2,FALSE),VLOOKUP(V189,'Catalogue Aluminium'!$Q$9:$S$28,3)),IF(T189="GROUND",IF(U189="1C",VLOOKUP(V189,'Catalogue Aluminium'!$Q$9:$S$28,2,FALSE),VLOOKUP(V189,'Catalogue Aluminium'!$Q$9:$S$28,3))))))</f>
        <v>NA</v>
      </c>
      <c r="AN189" s="268">
        <f>IF(T189="AIR",AI189*AJ189,IF(T189="TRENCH",AI189*AJ189,IF(T189="DUCT",AJ189*AK189*AL189*AM189,IF(T189="GROUND",AJ189*AK189*AL189*AM189))))</f>
        <v>0.58740000000000003</v>
      </c>
      <c r="AO189" s="258">
        <f>Z189*AN189</f>
        <v>35.244</v>
      </c>
      <c r="AP189" s="259">
        <f t="shared" si="466"/>
        <v>1</v>
      </c>
      <c r="AQ189" s="258" t="str">
        <f>IF(AO189*AP189&gt;=N189,"YES","NO")</f>
        <v>YES</v>
      </c>
      <c r="AR189" s="268">
        <f>SQRT(3)*AH189*N189*((AA189*L189)+(AB189*SIN(ACOS(L189))))*100/(AP189*K189*1000)</f>
        <v>0</v>
      </c>
      <c r="AS189" s="349" t="str">
        <f>IF(G189="INCOMER",(IF(AR189&lt;=2,"YES","NO")),IF(G189="POWER",(IF(AR189&lt;=2.5,"YES","NO")),IF(G189="MOTOR",(IF(AR189&lt;=3,"YES","NO")))))</f>
        <v>YES</v>
      </c>
      <c r="AT189" s="350" t="str">
        <f>IF(G189="MOTOR",(SQRT(3)*AH189*O189*((AA189*P189)+(AB189*SIN(ACOS(P189))))*100/(AP189*K189*1000)),"NA")</f>
        <v>NA</v>
      </c>
      <c r="AU189" s="264" t="str">
        <f>IF(G189="MOTOR",IF(AT189&lt;=15,"YES","NO"),"NA")</f>
        <v>NA</v>
      </c>
      <c r="AV189" s="269" t="str">
        <f>IF(U189="1C",CONCATENATE(AP189,"R x ",Y189,"kV x ",U189," x ",V189," Sqmm/Phase"),CONCATENATE(AP189,"R x ",0.6,"/1kV x ",U189," x ",V189," Sqmm"))</f>
        <v>1R x 0.6/1kV x 4C x 10 Sqmm</v>
      </c>
      <c r="AW189" s="269" t="str">
        <f>IF(U189="1C",CONCATENATE(AP189,"R x ",Y189,"kV x ",U189," x ",V189," Sqmm/Phase"),CONCATENATE(AP189,"R x ",0.6,"/1kV x ",U189," x ",V189,(IF(G189="MOTOR","+PE",""))," Sqmm"))</f>
        <v>1R x 0.6/1kV x 4C x 10 Sqmm</v>
      </c>
      <c r="AX189" s="264"/>
      <c r="AY189" s="270"/>
    </row>
    <row r="190" spans="1:51" s="70" customFormat="1" ht="21.75" customHeight="1">
      <c r="A190" s="273"/>
      <c r="B190" s="273"/>
      <c r="C190" s="273"/>
      <c r="D190" s="357" t="s">
        <v>399</v>
      </c>
      <c r="E190" s="358"/>
      <c r="F190" s="359"/>
      <c r="G190" s="273"/>
      <c r="H190" s="281"/>
      <c r="I190" s="273"/>
      <c r="J190" s="273"/>
      <c r="K190" s="280"/>
      <c r="L190" s="275"/>
      <c r="M190" s="281"/>
      <c r="N190" s="274"/>
      <c r="O190" s="274"/>
      <c r="P190" s="275"/>
      <c r="Q190" s="281"/>
      <c r="R190" s="281"/>
      <c r="S190" s="281"/>
      <c r="T190" s="275"/>
      <c r="U190" s="281"/>
      <c r="V190" s="275"/>
      <c r="W190" s="275"/>
      <c r="X190" s="275"/>
      <c r="Y190" s="275"/>
      <c r="Z190" s="276"/>
      <c r="AA190" s="277"/>
      <c r="AB190" s="277"/>
      <c r="AC190" s="277"/>
      <c r="AD190" s="277"/>
      <c r="AE190" s="277"/>
      <c r="AF190" s="277"/>
      <c r="AG190" s="277"/>
      <c r="AH190" s="277"/>
      <c r="AI190" s="276"/>
      <c r="AJ190" s="274"/>
      <c r="AK190" s="276"/>
      <c r="AL190" s="276"/>
      <c r="AM190" s="276"/>
      <c r="AN190" s="282"/>
      <c r="AO190" s="281"/>
      <c r="AP190" s="280"/>
      <c r="AQ190" s="281"/>
      <c r="AR190" s="282"/>
      <c r="AS190" s="275"/>
      <c r="AT190" s="282"/>
      <c r="AU190" s="282"/>
      <c r="AV190" s="283"/>
      <c r="AW190" s="283"/>
      <c r="AX190" s="275"/>
      <c r="AY190" s="284"/>
    </row>
    <row r="191" spans="1:51" ht="20.149999999999999" customHeight="1">
      <c r="A191" s="243">
        <f>1+A185</f>
        <v>136</v>
      </c>
      <c r="B191" s="599" t="s">
        <v>1037</v>
      </c>
      <c r="C191" s="243" t="str">
        <f t="shared" ref="C191:C200" si="536">$D$164</f>
        <v>EPMCC-1</v>
      </c>
      <c r="D191" s="272" t="s">
        <v>516</v>
      </c>
      <c r="E191" s="320" t="s">
        <v>310</v>
      </c>
      <c r="F191" s="243" t="s">
        <v>28</v>
      </c>
      <c r="G191" s="243" t="s">
        <v>311</v>
      </c>
      <c r="H191" s="304">
        <v>37</v>
      </c>
      <c r="I191" s="243" t="s">
        <v>299</v>
      </c>
      <c r="J191" s="243" t="s">
        <v>300</v>
      </c>
      <c r="K191" s="255">
        <v>400</v>
      </c>
      <c r="L191" s="249">
        <v>0.85</v>
      </c>
      <c r="M191" s="256">
        <v>0.95200000000000007</v>
      </c>
      <c r="N191" s="248">
        <f t="shared" ref="N191:N200" si="537">IF(I191="kVA",IF(J191="3Ph",(H191*1000/(1.732*M191*K191)),(H191*1000/(M191*K191))),IF(I191="kW",IF(J191="3Ph",(H191*1000/(1.732*M191*K191*L191)),(H191*1000/(M191*K191*L191)))))</f>
        <v>65.999093564881449</v>
      </c>
      <c r="O191" s="248">
        <f t="shared" si="456"/>
        <v>395.99456138928872</v>
      </c>
      <c r="P191" s="249">
        <f t="shared" ref="P191:P200" si="538">IF(G191="MOTOR",0.2,"0.00")</f>
        <v>0.2</v>
      </c>
      <c r="Q191" s="256">
        <v>50</v>
      </c>
      <c r="R191" s="256">
        <v>0</v>
      </c>
      <c r="S191" s="256">
        <f t="shared" ref="S191:S200" si="539">(Q191*1000*SQRT(R191)/143)</f>
        <v>0</v>
      </c>
      <c r="T191" s="249" t="s">
        <v>131</v>
      </c>
      <c r="U191" s="256" t="s">
        <v>302</v>
      </c>
      <c r="V191" s="249">
        <v>95</v>
      </c>
      <c r="W191" s="249" t="str">
        <f t="shared" ref="W191:W200" si="540">CONCATENATE(U191," X ",V191)</f>
        <v>3C X 95</v>
      </c>
      <c r="X191" s="249" t="str">
        <f t="shared" ref="X191:X200" si="541">(IF(J191="1Ph",W191,IF(J191="3Ph",(IF(G191="MOTOR",(CONCATENATE(W191,"+PE")),W191)))))</f>
        <v>3C X 95+PE</v>
      </c>
      <c r="Y191" s="249" t="s">
        <v>314</v>
      </c>
      <c r="Z191" s="250">
        <f>IF(T191="AIR",VLOOKUP(W191,'Catalogue Aluminium'!$B$9:$G$91,2,FALSE),IF(T191="GROUND",VLOOKUP(W191,'Catalogue Aluminium'!$B$9:$G$91,3,FALSE),IF(T191="DUCT",VLOOKUP(W191,'Catalogue Aluminium'!$B$9:$G$91,4,FALSE),IF(T191="TRENCH",VLOOKUP(W191,'Catalogue Aluminium'!$B$9:$G$91,2,FALSE)))))</f>
        <v>221</v>
      </c>
      <c r="AA191" s="251">
        <f>VLOOKUP(W191,'Catalogue Aluminium'!$B$9:$G$91,5,FALSE)</f>
        <v>0.41</v>
      </c>
      <c r="AB191" s="251">
        <f>VLOOKUP(W191,'Catalogue Aluminium'!$B$9:$G$91,6,FALSE)</f>
        <v>7.3400000000000007E-2</v>
      </c>
      <c r="AC191" s="323">
        <f t="shared" ref="AC191:AC192" si="542">32+6</f>
        <v>38</v>
      </c>
      <c r="AD191" s="294">
        <f>40+50+38+50+17+(27+42+25)</f>
        <v>289</v>
      </c>
      <c r="AE191" s="294">
        <f t="shared" ref="AE191:AE194" si="543">11+8+8+11</f>
        <v>38</v>
      </c>
      <c r="AF191" s="294">
        <v>8</v>
      </c>
      <c r="AG191" s="294">
        <f t="shared" ref="AG191:AG200" si="544">ROUNDUP((SUM(AC191:AF191)*0.1),0)</f>
        <v>38</v>
      </c>
      <c r="AH191" s="253">
        <f t="shared" ref="AH191:AH193" si="545">SUM(AC191:AG191)</f>
        <v>411</v>
      </c>
      <c r="AI191" s="250">
        <f>IF(T191="AIR",'Catalogue Aluminium'!$K$9,IF(T191="TRENCH",'Catalogue Aluminium'!$K$12,"NA"))</f>
        <v>0.89</v>
      </c>
      <c r="AJ191" s="248">
        <f>IF(T191="Air",(IF(U191="1C",'Catalogue Aluminium'!$L$9,'Catalogue Aluminium'!$M$9)),IF(T191="DUCT",(IF($U191="1C",'Catalogue Aluminium'!$L$10,'Catalogue Aluminium'!$M$10)),IF(T191="GROUND",(IF($U191="1C",'Catalogue Aluminium'!$L$11,'Catalogue Aluminium'!$M$11)),IF(T191="TRENCH",(IF($U191="1C",'Catalogue Aluminium'!$L$12,'Catalogue Aluminium'!$M$12))))))</f>
        <v>0.66</v>
      </c>
      <c r="AK191" s="250" t="str">
        <f>IF(T191="Air",'Catalogue Aluminium'!$N$9,IF(T191="GROUND",'Catalogue Aluminium'!$N$10,IF(T191="DUCT",'Catalogue Aluminium'!$N$11,IF(T191="TRENCH",'Catalogue Aluminium'!$N$12,"NA"))))</f>
        <v>NA</v>
      </c>
      <c r="AL191" s="250" t="str">
        <f>IF(T191="Air",(IF(U191="1C",'Catalogue Aluminium'!$O$9,'Catalogue Aluminium'!$P$9)),IF(T191="DUCT",(IF($U191="1C",'Catalogue Aluminium'!$O$10,'Catalogue Aluminium'!$P$10)),IF(T191="GROUND",(IF($U191="1C",'Catalogue Aluminium'!$O$11,'Catalogue Aluminium'!$P$11)),IF(T191="TRENCH",(IF($U191="1C",'Catalogue Aluminium'!$O$12,'Catalogue Aluminium'!$P$12))))))</f>
        <v>NA</v>
      </c>
      <c r="AM191" s="250" t="str">
        <f>IF(T191="AIR","NA",IF(T191="TRENCH","NA",IF(T191="DUCT",IF(U191="1C",VLOOKUP(V191,'Catalogue Aluminium'!$Q$9:$S$28,2,FALSE),VLOOKUP(V191,'Catalogue Aluminium'!$Q$9:$S$28,3)),IF(T191="GROUND",IF(U191="1C",VLOOKUP(V191,'Catalogue Aluminium'!$Q$9:$S$28,2,FALSE),VLOOKUP(V191,'Catalogue Aluminium'!$Q$9:$S$28,3))))))</f>
        <v>NA</v>
      </c>
      <c r="AN191" s="257">
        <f t="shared" ref="AN191:AN200" si="546">IF(T191="AIR",AI191*AJ191,IF(T191="TRENCH",AI191*AJ191,IF(T191="DUCT",AJ191*AK191*AL191*AM191,IF(T191="GROUND",AJ191*AK191*AL191*AM191))))</f>
        <v>0.58740000000000003</v>
      </c>
      <c r="AO191" s="256">
        <f t="shared" ref="AO191:AO200" si="547">Z191*AN191</f>
        <v>129.81540000000001</v>
      </c>
      <c r="AP191" s="255">
        <v>2</v>
      </c>
      <c r="AQ191" s="256" t="str">
        <f t="shared" ref="AQ191:AQ200" si="548">IF(AO191*AP191&gt;=N191,"YES","NO")</f>
        <v>YES</v>
      </c>
      <c r="AR191" s="257">
        <f t="shared" ref="AR191:AR200" si="549">SQRT(3)*AH191*N191*((AA191*L191)+(AB191*SIN(ACOS(L191))))*100/(AP191*K191*1000)</f>
        <v>2.2737749402720677</v>
      </c>
      <c r="AS191" s="249" t="str">
        <f t="shared" ref="AS191:AS200" si="550">IF(G191="INCOMER",(IF(AR191&lt;=2,"YES","NO")),IF(G191="POWER",(IF(AR191&lt;=2.5,"YES","NO")),IF(G191="MOTOR",(IF(AR191&lt;=3,"YES","NO")))))</f>
        <v>YES</v>
      </c>
      <c r="AT191" s="257">
        <f t="shared" ref="AT191:AT200" si="551">IF(G191="MOTOR",(SQRT(3)*AH191*O191*((AA191*P191)+(AB191*SIN(ACOS(P191))))*100/(AP191*K191*1000)),"NA")</f>
        <v>5.4236084251038186</v>
      </c>
      <c r="AU191" s="249" t="str">
        <f t="shared" ref="AU191:AU200" si="552">IF(G191="MOTOR",IF(AT191&lt;=15,"YES","NO"),"NA")</f>
        <v>YES</v>
      </c>
      <c r="AV191" s="260" t="str">
        <f t="shared" ref="AV191:AV200" si="553">IF(U191="1C",CONCATENATE(AP191,"R x ",Y191,"kV x ",U191," x ",V191," Sqmm/Phase"),CONCATENATE(AP191,"R x ",0.6,"/1kV x ",U191," x ",V191," Sqmm"))</f>
        <v>2R x 0.6/1kV x 3C x 95 Sqmm</v>
      </c>
      <c r="AW191" s="260" t="str">
        <f t="shared" ref="AW191:AW200" si="554">IF(U191="1C",CONCATENATE(AP191,"R x ",Y191,"kV x ",U191," x ",V191," Sqmm/Phase"),CONCATENATE(AP191,"R x ",0.6,"/1kV x ",U191," x ",V191,(IF(G191="MOTOR","+PE",""))," Sqmm"))</f>
        <v>2R x 0.6/1kV x 3C x 95+PE Sqmm</v>
      </c>
      <c r="AX191" s="249">
        <f>(IF(K191=400,(IF(U191="1C",(4*AH191*AP191),(AH191*AP191))),IF(K191=230,(AH191*AP191))))</f>
        <v>822</v>
      </c>
      <c r="AY191" s="261"/>
    </row>
    <row r="192" spans="1:51" ht="20.149999999999999" customHeight="1">
      <c r="A192" s="243">
        <f t="shared" ref="A192:A194" si="555">1+A191</f>
        <v>137</v>
      </c>
      <c r="B192" s="355" t="s">
        <v>382</v>
      </c>
      <c r="C192" s="285" t="str">
        <f t="shared" si="536"/>
        <v>EPMCC-1</v>
      </c>
      <c r="D192" s="244" t="s">
        <v>517</v>
      </c>
      <c r="E192" s="321" t="s">
        <v>310</v>
      </c>
      <c r="F192" s="285" t="s">
        <v>28</v>
      </c>
      <c r="G192" s="285" t="s">
        <v>298</v>
      </c>
      <c r="H192" s="291">
        <v>0.2</v>
      </c>
      <c r="I192" s="285" t="s">
        <v>299</v>
      </c>
      <c r="J192" s="285" t="s">
        <v>313</v>
      </c>
      <c r="K192" s="309">
        <v>230</v>
      </c>
      <c r="L192" s="294">
        <v>0.85</v>
      </c>
      <c r="M192" s="304">
        <v>0.95</v>
      </c>
      <c r="N192" s="287">
        <f t="shared" si="537"/>
        <v>1.0768609503297888</v>
      </c>
      <c r="O192" s="287">
        <f t="shared" ref="O192" si="556">IF(G192="MOTOR",(6*N192),IF(G192="VFD",(1*N192),0))</f>
        <v>0</v>
      </c>
      <c r="P192" s="294" t="str">
        <f t="shared" si="538"/>
        <v>0.00</v>
      </c>
      <c r="Q192" s="304">
        <v>65</v>
      </c>
      <c r="R192" s="304">
        <v>0</v>
      </c>
      <c r="S192" s="304">
        <f t="shared" si="539"/>
        <v>0</v>
      </c>
      <c r="T192" s="294" t="s">
        <v>131</v>
      </c>
      <c r="U192" s="304" t="s">
        <v>302</v>
      </c>
      <c r="V192" s="294">
        <v>2.5</v>
      </c>
      <c r="W192" s="294" t="str">
        <f t="shared" si="540"/>
        <v>3C X 2.5</v>
      </c>
      <c r="X192" s="294" t="str">
        <f t="shared" ref="X192" si="557">(IF(J192="1Ph",W192,IF(J192="3Ph",(IF(G192="MOTOR",(CONCATENATE(W192,"+PE")),W192)))))</f>
        <v>3C X 2.5</v>
      </c>
      <c r="Y192" s="294" t="s">
        <v>314</v>
      </c>
      <c r="Z192" s="288">
        <f>IF(T192="AIR",VLOOKUP(W192,'Catalogue Aluminium'!$B$9:$G$91,2,FALSE),IF(T192="GROUND",VLOOKUP(W192,'Catalogue Aluminium'!$B$9:$G$91,3,FALSE),IF(T192="DUCT",VLOOKUP(W192,'Catalogue Aluminium'!$B$9:$G$91,4,FALSE),IF(T192="TRENCH",VLOOKUP(W192,'Catalogue Aluminium'!$B$9:$G$91,2,FALSE)))))</f>
        <v>28</v>
      </c>
      <c r="AA192" s="295">
        <f>VLOOKUP(W192,'Catalogue Aluminium'!$B$9:$G$91,5,FALSE)</f>
        <v>9.48</v>
      </c>
      <c r="AB192" s="295">
        <f>VLOOKUP(W192,'Catalogue Aluminium'!$B$9:$G$91,6,FALSE)</f>
        <v>0.1007</v>
      </c>
      <c r="AC192" s="323">
        <f t="shared" si="542"/>
        <v>38</v>
      </c>
      <c r="AD192" s="294">
        <f>40+50+38+50+17+(27+42+25)</f>
        <v>289</v>
      </c>
      <c r="AE192" s="294">
        <f t="shared" si="543"/>
        <v>38</v>
      </c>
      <c r="AF192" s="294">
        <v>8</v>
      </c>
      <c r="AG192" s="294">
        <f t="shared" ref="AG192" si="558">ROUNDUP((SUM(AC192:AF192)*0.1),0)</f>
        <v>38</v>
      </c>
      <c r="AH192" s="311">
        <f t="shared" ref="AH192" si="559">SUM(AC192:AG192)</f>
        <v>411</v>
      </c>
      <c r="AI192" s="288">
        <f>IF(T192="AIR",'Catalogue Aluminium'!$K$9,IF(T192="TRENCH",'Catalogue Aluminium'!$K$12,"NA"))</f>
        <v>0.89</v>
      </c>
      <c r="AJ192" s="287">
        <f>IF(T192="Air",(IF(U192="1C",'Catalogue Aluminium'!$L$9,'Catalogue Aluminium'!$M$9)),IF(T192="DUCT",(IF($U192="1C",'Catalogue Aluminium'!$L$10,'Catalogue Aluminium'!$M$10)),IF(T192="GROUND",(IF($U192="1C",'Catalogue Aluminium'!$L$11,'Catalogue Aluminium'!$M$11)),IF(T192="TRENCH",(IF($U192="1C",'Catalogue Aluminium'!$L$12,'Catalogue Aluminium'!$M$12))))))</f>
        <v>0.66</v>
      </c>
      <c r="AK192" s="288" t="str">
        <f>IF(T192="Air",'Catalogue Aluminium'!$N$9,IF(T192="GROUND",'Catalogue Aluminium'!$N$10,IF(T192="DUCT",'Catalogue Aluminium'!$N$11,IF(T192="TRENCH",'Catalogue Aluminium'!$N$12,"NA"))))</f>
        <v>NA</v>
      </c>
      <c r="AL192" s="288" t="str">
        <f>IF(T192="Air",(IF(U192="1C",'Catalogue Aluminium'!$O$9,'Catalogue Aluminium'!$P$9)),IF(T192="DUCT",(IF($U192="1C",'Catalogue Aluminium'!$O$10,'Catalogue Aluminium'!$P$10)),IF(T192="GROUND",(IF($U192="1C",'Catalogue Aluminium'!$O$11,'Catalogue Aluminium'!$P$11)),IF(T192="TRENCH",(IF($U192="1C",'Catalogue Aluminium'!$O$12,'Catalogue Aluminium'!$P$12))))))</f>
        <v>NA</v>
      </c>
      <c r="AM192" s="288" t="str">
        <f>IF(T192="AIR","NA",IF(T192="TRENCH","NA",IF(T192="DUCT",IF(U192="1C",VLOOKUP(V192,'Catalogue Aluminium'!$Q$9:$S$28,2,FALSE),VLOOKUP(V192,'Catalogue Aluminium'!$Q$9:$S$28,3)),IF(T192="GROUND",IF(U192="1C",VLOOKUP(V192,'Catalogue Aluminium'!$Q$9:$S$28,2,FALSE),VLOOKUP(V192,'Catalogue Aluminium'!$Q$9:$S$28,3))))))</f>
        <v>NA</v>
      </c>
      <c r="AN192" s="312">
        <f t="shared" ref="AN192" si="560">IF(T192="AIR",AI192*AJ192,IF(T192="TRENCH",AI192*AJ192,IF(T192="DUCT",AJ192*AK192*AL192*AM192,IF(T192="GROUND",AJ192*AK192*AL192*AM192))))</f>
        <v>0.58740000000000003</v>
      </c>
      <c r="AO192" s="304">
        <f t="shared" ref="AO192" si="561">Z192*AN192</f>
        <v>16.447200000000002</v>
      </c>
      <c r="AP192" s="309">
        <v>2</v>
      </c>
      <c r="AQ192" s="304" t="str">
        <f t="shared" ref="AQ192" si="562">IF(AO192*AP192&gt;=N192,"YES","NO")</f>
        <v>YES</v>
      </c>
      <c r="AR192" s="312">
        <f t="shared" ref="AR192" si="563">SQRT(3)*AH192*N192*((AA192*L192)+(AB192*SIN(ACOS(L192))))*100/(AP192*K192*1000)</f>
        <v>1.3517026494416311</v>
      </c>
      <c r="AS192" s="294" t="str">
        <f t="shared" ref="AS192" si="564">IF(G192="INCOMER",(IF(AR192&lt;=2,"YES","NO")),IF(G192="POWER",(IF(AR192&lt;=2.5,"YES","NO")),IF(G192="MOTOR",(IF(AR192&lt;=3,"YES","NO")))))</f>
        <v>YES</v>
      </c>
      <c r="AT192" s="312" t="str">
        <f t="shared" si="551"/>
        <v>NA</v>
      </c>
      <c r="AU192" s="294" t="str">
        <f t="shared" si="552"/>
        <v>NA</v>
      </c>
      <c r="AV192" s="353" t="str">
        <f t="shared" si="553"/>
        <v>2R x 0.6/1kV x 3C x 2.5 Sqmm</v>
      </c>
      <c r="AW192" s="353" t="str">
        <f t="shared" si="554"/>
        <v>2R x 0.6/1kV x 3C x 2.5 Sqmm</v>
      </c>
      <c r="AX192" s="294">
        <f>(IF(K192=400,(IF(U192="1C",(4*AH192*AP192),(AH192*AP192))),IF(K192=230,(AH192*AP192))))</f>
        <v>822</v>
      </c>
      <c r="AY192" s="354"/>
    </row>
    <row r="193" spans="1:51" ht="20.149999999999999" customHeight="1">
      <c r="A193" s="243">
        <f t="shared" si="555"/>
        <v>138</v>
      </c>
      <c r="B193" s="373" t="s">
        <v>1038</v>
      </c>
      <c r="C193" s="243" t="str">
        <f t="shared" si="536"/>
        <v>EPMCC-1</v>
      </c>
      <c r="D193" s="272" t="s">
        <v>518</v>
      </c>
      <c r="E193" s="320" t="s">
        <v>310</v>
      </c>
      <c r="F193" s="243" t="s">
        <v>29</v>
      </c>
      <c r="G193" s="243" t="s">
        <v>311</v>
      </c>
      <c r="H193" s="304">
        <v>37</v>
      </c>
      <c r="I193" s="243" t="s">
        <v>299</v>
      </c>
      <c r="J193" s="243" t="s">
        <v>300</v>
      </c>
      <c r="K193" s="255">
        <v>400</v>
      </c>
      <c r="L193" s="249">
        <v>0.85</v>
      </c>
      <c r="M193" s="256">
        <v>0.95200000000000007</v>
      </c>
      <c r="N193" s="248">
        <f t="shared" si="537"/>
        <v>65.999093564881449</v>
      </c>
      <c r="O193" s="248">
        <f t="shared" si="456"/>
        <v>395.99456138928872</v>
      </c>
      <c r="P193" s="249">
        <f t="shared" si="538"/>
        <v>0.2</v>
      </c>
      <c r="Q193" s="256">
        <v>50</v>
      </c>
      <c r="R193" s="256">
        <v>0</v>
      </c>
      <c r="S193" s="256">
        <f t="shared" si="539"/>
        <v>0</v>
      </c>
      <c r="T193" s="249" t="s">
        <v>131</v>
      </c>
      <c r="U193" s="256" t="s">
        <v>302</v>
      </c>
      <c r="V193" s="249">
        <v>70</v>
      </c>
      <c r="W193" s="249" t="str">
        <f t="shared" si="540"/>
        <v>3C X 70</v>
      </c>
      <c r="X193" s="249" t="str">
        <f t="shared" si="541"/>
        <v>3C X 70+PE</v>
      </c>
      <c r="Y193" s="249" t="s">
        <v>314</v>
      </c>
      <c r="Z193" s="250">
        <f>IF(T193="AIR",VLOOKUP(W193,'Catalogue Aluminium'!$B$9:$G$91,2,FALSE),IF(T193="GROUND",VLOOKUP(W193,'Catalogue Aluminium'!$B$9:$G$91,3,FALSE),IF(T193="DUCT",VLOOKUP(W193,'Catalogue Aluminium'!$B$9:$G$91,4,FALSE),IF(T193="TRENCH",VLOOKUP(W193,'Catalogue Aluminium'!$B$9:$G$91,2,FALSE)))))</f>
        <v>177</v>
      </c>
      <c r="AA193" s="251">
        <f>VLOOKUP(W193,'Catalogue Aluminium'!$B$9:$G$91,5,FALSE)</f>
        <v>0.56699999999999995</v>
      </c>
      <c r="AB193" s="251">
        <f>VLOOKUP(W193,'Catalogue Aluminium'!$B$9:$G$91,6,FALSE)</f>
        <v>7.5200000000000003E-2</v>
      </c>
      <c r="AC193" s="323">
        <f>24+6</f>
        <v>30</v>
      </c>
      <c r="AD193" s="294">
        <f>40+50+38+50+17+(27+42+25)</f>
        <v>289</v>
      </c>
      <c r="AE193" s="294">
        <f t="shared" si="543"/>
        <v>38</v>
      </c>
      <c r="AF193" s="294">
        <v>8</v>
      </c>
      <c r="AG193" s="294">
        <f t="shared" si="544"/>
        <v>37</v>
      </c>
      <c r="AH193" s="253">
        <f t="shared" si="545"/>
        <v>402</v>
      </c>
      <c r="AI193" s="250">
        <f>IF(T193="AIR",'Catalogue Aluminium'!$K$9,IF(T193="TRENCH",'Catalogue Aluminium'!$K$12,"NA"))</f>
        <v>0.89</v>
      </c>
      <c r="AJ193" s="248">
        <f>IF(T193="Air",(IF(U193="1C",'Catalogue Aluminium'!$L$9,'Catalogue Aluminium'!$M$9)),IF(T193="DUCT",(IF($U193="1C",'Catalogue Aluminium'!$L$10,'Catalogue Aluminium'!$M$10)),IF(T193="GROUND",(IF($U193="1C",'Catalogue Aluminium'!$L$11,'Catalogue Aluminium'!$M$11)),IF(T193="TRENCH",(IF($U193="1C",'Catalogue Aluminium'!$L$12,'Catalogue Aluminium'!$M$12))))))</f>
        <v>0.66</v>
      </c>
      <c r="AK193" s="250" t="str">
        <f>IF(T193="Air",'Catalogue Aluminium'!$N$9,IF(T193="GROUND",'Catalogue Aluminium'!$N$10,IF(T193="DUCT",'Catalogue Aluminium'!$N$11,IF(T193="TRENCH",'Catalogue Aluminium'!$N$12,"NA"))))</f>
        <v>NA</v>
      </c>
      <c r="AL193" s="250" t="str">
        <f>IF(T193="Air",(IF(U193="1C",'Catalogue Aluminium'!$O$9,'Catalogue Aluminium'!$P$9)),IF(T193="DUCT",(IF($U193="1C",'Catalogue Aluminium'!$O$10,'Catalogue Aluminium'!$P$10)),IF(T193="GROUND",(IF($U193="1C",'Catalogue Aluminium'!$O$11,'Catalogue Aluminium'!$P$11)),IF(T193="TRENCH",(IF($U193="1C",'Catalogue Aluminium'!$O$12,'Catalogue Aluminium'!$P$12))))))</f>
        <v>NA</v>
      </c>
      <c r="AM193" s="250" t="str">
        <f>IF(T193="AIR","NA",IF(T193="TRENCH","NA",IF(T193="DUCT",IF(U193="1C",VLOOKUP(V193,'Catalogue Aluminium'!$Q$9:$S$28,2,FALSE),VLOOKUP(V193,'Catalogue Aluminium'!$Q$9:$S$28,3)),IF(T193="GROUND",IF(U193="1C",VLOOKUP(V193,'Catalogue Aluminium'!$Q$9:$S$28,2,FALSE),VLOOKUP(V193,'Catalogue Aluminium'!$Q$9:$S$28,3))))))</f>
        <v>NA</v>
      </c>
      <c r="AN193" s="257">
        <f t="shared" si="546"/>
        <v>0.58740000000000003</v>
      </c>
      <c r="AO193" s="256">
        <f t="shared" si="547"/>
        <v>103.96980000000001</v>
      </c>
      <c r="AP193" s="255">
        <v>2</v>
      </c>
      <c r="AQ193" s="256" t="str">
        <f t="shared" si="548"/>
        <v>YES</v>
      </c>
      <c r="AR193" s="257">
        <f t="shared" si="549"/>
        <v>2.9960035261820703</v>
      </c>
      <c r="AS193" s="249" t="str">
        <f t="shared" si="550"/>
        <v>YES</v>
      </c>
      <c r="AT193" s="257">
        <f t="shared" si="551"/>
        <v>6.447847961306608</v>
      </c>
      <c r="AU193" s="249" t="str">
        <f t="shared" si="552"/>
        <v>YES</v>
      </c>
      <c r="AV193" s="260" t="str">
        <f t="shared" si="553"/>
        <v>2R x 0.6/1kV x 3C x 70 Sqmm</v>
      </c>
      <c r="AW193" s="260" t="str">
        <f t="shared" si="554"/>
        <v>2R x 0.6/1kV x 3C x 70+PE Sqmm</v>
      </c>
      <c r="AX193" s="249">
        <f>(IF(K193=400,(IF(U193="1C",(4*AH193*AP193),(AH193*AP193))),IF(K193=230,(AH193*AP193))))</f>
        <v>804</v>
      </c>
      <c r="AY193" s="261"/>
    </row>
    <row r="194" spans="1:51" ht="20.149999999999999" customHeight="1">
      <c r="A194" s="285">
        <f t="shared" si="555"/>
        <v>139</v>
      </c>
      <c r="B194" s="355" t="s">
        <v>382</v>
      </c>
      <c r="C194" s="285" t="str">
        <f t="shared" si="536"/>
        <v>EPMCC-1</v>
      </c>
      <c r="D194" s="244" t="s">
        <v>519</v>
      </c>
      <c r="E194" s="321" t="s">
        <v>310</v>
      </c>
      <c r="F194" s="285" t="s">
        <v>29</v>
      </c>
      <c r="G194" s="285" t="s">
        <v>298</v>
      </c>
      <c r="H194" s="291">
        <v>0.2</v>
      </c>
      <c r="I194" s="285" t="s">
        <v>299</v>
      </c>
      <c r="J194" s="285" t="s">
        <v>313</v>
      </c>
      <c r="K194" s="309">
        <v>230</v>
      </c>
      <c r="L194" s="294">
        <v>0.85</v>
      </c>
      <c r="M194" s="304">
        <v>0.95</v>
      </c>
      <c r="N194" s="287">
        <f t="shared" si="537"/>
        <v>1.0768609503297888</v>
      </c>
      <c r="O194" s="287">
        <f t="shared" ref="O194" si="565">IF(G194="MOTOR",(6*N194),IF(G194="VFD",(1*N194),0))</f>
        <v>0</v>
      </c>
      <c r="P194" s="294" t="str">
        <f t="shared" si="538"/>
        <v>0.00</v>
      </c>
      <c r="Q194" s="304">
        <v>65</v>
      </c>
      <c r="R194" s="304">
        <v>0</v>
      </c>
      <c r="S194" s="304">
        <f t="shared" si="539"/>
        <v>0</v>
      </c>
      <c r="T194" s="294" t="s">
        <v>131</v>
      </c>
      <c r="U194" s="304" t="s">
        <v>302</v>
      </c>
      <c r="V194" s="294">
        <v>2.5</v>
      </c>
      <c r="W194" s="294" t="str">
        <f t="shared" si="540"/>
        <v>3C X 2.5</v>
      </c>
      <c r="X194" s="294" t="str">
        <f t="shared" ref="X194" si="566">(IF(J194="1Ph",W194,IF(J194="3Ph",(IF(G194="MOTOR",(CONCATENATE(W194,"+PE")),W194)))))</f>
        <v>3C X 2.5</v>
      </c>
      <c r="Y194" s="294" t="s">
        <v>314</v>
      </c>
      <c r="Z194" s="288">
        <f>IF(T194="AIR",VLOOKUP(W194,'Catalogue Aluminium'!$B$9:$G$91,2,FALSE),IF(T194="GROUND",VLOOKUP(W194,'Catalogue Aluminium'!$B$9:$G$91,3,FALSE),IF(T194="DUCT",VLOOKUP(W194,'Catalogue Aluminium'!$B$9:$G$91,4,FALSE),IF(T194="TRENCH",VLOOKUP(W194,'Catalogue Aluminium'!$B$9:$G$91,2,FALSE)))))</f>
        <v>28</v>
      </c>
      <c r="AA194" s="295">
        <f>VLOOKUP(W194,'Catalogue Aluminium'!$B$9:$G$91,5,FALSE)</f>
        <v>9.48</v>
      </c>
      <c r="AB194" s="295">
        <f>VLOOKUP(W194,'Catalogue Aluminium'!$B$9:$G$91,6,FALSE)</f>
        <v>0.1007</v>
      </c>
      <c r="AC194" s="323">
        <f>24+6</f>
        <v>30</v>
      </c>
      <c r="AD194" s="294">
        <f>40+50+38+50+17+(27+42+25)</f>
        <v>289</v>
      </c>
      <c r="AE194" s="294">
        <f t="shared" si="543"/>
        <v>38</v>
      </c>
      <c r="AF194" s="294">
        <v>8</v>
      </c>
      <c r="AG194" s="294">
        <f t="shared" ref="AG194" si="567">ROUNDUP((SUM(AC194:AF194)*0.1),0)</f>
        <v>37</v>
      </c>
      <c r="AH194" s="311">
        <f t="shared" ref="AH194" si="568">SUM(AC194:AG194)</f>
        <v>402</v>
      </c>
      <c r="AI194" s="288">
        <f>IF(T194="AIR",'Catalogue Aluminium'!$K$9,IF(T194="TRENCH",'Catalogue Aluminium'!$K$12,"NA"))</f>
        <v>0.89</v>
      </c>
      <c r="AJ194" s="287">
        <f>IF(T194="Air",(IF(U194="1C",'Catalogue Aluminium'!$L$9,'Catalogue Aluminium'!$M$9)),IF(T194="DUCT",(IF($U194="1C",'Catalogue Aluminium'!$L$10,'Catalogue Aluminium'!$M$10)),IF(T194="GROUND",(IF($U194="1C",'Catalogue Aluminium'!$L$11,'Catalogue Aluminium'!$M$11)),IF(T194="TRENCH",(IF($U194="1C",'Catalogue Aluminium'!$L$12,'Catalogue Aluminium'!$M$12))))))</f>
        <v>0.66</v>
      </c>
      <c r="AK194" s="288" t="str">
        <f>IF(T194="Air",'Catalogue Aluminium'!$N$9,IF(T194="GROUND",'Catalogue Aluminium'!$N$10,IF(T194="DUCT",'Catalogue Aluminium'!$N$11,IF(T194="TRENCH",'Catalogue Aluminium'!$N$12,"NA"))))</f>
        <v>NA</v>
      </c>
      <c r="AL194" s="288" t="str">
        <f>IF(T194="Air",(IF(U194="1C",'Catalogue Aluminium'!$O$9,'Catalogue Aluminium'!$P$9)),IF(T194="DUCT",(IF($U194="1C",'Catalogue Aluminium'!$O$10,'Catalogue Aluminium'!$P$10)),IF(T194="GROUND",(IF($U194="1C",'Catalogue Aluminium'!$O$11,'Catalogue Aluminium'!$P$11)),IF(T194="TRENCH",(IF($U194="1C",'Catalogue Aluminium'!$O$12,'Catalogue Aluminium'!$P$12))))))</f>
        <v>NA</v>
      </c>
      <c r="AM194" s="288" t="str">
        <f>IF(T194="AIR","NA",IF(T194="TRENCH","NA",IF(T194="DUCT",IF(U194="1C",VLOOKUP(V194,'Catalogue Aluminium'!$Q$9:$S$28,2,FALSE),VLOOKUP(V194,'Catalogue Aluminium'!$Q$9:$S$28,3)),IF(T194="GROUND",IF(U194="1C",VLOOKUP(V194,'Catalogue Aluminium'!$Q$9:$S$28,2,FALSE),VLOOKUP(V194,'Catalogue Aluminium'!$Q$9:$S$28,3))))))</f>
        <v>NA</v>
      </c>
      <c r="AN194" s="312">
        <f t="shared" ref="AN194" si="569">IF(T194="AIR",AI194*AJ194,IF(T194="TRENCH",AI194*AJ194,IF(T194="DUCT",AJ194*AK194*AL194*AM194,IF(T194="GROUND",AJ194*AK194*AL194*AM194))))</f>
        <v>0.58740000000000003</v>
      </c>
      <c r="AO194" s="304">
        <f t="shared" ref="AO194" si="570">Z194*AN194</f>
        <v>16.447200000000002</v>
      </c>
      <c r="AP194" s="309">
        <v>2</v>
      </c>
      <c r="AQ194" s="304" t="str">
        <f t="shared" ref="AQ194" si="571">IF(AO194*AP194&gt;=N194,"YES","NO")</f>
        <v>YES</v>
      </c>
      <c r="AR194" s="312">
        <f t="shared" ref="AR194" si="572">SQRT(3)*AH194*N194*((AA194*L194)+(AB194*SIN(ACOS(L194))))*100/(AP194*K194*1000)</f>
        <v>1.3221033213516682</v>
      </c>
      <c r="AS194" s="294" t="str">
        <f t="shared" ref="AS194" si="573">IF(G194="INCOMER",(IF(AR194&lt;=2,"YES","NO")),IF(G194="POWER",(IF(AR194&lt;=2.5,"YES","NO")),IF(G194="MOTOR",(IF(AR194&lt;=3,"YES","NO")))))</f>
        <v>YES</v>
      </c>
      <c r="AT194" s="312" t="str">
        <f t="shared" si="551"/>
        <v>NA</v>
      </c>
      <c r="AU194" s="294" t="str">
        <f t="shared" si="552"/>
        <v>NA</v>
      </c>
      <c r="AV194" s="353" t="str">
        <f t="shared" si="553"/>
        <v>2R x 0.6/1kV x 3C x 2.5 Sqmm</v>
      </c>
      <c r="AW194" s="353" t="str">
        <f t="shared" si="554"/>
        <v>2R x 0.6/1kV x 3C x 2.5 Sqmm</v>
      </c>
      <c r="AX194" s="294">
        <f>(IF(K194=400,(IF(U194="1C",(4*AH194*AP194),(AH194*AP194))),IF(K194=230,(AH194*AP194))))</f>
        <v>804</v>
      </c>
      <c r="AY194" s="354"/>
    </row>
    <row r="195" spans="1:51" s="75" customFormat="1" ht="21.75" hidden="1" customHeight="1">
      <c r="A195" s="262" t="s">
        <v>303</v>
      </c>
      <c r="B195" s="404" t="s">
        <v>382</v>
      </c>
      <c r="C195" s="262" t="str">
        <f t="shared" si="536"/>
        <v>EPMCC-1</v>
      </c>
      <c r="D195" s="290" t="s">
        <v>408</v>
      </c>
      <c r="E195" s="305" t="s">
        <v>310</v>
      </c>
      <c r="F195" s="262" t="s">
        <v>28</v>
      </c>
      <c r="G195" s="262" t="s">
        <v>311</v>
      </c>
      <c r="H195" s="258">
        <v>2.2000000000000002</v>
      </c>
      <c r="I195" s="262" t="s">
        <v>299</v>
      </c>
      <c r="J195" s="262" t="s">
        <v>300</v>
      </c>
      <c r="K195" s="259">
        <v>400</v>
      </c>
      <c r="L195" s="264">
        <v>0.8</v>
      </c>
      <c r="M195" s="258">
        <v>0.86699999999999999</v>
      </c>
      <c r="N195" s="263">
        <f t="shared" si="537"/>
        <v>4.5783154995458304</v>
      </c>
      <c r="O195" s="263">
        <f t="shared" si="456"/>
        <v>27.469892997274982</v>
      </c>
      <c r="P195" s="264">
        <f t="shared" si="538"/>
        <v>0.2</v>
      </c>
      <c r="Q195" s="258">
        <v>50</v>
      </c>
      <c r="R195" s="258">
        <v>0</v>
      </c>
      <c r="S195" s="258">
        <f t="shared" si="539"/>
        <v>0</v>
      </c>
      <c r="T195" s="264" t="s">
        <v>131</v>
      </c>
      <c r="U195" s="258" t="s">
        <v>302</v>
      </c>
      <c r="V195" s="264">
        <v>16</v>
      </c>
      <c r="W195" s="264" t="str">
        <f t="shared" si="540"/>
        <v>3C X 16</v>
      </c>
      <c r="X195" s="264" t="str">
        <f t="shared" si="541"/>
        <v>3C X 16+PE</v>
      </c>
      <c r="Y195" s="264" t="s">
        <v>314</v>
      </c>
      <c r="Z195" s="265">
        <f>IF(T195="AIR",VLOOKUP(W195,'Catalogue Aluminium'!$B$9:$G$91,2,FALSE),IF(T195="GROUND",VLOOKUP(W195,'Catalogue Aluminium'!$B$9:$G$91,3,FALSE),IF(T195="DUCT",VLOOKUP(W195,'Catalogue Aluminium'!$B$9:$G$91,4,FALSE),IF(T195="TRENCH",VLOOKUP(W195,'Catalogue Aluminium'!$B$9:$G$91,2,FALSE)))))</f>
        <v>70</v>
      </c>
      <c r="AA195" s="266">
        <f>VLOOKUP(W195,'Catalogue Aluminium'!$B$9:$G$91,5,FALSE)</f>
        <v>2.44</v>
      </c>
      <c r="AB195" s="266">
        <f>VLOOKUP(W195,'Catalogue Aluminium'!$B$9:$G$91,6,FALSE)</f>
        <v>8.1500000000000003E-2</v>
      </c>
      <c r="AC195" s="406">
        <f>28+7</f>
        <v>35</v>
      </c>
      <c r="AD195" s="264">
        <f t="shared" ref="AD195" si="574">11+34+48+35+30+11+24+(15+18+26+20+3+15)</f>
        <v>290</v>
      </c>
      <c r="AE195" s="322">
        <f t="shared" ref="AE195:AE206" si="575">11+8+8+11</f>
        <v>38</v>
      </c>
      <c r="AF195" s="264">
        <v>8</v>
      </c>
      <c r="AG195" s="264">
        <f t="shared" si="544"/>
        <v>38</v>
      </c>
      <c r="AH195" s="267"/>
      <c r="AI195" s="265">
        <f>IF(T195="AIR",'Catalogue Aluminium'!$K$9,IF(T195="TRENCH",'Catalogue Aluminium'!$K$12,"NA"))</f>
        <v>0.89</v>
      </c>
      <c r="AJ195" s="263">
        <f>IF(T195="Air",(IF(U195="1C",'Catalogue Aluminium'!$L$9,'Catalogue Aluminium'!$M$9)),IF(T195="DUCT",(IF($U195="1C",'Catalogue Aluminium'!$L$10,'Catalogue Aluminium'!$M$10)),IF(T195="GROUND",(IF($U195="1C",'Catalogue Aluminium'!$L$11,'Catalogue Aluminium'!$M$11)),IF(T195="TRENCH",(IF($U195="1C",'Catalogue Aluminium'!$L$12,'Catalogue Aluminium'!$M$12))))))</f>
        <v>0.66</v>
      </c>
      <c r="AK195" s="265" t="str">
        <f>IF(T195="Air",'Catalogue Aluminium'!$N$9,IF(T195="GROUND",'Catalogue Aluminium'!$N$10,IF(T195="DUCT",'Catalogue Aluminium'!$N$11,IF(T195="TRENCH",'Catalogue Aluminium'!$N$12,"NA"))))</f>
        <v>NA</v>
      </c>
      <c r="AL195" s="265" t="str">
        <f>IF(T195="Air",(IF(U195="1C",'Catalogue Aluminium'!$O$9,'Catalogue Aluminium'!$P$9)),IF(T195="DUCT",(IF($U195="1C",'Catalogue Aluminium'!$O$10,'Catalogue Aluminium'!$P$10)),IF(T195="GROUND",(IF($U195="1C",'Catalogue Aluminium'!$O$11,'Catalogue Aluminium'!$P$11)),IF(T195="TRENCH",(IF($U195="1C",'Catalogue Aluminium'!$O$12,'Catalogue Aluminium'!$P$12))))))</f>
        <v>NA</v>
      </c>
      <c r="AM195" s="265" t="str">
        <f>IF(T195="AIR","NA",IF(T195="TRENCH","NA",IF(T195="DUCT",IF(U195="1C",VLOOKUP(V195,'Catalogue Aluminium'!$Q$9:$S$28,2,FALSE),VLOOKUP(V195,'Catalogue Aluminium'!$Q$9:$S$28,3)),IF(T195="GROUND",IF(U195="1C",VLOOKUP(V195,'Catalogue Aluminium'!$Q$9:$S$28,2,FALSE),VLOOKUP(V195,'Catalogue Aluminium'!$Q$9:$S$28,3))))))</f>
        <v>NA</v>
      </c>
      <c r="AN195" s="268">
        <f t="shared" si="546"/>
        <v>0.58740000000000003</v>
      </c>
      <c r="AO195" s="258">
        <f t="shared" si="547"/>
        <v>41.118000000000002</v>
      </c>
      <c r="AP195" s="259">
        <f t="shared" si="466"/>
        <v>1</v>
      </c>
      <c r="AQ195" s="258" t="str">
        <f t="shared" si="548"/>
        <v>YES</v>
      </c>
      <c r="AR195" s="268">
        <f t="shared" si="549"/>
        <v>0</v>
      </c>
      <c r="AS195" s="349" t="str">
        <f t="shared" si="550"/>
        <v>YES</v>
      </c>
      <c r="AT195" s="350">
        <f t="shared" si="551"/>
        <v>0</v>
      </c>
      <c r="AU195" s="264" t="str">
        <f t="shared" si="552"/>
        <v>YES</v>
      </c>
      <c r="AV195" s="269" t="str">
        <f t="shared" si="553"/>
        <v>1R x 0.6/1kV x 3C x 16 Sqmm</v>
      </c>
      <c r="AW195" s="269" t="str">
        <f t="shared" si="554"/>
        <v>1R x 0.6/1kV x 3C x 16+PE Sqmm</v>
      </c>
      <c r="AX195" s="264"/>
      <c r="AY195" s="270"/>
    </row>
    <row r="196" spans="1:51" s="75" customFormat="1" ht="20.149999999999999" hidden="1" customHeight="1">
      <c r="A196" s="262" t="s">
        <v>303</v>
      </c>
      <c r="B196" s="404" t="s">
        <v>382</v>
      </c>
      <c r="C196" s="262" t="str">
        <f t="shared" si="536"/>
        <v>EPMCC-1</v>
      </c>
      <c r="D196" s="290" t="s">
        <v>520</v>
      </c>
      <c r="E196" s="407" t="s">
        <v>310</v>
      </c>
      <c r="F196" s="262" t="s">
        <v>29</v>
      </c>
      <c r="G196" s="262" t="s">
        <v>311</v>
      </c>
      <c r="H196" s="258">
        <v>22</v>
      </c>
      <c r="I196" s="262" t="s">
        <v>299</v>
      </c>
      <c r="J196" s="262" t="s">
        <v>300</v>
      </c>
      <c r="K196" s="259">
        <v>400</v>
      </c>
      <c r="L196" s="264">
        <v>0.82</v>
      </c>
      <c r="M196" s="258">
        <v>0.93299999999999994</v>
      </c>
      <c r="N196" s="263">
        <f t="shared" si="537"/>
        <v>41.506805093521933</v>
      </c>
      <c r="O196" s="263">
        <f t="shared" si="456"/>
        <v>249.0408305611316</v>
      </c>
      <c r="P196" s="264">
        <f t="shared" si="538"/>
        <v>0.2</v>
      </c>
      <c r="Q196" s="258">
        <v>50</v>
      </c>
      <c r="R196" s="258">
        <v>0</v>
      </c>
      <c r="S196" s="258">
        <f t="shared" si="539"/>
        <v>0</v>
      </c>
      <c r="T196" s="264" t="s">
        <v>131</v>
      </c>
      <c r="U196" s="258" t="s">
        <v>302</v>
      </c>
      <c r="V196" s="264">
        <v>120</v>
      </c>
      <c r="W196" s="264" t="str">
        <f t="shared" si="540"/>
        <v>3C X 120</v>
      </c>
      <c r="X196" s="264" t="str">
        <f t="shared" si="541"/>
        <v>3C X 120+PE</v>
      </c>
      <c r="Y196" s="264" t="s">
        <v>314</v>
      </c>
      <c r="Z196" s="265">
        <f>IF(T196="AIR",VLOOKUP(W196,'Catalogue Aluminium'!$B$9:$G$91,2,FALSE),IF(T196="GROUND",VLOOKUP(W196,'Catalogue Aluminium'!$B$9:$G$91,3,FALSE),IF(T196="DUCT",VLOOKUP(W196,'Catalogue Aluminium'!$B$9:$G$91,4,FALSE),IF(T196="TRENCH",VLOOKUP(W196,'Catalogue Aluminium'!$B$9:$G$91,2,FALSE)))))</f>
        <v>257</v>
      </c>
      <c r="AA196" s="266">
        <f>VLOOKUP(W196,'Catalogue Aluminium'!$B$9:$G$91,5,FALSE)</f>
        <v>0.32400000000000001</v>
      </c>
      <c r="AB196" s="266">
        <f>VLOOKUP(W196,'Catalogue Aluminium'!$B$9:$G$91,6,FALSE)</f>
        <v>7.2599999999999998E-2</v>
      </c>
      <c r="AC196" s="406">
        <f>22+7</f>
        <v>29</v>
      </c>
      <c r="AD196" s="264">
        <f>11+34+48+35+30+11+24+(15+18+26+22+12+3+15)</f>
        <v>304</v>
      </c>
      <c r="AE196" s="264">
        <f t="shared" si="575"/>
        <v>38</v>
      </c>
      <c r="AF196" s="264">
        <v>8</v>
      </c>
      <c r="AG196" s="264">
        <f t="shared" si="544"/>
        <v>38</v>
      </c>
      <c r="AH196" s="267"/>
      <c r="AI196" s="265">
        <f>IF(T196="AIR",'Catalogue Aluminium'!$K$9,IF(T196="TRENCH",'Catalogue Aluminium'!$K$12,"NA"))</f>
        <v>0.89</v>
      </c>
      <c r="AJ196" s="263">
        <f>IF(T196="Air",(IF(U196="1C",'Catalogue Aluminium'!$L$9,'Catalogue Aluminium'!$M$9)),IF(T196="DUCT",(IF($U196="1C",'Catalogue Aluminium'!$L$10,'Catalogue Aluminium'!$M$10)),IF(T196="GROUND",(IF($U196="1C",'Catalogue Aluminium'!$L$11,'Catalogue Aluminium'!$M$11)),IF(T196="TRENCH",(IF($U196="1C",'Catalogue Aluminium'!$L$12,'Catalogue Aluminium'!$M$12))))))</f>
        <v>0.66</v>
      </c>
      <c r="AK196" s="265" t="str">
        <f>IF(T196="Air",'Catalogue Aluminium'!$N$9,IF(T196="GROUND",'Catalogue Aluminium'!$N$10,IF(T196="DUCT",'Catalogue Aluminium'!$N$11,IF(T196="TRENCH",'Catalogue Aluminium'!$N$12,"NA"))))</f>
        <v>NA</v>
      </c>
      <c r="AL196" s="265" t="str">
        <f>IF(T196="Air",(IF(U196="1C",'Catalogue Aluminium'!$O$9,'Catalogue Aluminium'!$P$9)),IF(T196="DUCT",(IF($U196="1C",'Catalogue Aluminium'!$O$10,'Catalogue Aluminium'!$P$10)),IF(T196="GROUND",(IF($U196="1C",'Catalogue Aluminium'!$O$11,'Catalogue Aluminium'!$P$11)),IF(T196="TRENCH",(IF($U196="1C",'Catalogue Aluminium'!$O$12,'Catalogue Aluminium'!$P$12))))))</f>
        <v>NA</v>
      </c>
      <c r="AM196" s="265" t="str">
        <f>IF(T196="AIR","NA",IF(T196="TRENCH","NA",IF(T196="DUCT",IF(U196="1C",VLOOKUP(V196,'Catalogue Aluminium'!$Q$9:$S$28,2,FALSE),VLOOKUP(V196,'Catalogue Aluminium'!$Q$9:$S$28,3)),IF(T196="GROUND",IF(U196="1C",VLOOKUP(V196,'Catalogue Aluminium'!$Q$9:$S$28,2,FALSE),VLOOKUP(V196,'Catalogue Aluminium'!$Q$9:$S$28,3))))))</f>
        <v>NA</v>
      </c>
      <c r="AN196" s="268">
        <f t="shared" si="546"/>
        <v>0.58740000000000003</v>
      </c>
      <c r="AO196" s="258">
        <f t="shared" si="547"/>
        <v>150.96180000000001</v>
      </c>
      <c r="AP196" s="259">
        <f t="shared" si="466"/>
        <v>1</v>
      </c>
      <c r="AQ196" s="258" t="str">
        <f t="shared" si="548"/>
        <v>YES</v>
      </c>
      <c r="AR196" s="268">
        <f t="shared" si="549"/>
        <v>0</v>
      </c>
      <c r="AS196" s="349" t="str">
        <f t="shared" si="550"/>
        <v>YES</v>
      </c>
      <c r="AT196" s="350">
        <f t="shared" si="551"/>
        <v>0</v>
      </c>
      <c r="AU196" s="264" t="str">
        <f t="shared" si="552"/>
        <v>YES</v>
      </c>
      <c r="AV196" s="269" t="str">
        <f t="shared" si="553"/>
        <v>1R x 0.6/1kV x 3C x 120 Sqmm</v>
      </c>
      <c r="AW196" s="269" t="str">
        <f t="shared" si="554"/>
        <v>1R x 0.6/1kV x 3C x 120+PE Sqmm</v>
      </c>
      <c r="AX196" s="264"/>
      <c r="AY196" s="270"/>
    </row>
    <row r="197" spans="1:51" s="75" customFormat="1" ht="20.149999999999999" hidden="1" customHeight="1">
      <c r="A197" s="262" t="s">
        <v>303</v>
      </c>
      <c r="B197" s="404" t="s">
        <v>382</v>
      </c>
      <c r="C197" s="262" t="str">
        <f t="shared" si="536"/>
        <v>EPMCC-1</v>
      </c>
      <c r="D197" s="290" t="s">
        <v>521</v>
      </c>
      <c r="E197" s="305" t="s">
        <v>310</v>
      </c>
      <c r="F197" s="262" t="s">
        <v>28</v>
      </c>
      <c r="G197" s="262" t="s">
        <v>311</v>
      </c>
      <c r="H197" s="258">
        <v>22</v>
      </c>
      <c r="I197" s="262" t="s">
        <v>299</v>
      </c>
      <c r="J197" s="262" t="s">
        <v>300</v>
      </c>
      <c r="K197" s="259">
        <v>400</v>
      </c>
      <c r="L197" s="264">
        <v>0.82</v>
      </c>
      <c r="M197" s="258">
        <v>0.93299999999999994</v>
      </c>
      <c r="N197" s="263">
        <f t="shared" si="537"/>
        <v>41.506805093521933</v>
      </c>
      <c r="O197" s="263">
        <f t="shared" si="456"/>
        <v>249.0408305611316</v>
      </c>
      <c r="P197" s="264">
        <f t="shared" si="538"/>
        <v>0.2</v>
      </c>
      <c r="Q197" s="258">
        <v>50</v>
      </c>
      <c r="R197" s="258">
        <v>0</v>
      </c>
      <c r="S197" s="258">
        <f t="shared" si="539"/>
        <v>0</v>
      </c>
      <c r="T197" s="264" t="s">
        <v>131</v>
      </c>
      <c r="U197" s="258" t="s">
        <v>302</v>
      </c>
      <c r="V197" s="264">
        <v>120</v>
      </c>
      <c r="W197" s="264" t="str">
        <f t="shared" si="540"/>
        <v>3C X 120</v>
      </c>
      <c r="X197" s="264" t="str">
        <f t="shared" si="541"/>
        <v>3C X 120+PE</v>
      </c>
      <c r="Y197" s="264" t="s">
        <v>314</v>
      </c>
      <c r="Z197" s="265">
        <f>IF(T197="AIR",VLOOKUP(W197,'Catalogue Aluminium'!$B$9:$G$91,2,FALSE),IF(T197="GROUND",VLOOKUP(W197,'Catalogue Aluminium'!$B$9:$G$91,3,FALSE),IF(T197="DUCT",VLOOKUP(W197,'Catalogue Aluminium'!$B$9:$G$91,4,FALSE),IF(T197="TRENCH",VLOOKUP(W197,'Catalogue Aluminium'!$B$9:$G$91,2,FALSE)))))</f>
        <v>257</v>
      </c>
      <c r="AA197" s="266">
        <f>VLOOKUP(W197,'Catalogue Aluminium'!$B$9:$G$91,5,FALSE)</f>
        <v>0.32400000000000001</v>
      </c>
      <c r="AB197" s="266">
        <f>VLOOKUP(W197,'Catalogue Aluminium'!$B$9:$G$91,6,FALSE)</f>
        <v>7.2599999999999998E-2</v>
      </c>
      <c r="AC197" s="406">
        <f>28+7</f>
        <v>35</v>
      </c>
      <c r="AD197" s="264">
        <f t="shared" ref="AD197:AD206" si="576">11+34+48+35+30+11+24+(15+18+26+22+12+3+15)</f>
        <v>304</v>
      </c>
      <c r="AE197" s="264">
        <f t="shared" si="575"/>
        <v>38</v>
      </c>
      <c r="AF197" s="264">
        <v>8</v>
      </c>
      <c r="AG197" s="264">
        <f t="shared" si="544"/>
        <v>39</v>
      </c>
      <c r="AH197" s="267"/>
      <c r="AI197" s="265">
        <f>IF(T197="AIR",'Catalogue Aluminium'!$K$9,IF(T197="TRENCH",'Catalogue Aluminium'!$K$12,"NA"))</f>
        <v>0.89</v>
      </c>
      <c r="AJ197" s="263">
        <f>IF(T197="Air",(IF(U197="1C",'Catalogue Aluminium'!$L$9,'Catalogue Aluminium'!$M$9)),IF(T197="DUCT",(IF($U197="1C",'Catalogue Aluminium'!$L$10,'Catalogue Aluminium'!$M$10)),IF(T197="GROUND",(IF($U197="1C",'Catalogue Aluminium'!$L$11,'Catalogue Aluminium'!$M$11)),IF(T197="TRENCH",(IF($U197="1C",'Catalogue Aluminium'!$L$12,'Catalogue Aluminium'!$M$12))))))</f>
        <v>0.66</v>
      </c>
      <c r="AK197" s="265" t="str">
        <f>IF(T197="Air",'Catalogue Aluminium'!$N$9,IF(T197="GROUND",'Catalogue Aluminium'!$N$10,IF(T197="DUCT",'Catalogue Aluminium'!$N$11,IF(T197="TRENCH",'Catalogue Aluminium'!$N$12,"NA"))))</f>
        <v>NA</v>
      </c>
      <c r="AL197" s="265" t="str">
        <f>IF(T197="Air",(IF(U197="1C",'Catalogue Aluminium'!$O$9,'Catalogue Aluminium'!$P$9)),IF(T197="DUCT",(IF($U197="1C",'Catalogue Aluminium'!$O$10,'Catalogue Aluminium'!$P$10)),IF(T197="GROUND",(IF($U197="1C",'Catalogue Aluminium'!$O$11,'Catalogue Aluminium'!$P$11)),IF(T197="TRENCH",(IF($U197="1C",'Catalogue Aluminium'!$O$12,'Catalogue Aluminium'!$P$12))))))</f>
        <v>NA</v>
      </c>
      <c r="AM197" s="265" t="str">
        <f>IF(T197="AIR","NA",IF(T197="TRENCH","NA",IF(T197="DUCT",IF(U197="1C",VLOOKUP(V197,'Catalogue Aluminium'!$Q$9:$S$28,2,FALSE),VLOOKUP(V197,'Catalogue Aluminium'!$Q$9:$S$28,3)),IF(T197="GROUND",IF(U197="1C",VLOOKUP(V197,'Catalogue Aluminium'!$Q$9:$S$28,2,FALSE),VLOOKUP(V197,'Catalogue Aluminium'!$Q$9:$S$28,3))))))</f>
        <v>NA</v>
      </c>
      <c r="AN197" s="268">
        <f t="shared" si="546"/>
        <v>0.58740000000000003</v>
      </c>
      <c r="AO197" s="258">
        <f t="shared" si="547"/>
        <v>150.96180000000001</v>
      </c>
      <c r="AP197" s="259">
        <f t="shared" si="466"/>
        <v>1</v>
      </c>
      <c r="AQ197" s="258" t="str">
        <f t="shared" si="548"/>
        <v>YES</v>
      </c>
      <c r="AR197" s="268">
        <f t="shared" si="549"/>
        <v>0</v>
      </c>
      <c r="AS197" s="349" t="str">
        <f t="shared" si="550"/>
        <v>YES</v>
      </c>
      <c r="AT197" s="350">
        <f t="shared" si="551"/>
        <v>0</v>
      </c>
      <c r="AU197" s="264" t="str">
        <f t="shared" si="552"/>
        <v>YES</v>
      </c>
      <c r="AV197" s="269" t="str">
        <f t="shared" si="553"/>
        <v>1R x 0.6/1kV x 3C x 120 Sqmm</v>
      </c>
      <c r="AW197" s="269" t="str">
        <f t="shared" si="554"/>
        <v>1R x 0.6/1kV x 3C x 120+PE Sqmm</v>
      </c>
      <c r="AX197" s="264"/>
      <c r="AY197" s="270"/>
    </row>
    <row r="198" spans="1:51" s="75" customFormat="1" ht="20.149999999999999" hidden="1" customHeight="1">
      <c r="A198" s="262" t="s">
        <v>303</v>
      </c>
      <c r="B198" s="404" t="s">
        <v>382</v>
      </c>
      <c r="C198" s="262" t="str">
        <f t="shared" si="536"/>
        <v>EPMCC-1</v>
      </c>
      <c r="D198" s="290" t="s">
        <v>522</v>
      </c>
      <c r="E198" s="407" t="s">
        <v>310</v>
      </c>
      <c r="F198" s="262" t="s">
        <v>29</v>
      </c>
      <c r="G198" s="262" t="s">
        <v>311</v>
      </c>
      <c r="H198" s="258">
        <v>2.2000000000000002</v>
      </c>
      <c r="I198" s="262" t="s">
        <v>299</v>
      </c>
      <c r="J198" s="262" t="s">
        <v>300</v>
      </c>
      <c r="K198" s="259">
        <v>400</v>
      </c>
      <c r="L198" s="264">
        <v>0.8</v>
      </c>
      <c r="M198" s="258">
        <v>0.86699999999999999</v>
      </c>
      <c r="N198" s="263">
        <f t="shared" si="537"/>
        <v>4.5783154995458304</v>
      </c>
      <c r="O198" s="263">
        <f t="shared" si="456"/>
        <v>27.469892997274982</v>
      </c>
      <c r="P198" s="264">
        <f t="shared" si="538"/>
        <v>0.2</v>
      </c>
      <c r="Q198" s="258">
        <v>50</v>
      </c>
      <c r="R198" s="258">
        <v>0</v>
      </c>
      <c r="S198" s="258">
        <f t="shared" si="539"/>
        <v>0</v>
      </c>
      <c r="T198" s="264" t="s">
        <v>131</v>
      </c>
      <c r="U198" s="258" t="s">
        <v>302</v>
      </c>
      <c r="V198" s="264">
        <v>16</v>
      </c>
      <c r="W198" s="264" t="str">
        <f t="shared" si="540"/>
        <v>3C X 16</v>
      </c>
      <c r="X198" s="264" t="str">
        <f t="shared" si="541"/>
        <v>3C X 16+PE</v>
      </c>
      <c r="Y198" s="264" t="s">
        <v>314</v>
      </c>
      <c r="Z198" s="265">
        <f>IF(T198="AIR",VLOOKUP(W198,'Catalogue Aluminium'!$B$9:$G$91,2,FALSE),IF(T198="GROUND",VLOOKUP(W198,'Catalogue Aluminium'!$B$9:$G$91,3,FALSE),IF(T198="DUCT",VLOOKUP(W198,'Catalogue Aluminium'!$B$9:$G$91,4,FALSE),IF(T198="TRENCH",VLOOKUP(W198,'Catalogue Aluminium'!$B$9:$G$91,2,FALSE)))))</f>
        <v>70</v>
      </c>
      <c r="AA198" s="266">
        <f>VLOOKUP(W198,'Catalogue Aluminium'!$B$9:$G$91,5,FALSE)</f>
        <v>2.44</v>
      </c>
      <c r="AB198" s="266">
        <f>VLOOKUP(W198,'Catalogue Aluminium'!$B$9:$G$91,6,FALSE)</f>
        <v>8.1500000000000003E-2</v>
      </c>
      <c r="AC198" s="406">
        <f>22+7</f>
        <v>29</v>
      </c>
      <c r="AD198" s="264">
        <f t="shared" si="576"/>
        <v>304</v>
      </c>
      <c r="AE198" s="322">
        <f t="shared" si="575"/>
        <v>38</v>
      </c>
      <c r="AF198" s="264">
        <v>8</v>
      </c>
      <c r="AG198" s="264">
        <f t="shared" si="544"/>
        <v>38</v>
      </c>
      <c r="AH198" s="267"/>
      <c r="AI198" s="265">
        <f>IF(T198="AIR",'Catalogue Aluminium'!$K$9,IF(T198="TRENCH",'Catalogue Aluminium'!$K$12,"NA"))</f>
        <v>0.89</v>
      </c>
      <c r="AJ198" s="263">
        <f>IF(T198="Air",(IF(U198="1C",'Catalogue Aluminium'!$L$9,'Catalogue Aluminium'!$M$9)),IF(T198="DUCT",(IF($U198="1C",'Catalogue Aluminium'!$L$10,'Catalogue Aluminium'!$M$10)),IF(T198="GROUND",(IF($U198="1C",'Catalogue Aluminium'!$L$11,'Catalogue Aluminium'!$M$11)),IF(T198="TRENCH",(IF($U198="1C",'Catalogue Aluminium'!$L$12,'Catalogue Aluminium'!$M$12))))))</f>
        <v>0.66</v>
      </c>
      <c r="AK198" s="265" t="str">
        <f>IF(T198="Air",'Catalogue Aluminium'!$N$9,IF(T198="GROUND",'Catalogue Aluminium'!$N$10,IF(T198="DUCT",'Catalogue Aluminium'!$N$11,IF(T198="TRENCH",'Catalogue Aluminium'!$N$12,"NA"))))</f>
        <v>NA</v>
      </c>
      <c r="AL198" s="265" t="str">
        <f>IF(T198="Air",(IF(U198="1C",'Catalogue Aluminium'!$O$9,'Catalogue Aluminium'!$P$9)),IF(T198="DUCT",(IF($U198="1C",'Catalogue Aluminium'!$O$10,'Catalogue Aluminium'!$P$10)),IF(T198="GROUND",(IF($U198="1C",'Catalogue Aluminium'!$O$11,'Catalogue Aluminium'!$P$11)),IF(T198="TRENCH",(IF($U198="1C",'Catalogue Aluminium'!$O$12,'Catalogue Aluminium'!$P$12))))))</f>
        <v>NA</v>
      </c>
      <c r="AM198" s="265" t="str">
        <f>IF(T198="AIR","NA",IF(T198="TRENCH","NA",IF(T198="DUCT",IF(U198="1C",VLOOKUP(V198,'Catalogue Aluminium'!$Q$9:$S$28,2,FALSE),VLOOKUP(V198,'Catalogue Aluminium'!$Q$9:$S$28,3)),IF(T198="GROUND",IF(U198="1C",VLOOKUP(V198,'Catalogue Aluminium'!$Q$9:$S$28,2,FALSE),VLOOKUP(V198,'Catalogue Aluminium'!$Q$9:$S$28,3))))))</f>
        <v>NA</v>
      </c>
      <c r="AN198" s="268">
        <f t="shared" si="546"/>
        <v>0.58740000000000003</v>
      </c>
      <c r="AO198" s="258">
        <f t="shared" si="547"/>
        <v>41.118000000000002</v>
      </c>
      <c r="AP198" s="259">
        <f t="shared" si="466"/>
        <v>1</v>
      </c>
      <c r="AQ198" s="258" t="str">
        <f t="shared" si="548"/>
        <v>YES</v>
      </c>
      <c r="AR198" s="268">
        <f t="shared" si="549"/>
        <v>0</v>
      </c>
      <c r="AS198" s="349" t="str">
        <f t="shared" si="550"/>
        <v>YES</v>
      </c>
      <c r="AT198" s="350">
        <f t="shared" si="551"/>
        <v>0</v>
      </c>
      <c r="AU198" s="264" t="str">
        <f t="shared" si="552"/>
        <v>YES</v>
      </c>
      <c r="AV198" s="269" t="str">
        <f t="shared" si="553"/>
        <v>1R x 0.6/1kV x 3C x 16 Sqmm</v>
      </c>
      <c r="AW198" s="269" t="str">
        <f t="shared" si="554"/>
        <v>1R x 0.6/1kV x 3C x 16+PE Sqmm</v>
      </c>
      <c r="AX198" s="264"/>
      <c r="AY198" s="270"/>
    </row>
    <row r="199" spans="1:51" s="75" customFormat="1" ht="20.149999999999999" hidden="1" customHeight="1">
      <c r="A199" s="262" t="s">
        <v>303</v>
      </c>
      <c r="B199" s="404" t="s">
        <v>382</v>
      </c>
      <c r="C199" s="262" t="str">
        <f t="shared" si="536"/>
        <v>EPMCC-1</v>
      </c>
      <c r="D199" s="290" t="s">
        <v>423</v>
      </c>
      <c r="E199" s="407" t="s">
        <v>310</v>
      </c>
      <c r="F199" s="262" t="s">
        <v>28</v>
      </c>
      <c r="G199" s="262" t="s">
        <v>298</v>
      </c>
      <c r="H199" s="258">
        <v>17.5</v>
      </c>
      <c r="I199" s="262" t="s">
        <v>299</v>
      </c>
      <c r="J199" s="262" t="s">
        <v>300</v>
      </c>
      <c r="K199" s="259">
        <v>400</v>
      </c>
      <c r="L199" s="264">
        <v>0.85</v>
      </c>
      <c r="M199" s="258">
        <v>0.95</v>
      </c>
      <c r="N199" s="263">
        <f t="shared" si="537"/>
        <v>31.281504944265301</v>
      </c>
      <c r="O199" s="263">
        <f t="shared" si="456"/>
        <v>0</v>
      </c>
      <c r="P199" s="264" t="str">
        <f t="shared" si="538"/>
        <v>0.00</v>
      </c>
      <c r="Q199" s="258">
        <v>50</v>
      </c>
      <c r="R199" s="258">
        <v>0</v>
      </c>
      <c r="S199" s="258">
        <f t="shared" si="539"/>
        <v>0</v>
      </c>
      <c r="T199" s="264" t="s">
        <v>131</v>
      </c>
      <c r="U199" s="258" t="s">
        <v>390</v>
      </c>
      <c r="V199" s="264">
        <v>95</v>
      </c>
      <c r="W199" s="264" t="str">
        <f t="shared" si="540"/>
        <v>3.5C X 95</v>
      </c>
      <c r="X199" s="264" t="str">
        <f t="shared" si="541"/>
        <v>3.5C X 95</v>
      </c>
      <c r="Y199" s="264" t="s">
        <v>314</v>
      </c>
      <c r="Z199" s="265">
        <f>IF(T199="AIR",VLOOKUP(W199,'Catalogue Aluminium'!$B$9:$G$91,2,FALSE),IF(T199="GROUND",VLOOKUP(W199,'Catalogue Aluminium'!$B$9:$G$91,3,FALSE),IF(T199="DUCT",VLOOKUP(W199,'Catalogue Aluminium'!$B$9:$G$91,4,FALSE),IF(T199="TRENCH",VLOOKUP(W199,'Catalogue Aluminium'!$B$9:$G$91,2,FALSE)))))</f>
        <v>221</v>
      </c>
      <c r="AA199" s="266">
        <f>VLOOKUP(W199,'Catalogue Aluminium'!$B$9:$G$91,5,FALSE)</f>
        <v>0.41</v>
      </c>
      <c r="AB199" s="266">
        <f>VLOOKUP(W199,'Catalogue Aluminium'!$B$9:$G$91,6,FALSE)</f>
        <v>7.3400000000000007E-2</v>
      </c>
      <c r="AC199" s="406">
        <f>28+7</f>
        <v>35</v>
      </c>
      <c r="AD199" s="264">
        <f t="shared" si="576"/>
        <v>304</v>
      </c>
      <c r="AE199" s="322">
        <f t="shared" si="575"/>
        <v>38</v>
      </c>
      <c r="AF199" s="264">
        <v>8</v>
      </c>
      <c r="AG199" s="264">
        <f t="shared" si="544"/>
        <v>39</v>
      </c>
      <c r="AH199" s="267"/>
      <c r="AI199" s="265">
        <f>IF(T199="AIR",'Catalogue Aluminium'!$K$9,IF(T199="TRENCH",'Catalogue Aluminium'!$K$12,"NA"))</f>
        <v>0.89</v>
      </c>
      <c r="AJ199" s="263">
        <f>IF(T199="Air",(IF(U199="1C",'Catalogue Aluminium'!$L$9,'Catalogue Aluminium'!$M$9)),IF(T199="DUCT",(IF($U199="1C",'Catalogue Aluminium'!$L$10,'Catalogue Aluminium'!$M$10)),IF(T199="GROUND",(IF($U199="1C",'Catalogue Aluminium'!$L$11,'Catalogue Aluminium'!$M$11)),IF(T199="TRENCH",(IF($U199="1C",'Catalogue Aluminium'!$L$12,'Catalogue Aluminium'!$M$12))))))</f>
        <v>0.66</v>
      </c>
      <c r="AK199" s="265" t="str">
        <f>IF(T199="Air",'Catalogue Aluminium'!$N$9,IF(T199="GROUND",'Catalogue Aluminium'!$N$10,IF(T199="DUCT",'Catalogue Aluminium'!$N$11,IF(T199="TRENCH",'Catalogue Aluminium'!$N$12,"NA"))))</f>
        <v>NA</v>
      </c>
      <c r="AL199" s="265" t="str">
        <f>IF(T199="Air",(IF(U199="1C",'Catalogue Aluminium'!$O$9,'Catalogue Aluminium'!$P$9)),IF(T199="DUCT",(IF($U199="1C",'Catalogue Aluminium'!$O$10,'Catalogue Aluminium'!$P$10)),IF(T199="GROUND",(IF($U199="1C",'Catalogue Aluminium'!$O$11,'Catalogue Aluminium'!$P$11)),IF(T199="TRENCH",(IF($U199="1C",'Catalogue Aluminium'!$O$12,'Catalogue Aluminium'!$P$12))))))</f>
        <v>NA</v>
      </c>
      <c r="AM199" s="265" t="str">
        <f>IF(T199="AIR","NA",IF(T199="TRENCH","NA",IF(T199="DUCT",IF(U199="1C",VLOOKUP(V199,'Catalogue Aluminium'!$Q$9:$S$28,2,FALSE),VLOOKUP(V199,'Catalogue Aluminium'!$Q$9:$S$28,3)),IF(T199="GROUND",IF(U199="1C",VLOOKUP(V199,'Catalogue Aluminium'!$Q$9:$S$28,2,FALSE),VLOOKUP(V199,'Catalogue Aluminium'!$Q$9:$S$28,3))))))</f>
        <v>NA</v>
      </c>
      <c r="AN199" s="268">
        <f t="shared" si="546"/>
        <v>0.58740000000000003</v>
      </c>
      <c r="AO199" s="258">
        <f t="shared" si="547"/>
        <v>129.81540000000001</v>
      </c>
      <c r="AP199" s="259">
        <f t="shared" si="466"/>
        <v>1</v>
      </c>
      <c r="AQ199" s="258" t="str">
        <f t="shared" si="548"/>
        <v>YES</v>
      </c>
      <c r="AR199" s="268">
        <f t="shared" si="549"/>
        <v>0</v>
      </c>
      <c r="AS199" s="349" t="str">
        <f t="shared" si="550"/>
        <v>YES</v>
      </c>
      <c r="AT199" s="350" t="str">
        <f t="shared" si="551"/>
        <v>NA</v>
      </c>
      <c r="AU199" s="264" t="str">
        <f t="shared" si="552"/>
        <v>NA</v>
      </c>
      <c r="AV199" s="269" t="str">
        <f t="shared" si="553"/>
        <v>1R x 0.6/1kV x 3.5C x 95 Sqmm</v>
      </c>
      <c r="AW199" s="269" t="str">
        <f t="shared" si="554"/>
        <v>1R x 0.6/1kV x 3.5C x 95 Sqmm</v>
      </c>
      <c r="AX199" s="264"/>
      <c r="AY199" s="270"/>
    </row>
    <row r="200" spans="1:51" s="75" customFormat="1" ht="20.149999999999999" hidden="1" customHeight="1">
      <c r="A200" s="262" t="s">
        <v>303</v>
      </c>
      <c r="B200" s="404" t="s">
        <v>382</v>
      </c>
      <c r="C200" s="262" t="str">
        <f t="shared" si="536"/>
        <v>EPMCC-1</v>
      </c>
      <c r="D200" s="290" t="s">
        <v>523</v>
      </c>
      <c r="E200" s="407" t="s">
        <v>310</v>
      </c>
      <c r="F200" s="262" t="s">
        <v>29</v>
      </c>
      <c r="G200" s="262" t="s">
        <v>298</v>
      </c>
      <c r="H200" s="258">
        <v>3.5</v>
      </c>
      <c r="I200" s="262" t="s">
        <v>299</v>
      </c>
      <c r="J200" s="262" t="s">
        <v>300</v>
      </c>
      <c r="K200" s="259">
        <v>400</v>
      </c>
      <c r="L200" s="264">
        <v>0.85</v>
      </c>
      <c r="M200" s="258">
        <v>0.95</v>
      </c>
      <c r="N200" s="263">
        <f t="shared" si="537"/>
        <v>6.2563009888530603</v>
      </c>
      <c r="O200" s="263">
        <f t="shared" si="456"/>
        <v>0</v>
      </c>
      <c r="P200" s="264" t="str">
        <f t="shared" si="538"/>
        <v>0.00</v>
      </c>
      <c r="Q200" s="258">
        <v>50</v>
      </c>
      <c r="R200" s="258">
        <v>0</v>
      </c>
      <c r="S200" s="258">
        <f t="shared" si="539"/>
        <v>0</v>
      </c>
      <c r="T200" s="264" t="s">
        <v>131</v>
      </c>
      <c r="U200" s="258" t="s">
        <v>390</v>
      </c>
      <c r="V200" s="264">
        <v>25</v>
      </c>
      <c r="W200" s="264" t="str">
        <f t="shared" si="540"/>
        <v>3.5C X 25</v>
      </c>
      <c r="X200" s="264" t="str">
        <f t="shared" si="541"/>
        <v>3.5C X 25</v>
      </c>
      <c r="Y200" s="264" t="s">
        <v>314</v>
      </c>
      <c r="Z200" s="265">
        <f>IF(T200="AIR",VLOOKUP(W200,'Catalogue Aluminium'!$B$9:$G$91,2,FALSE),IF(T200="GROUND",VLOOKUP(W200,'Catalogue Aluminium'!$B$9:$G$91,3,FALSE),IF(T200="DUCT",VLOOKUP(W200,'Catalogue Aluminium'!$B$9:$G$91,4,FALSE),IF(T200="TRENCH",VLOOKUP(W200,'Catalogue Aluminium'!$B$9:$G$91,2,FALSE)))))</f>
        <v>95</v>
      </c>
      <c r="AA200" s="266">
        <f>VLOOKUP(W200,'Catalogue Aluminium'!$B$9:$G$91,5,FALSE)</f>
        <v>1.54</v>
      </c>
      <c r="AB200" s="266">
        <f>VLOOKUP(W200,'Catalogue Aluminium'!$B$9:$G$91,6,FALSE)</f>
        <v>8.1600000000000006E-2</v>
      </c>
      <c r="AC200" s="406">
        <f>22+7</f>
        <v>29</v>
      </c>
      <c r="AD200" s="264">
        <f t="shared" si="576"/>
        <v>304</v>
      </c>
      <c r="AE200" s="322">
        <f t="shared" si="575"/>
        <v>38</v>
      </c>
      <c r="AF200" s="264">
        <v>8</v>
      </c>
      <c r="AG200" s="264">
        <f t="shared" si="544"/>
        <v>38</v>
      </c>
      <c r="AH200" s="267"/>
      <c r="AI200" s="265">
        <f>IF(T200="AIR",'Catalogue Aluminium'!$K$9,IF(T200="TRENCH",'Catalogue Aluminium'!$K$12,"NA"))</f>
        <v>0.89</v>
      </c>
      <c r="AJ200" s="263">
        <f>IF(T200="Air",(IF(U200="1C",'Catalogue Aluminium'!$L$9,'Catalogue Aluminium'!$M$9)),IF(T200="DUCT",(IF($U200="1C",'Catalogue Aluminium'!$L$10,'Catalogue Aluminium'!$M$10)),IF(T200="GROUND",(IF($U200="1C",'Catalogue Aluminium'!$L$11,'Catalogue Aluminium'!$M$11)),IF(T200="TRENCH",(IF($U200="1C",'Catalogue Aluminium'!$L$12,'Catalogue Aluminium'!$M$12))))))</f>
        <v>0.66</v>
      </c>
      <c r="AK200" s="265" t="str">
        <f>IF(T200="Air",'Catalogue Aluminium'!$N$9,IF(T200="GROUND",'Catalogue Aluminium'!$N$10,IF(T200="DUCT",'Catalogue Aluminium'!$N$11,IF(T200="TRENCH",'Catalogue Aluminium'!$N$12,"NA"))))</f>
        <v>NA</v>
      </c>
      <c r="AL200" s="265" t="str">
        <f>IF(T200="Air",(IF(U200="1C",'Catalogue Aluminium'!$O$9,'Catalogue Aluminium'!$P$9)),IF(T200="DUCT",(IF($U200="1C",'Catalogue Aluminium'!$O$10,'Catalogue Aluminium'!$P$10)),IF(T200="GROUND",(IF($U200="1C",'Catalogue Aluminium'!$O$11,'Catalogue Aluminium'!$P$11)),IF(T200="TRENCH",(IF($U200="1C",'Catalogue Aluminium'!$O$12,'Catalogue Aluminium'!$P$12))))))</f>
        <v>NA</v>
      </c>
      <c r="AM200" s="265" t="str">
        <f>IF(T200="AIR","NA",IF(T200="TRENCH","NA",IF(T200="DUCT",IF(U200="1C",VLOOKUP(V200,'Catalogue Aluminium'!$Q$9:$S$28,2,FALSE),VLOOKUP(V200,'Catalogue Aluminium'!$Q$9:$S$28,3)),IF(T200="GROUND",IF(U200="1C",VLOOKUP(V200,'Catalogue Aluminium'!$Q$9:$S$28,2,FALSE),VLOOKUP(V200,'Catalogue Aluminium'!$Q$9:$S$28,3))))))</f>
        <v>NA</v>
      </c>
      <c r="AN200" s="268">
        <f t="shared" si="546"/>
        <v>0.58740000000000003</v>
      </c>
      <c r="AO200" s="258">
        <f t="shared" si="547"/>
        <v>55.803000000000004</v>
      </c>
      <c r="AP200" s="259">
        <f t="shared" si="466"/>
        <v>1</v>
      </c>
      <c r="AQ200" s="258" t="str">
        <f t="shared" si="548"/>
        <v>YES</v>
      </c>
      <c r="AR200" s="268">
        <f t="shared" si="549"/>
        <v>0</v>
      </c>
      <c r="AS200" s="349" t="str">
        <f t="shared" si="550"/>
        <v>YES</v>
      </c>
      <c r="AT200" s="350" t="str">
        <f t="shared" si="551"/>
        <v>NA</v>
      </c>
      <c r="AU200" s="264" t="str">
        <f t="shared" si="552"/>
        <v>NA</v>
      </c>
      <c r="AV200" s="269" t="str">
        <f t="shared" si="553"/>
        <v>1R x 0.6/1kV x 3.5C x 25 Sqmm</v>
      </c>
      <c r="AW200" s="269" t="str">
        <f t="shared" si="554"/>
        <v>1R x 0.6/1kV x 3.5C x 25 Sqmm</v>
      </c>
      <c r="AX200" s="264"/>
      <c r="AY200" s="270"/>
    </row>
    <row r="201" spans="1:51" s="70" customFormat="1" ht="31.5" customHeight="1">
      <c r="A201" s="273"/>
      <c r="B201" s="273"/>
      <c r="C201" s="273"/>
      <c r="D201" s="357" t="s">
        <v>422</v>
      </c>
      <c r="E201" s="358"/>
      <c r="F201" s="359"/>
      <c r="G201" s="273"/>
      <c r="H201" s="281"/>
      <c r="I201" s="273"/>
      <c r="J201" s="273"/>
      <c r="K201" s="280"/>
      <c r="L201" s="275"/>
      <c r="M201" s="281"/>
      <c r="N201" s="274"/>
      <c r="O201" s="274"/>
      <c r="P201" s="275"/>
      <c r="Q201" s="281"/>
      <c r="R201" s="281"/>
      <c r="S201" s="281"/>
      <c r="T201" s="275"/>
      <c r="U201" s="281"/>
      <c r="V201" s="275"/>
      <c r="W201" s="275"/>
      <c r="X201" s="275"/>
      <c r="Y201" s="275"/>
      <c r="Z201" s="276"/>
      <c r="AA201" s="277"/>
      <c r="AB201" s="277"/>
      <c r="AC201" s="277"/>
      <c r="AD201" s="277"/>
      <c r="AE201" s="277"/>
      <c r="AF201" s="277"/>
      <c r="AG201" s="277"/>
      <c r="AH201" s="277"/>
      <c r="AI201" s="276"/>
      <c r="AJ201" s="274"/>
      <c r="AK201" s="276"/>
      <c r="AL201" s="276"/>
      <c r="AM201" s="276"/>
      <c r="AN201" s="282"/>
      <c r="AO201" s="281"/>
      <c r="AP201" s="280"/>
      <c r="AQ201" s="281"/>
      <c r="AR201" s="282"/>
      <c r="AS201" s="275"/>
      <c r="AT201" s="282"/>
      <c r="AU201" s="282"/>
      <c r="AV201" s="283"/>
      <c r="AW201" s="283"/>
      <c r="AX201" s="275"/>
      <c r="AY201" s="284"/>
    </row>
    <row r="202" spans="1:51" ht="20.149999999999999" customHeight="1">
      <c r="A202" s="243">
        <f>1+A194</f>
        <v>140</v>
      </c>
      <c r="B202" s="599" t="s">
        <v>1039</v>
      </c>
      <c r="C202" s="243" t="s">
        <v>491</v>
      </c>
      <c r="D202" s="272" t="s">
        <v>520</v>
      </c>
      <c r="E202" s="314" t="s">
        <v>310</v>
      </c>
      <c r="F202" s="243" t="s">
        <v>28</v>
      </c>
      <c r="G202" s="243" t="s">
        <v>311</v>
      </c>
      <c r="H202" s="304">
        <v>22</v>
      </c>
      <c r="I202" s="243" t="s">
        <v>299</v>
      </c>
      <c r="J202" s="243" t="s">
        <v>300</v>
      </c>
      <c r="K202" s="255">
        <v>400</v>
      </c>
      <c r="L202" s="249">
        <v>0.82</v>
      </c>
      <c r="M202" s="256">
        <v>0.93299999999999994</v>
      </c>
      <c r="N202" s="248">
        <f t="shared" ref="N202:N206" si="577">IF(I202="kVA",IF(J202="3Ph",(H202*1000/(1.732*M202*K202)),(H202*1000/(M202*K202))),IF(I202="kW",IF(J202="3Ph",(H202*1000/(1.732*M202*K202*L202)),(H202*1000/(M202*K202*L202)))))</f>
        <v>41.506805093521933</v>
      </c>
      <c r="O202" s="248">
        <f t="shared" ref="O202:O206" si="578">IF(G202="MOTOR",(6*N202),IF(G202="VFD",(1*N202),0))</f>
        <v>249.0408305611316</v>
      </c>
      <c r="P202" s="249">
        <f t="shared" ref="P202:P206" si="579">IF(G202="MOTOR",0.2,"0.00")</f>
        <v>0.2</v>
      </c>
      <c r="Q202" s="256">
        <v>50</v>
      </c>
      <c r="R202" s="256">
        <v>0</v>
      </c>
      <c r="S202" s="256">
        <f t="shared" ref="S202:S206" si="580">(Q202*1000*SQRT(R202)/143)</f>
        <v>0</v>
      </c>
      <c r="T202" s="249" t="s">
        <v>131</v>
      </c>
      <c r="U202" s="256" t="s">
        <v>302</v>
      </c>
      <c r="V202" s="249">
        <v>95</v>
      </c>
      <c r="W202" s="249" t="str">
        <f t="shared" ref="W202:W206" si="581">CONCATENATE(U202," X ",V202)</f>
        <v>3C X 95</v>
      </c>
      <c r="X202" s="249" t="str">
        <f t="shared" ref="X202:X206" si="582">(IF(J202="1Ph",W202,IF(J202="3Ph",(IF(G202="MOTOR",(CONCATENATE(W202,"+PE")),W202)))))</f>
        <v>3C X 95+PE</v>
      </c>
      <c r="Y202" s="249" t="s">
        <v>314</v>
      </c>
      <c r="Z202" s="250">
        <f>IF(T202="AIR",VLOOKUP(W202,'Catalogue Aluminium'!$B$9:$G$91,2,FALSE),IF(T202="GROUND",VLOOKUP(W202,'Catalogue Aluminium'!$B$9:$G$91,3,FALSE),IF(T202="DUCT",VLOOKUP(W202,'Catalogue Aluminium'!$B$9:$G$91,4,FALSE),IF(T202="TRENCH",VLOOKUP(W202,'Catalogue Aluminium'!$B$9:$G$91,2,FALSE)))))</f>
        <v>221</v>
      </c>
      <c r="AA202" s="251">
        <f>VLOOKUP(W202,'Catalogue Aluminium'!$B$9:$G$91,5,FALSE)</f>
        <v>0.41</v>
      </c>
      <c r="AB202" s="251">
        <f>VLOOKUP(W202,'Catalogue Aluminium'!$B$9:$G$91,6,FALSE)</f>
        <v>7.3400000000000007E-2</v>
      </c>
      <c r="AC202" s="323">
        <f t="shared" ref="AC202:AC203" si="583">32+6</f>
        <v>38</v>
      </c>
      <c r="AD202" s="294">
        <f>11+34+48+35+30+11+24+(15+18+26+22+12+3+15)</f>
        <v>304</v>
      </c>
      <c r="AE202" s="294">
        <f t="shared" si="575"/>
        <v>38</v>
      </c>
      <c r="AF202" s="294">
        <v>8</v>
      </c>
      <c r="AG202" s="294">
        <f t="shared" ref="AG202:AG206" si="584">ROUNDUP((SUM(AC202:AF202)*0.1),0)</f>
        <v>39</v>
      </c>
      <c r="AH202" s="253">
        <f t="shared" ref="AH202:AH206" si="585">SUM(AC202:AG202)</f>
        <v>427</v>
      </c>
      <c r="AI202" s="250">
        <f>IF(T202="AIR",'Catalogue Aluminium'!$K$9,IF(T202="TRENCH",'Catalogue Aluminium'!$K$12,"NA"))</f>
        <v>0.89</v>
      </c>
      <c r="AJ202" s="248">
        <f>IF(T202="Air",(IF(U202="1C",'Catalogue Aluminium'!$L$9,'Catalogue Aluminium'!$M$9)),IF(T202="DUCT",(IF($U202="1C",'Catalogue Aluminium'!$L$10,'Catalogue Aluminium'!$M$10)),IF(T202="GROUND",(IF($U202="1C",'Catalogue Aluminium'!$L$11,'Catalogue Aluminium'!$M$11)),IF(T202="TRENCH",(IF($U202="1C",'Catalogue Aluminium'!$L$12,'Catalogue Aluminium'!$M$12))))))</f>
        <v>0.66</v>
      </c>
      <c r="AK202" s="250" t="str">
        <f>IF(T202="Air",'Catalogue Aluminium'!$N$9,IF(T202="GROUND",'Catalogue Aluminium'!$N$10,IF(T202="DUCT",'Catalogue Aluminium'!$N$11,IF(T202="TRENCH",'Catalogue Aluminium'!$N$12,"NA"))))</f>
        <v>NA</v>
      </c>
      <c r="AL202" s="250" t="str">
        <f>IF(T202="Air",(IF(U202="1C",'Catalogue Aluminium'!$O$9,'Catalogue Aluminium'!$P$9)),IF(T202="DUCT",(IF($U202="1C",'Catalogue Aluminium'!$O$10,'Catalogue Aluminium'!$P$10)),IF(T202="GROUND",(IF($U202="1C",'Catalogue Aluminium'!$O$11,'Catalogue Aluminium'!$P$11)),IF(T202="TRENCH",(IF($U202="1C",'Catalogue Aluminium'!$O$12,'Catalogue Aluminium'!$P$12))))))</f>
        <v>NA</v>
      </c>
      <c r="AM202" s="250" t="str">
        <f>IF(T202="AIR","NA",IF(T202="TRENCH","NA",IF(T202="DUCT",IF(U202="1C",VLOOKUP(V202,'Catalogue Aluminium'!$Q$9:$S$28,2,FALSE),VLOOKUP(V202,'Catalogue Aluminium'!$Q$9:$S$28,3)),IF(T202="GROUND",IF(U202="1C",VLOOKUP(V202,'Catalogue Aluminium'!$Q$9:$S$28,2,FALSE),VLOOKUP(V202,'Catalogue Aluminium'!$Q$9:$S$28,3))))))</f>
        <v>NA</v>
      </c>
      <c r="AN202" s="257">
        <f t="shared" ref="AN202:AN206" si="586">IF(T202="AIR",AI202*AJ202,IF(T202="TRENCH",AI202*AJ202,IF(T202="DUCT",AJ202*AK202*AL202*AM202,IF(T202="GROUND",AJ202*AK202*AL202*AM202))))</f>
        <v>0.58740000000000003</v>
      </c>
      <c r="AO202" s="256">
        <f t="shared" ref="AO202:AO206" si="587">Z202*AN202</f>
        <v>129.81540000000001</v>
      </c>
      <c r="AP202" s="255">
        <f t="shared" si="466"/>
        <v>1</v>
      </c>
      <c r="AQ202" s="256" t="str">
        <f t="shared" ref="AQ202:AQ206" si="588">IF(AO202*AP202&gt;=N202,"YES","NO")</f>
        <v>YES</v>
      </c>
      <c r="AR202" s="257">
        <f t="shared" ref="AR202:AR206" si="589">SQRT(3)*AH202*N202*((AA202*L202)+(AB202*SIN(ACOS(L202))))*100/(AP202*K202*1000)</f>
        <v>2.9025688258801527</v>
      </c>
      <c r="AS202" s="249" t="str">
        <f t="shared" ref="AS202:AS206" si="590">IF(G202="INCOMER",(IF(AR202&lt;=2,"YES","NO")),IF(G202="POWER",(IF(AR202&lt;=2.5,"YES","NO")),IF(G202="MOTOR",(IF(AR202&lt;=3,"YES","NO")))))</f>
        <v>YES</v>
      </c>
      <c r="AT202" s="257">
        <f>IF(G202="MOTOR",(SQRT(3)*AH202*O202*((AA202*P202)+(AB202*SIN(ACOS(P202))))*100/(AP202*K202*1000)),"NA")</f>
        <v>7.0873798618182589</v>
      </c>
      <c r="AU202" s="249" t="str">
        <f>IF(G202="MOTOR",IF(AT202&lt;=15,"YES","NO"),"NA")</f>
        <v>YES</v>
      </c>
      <c r="AV202" s="260" t="str">
        <f>IF(U202="1C",CONCATENATE(AP202,"R x ",Y202,"kV x ",U202," x ",V202," Sqmm/Phase"),CONCATENATE(AP202,"R x ",0.6,"/1kV x ",U202," x ",V202," Sqmm"))</f>
        <v>1R x 0.6/1kV x 3C x 95 Sqmm</v>
      </c>
      <c r="AW202" s="260" t="str">
        <f>IF(U202="1C",CONCATENATE(AP202,"R x ",Y202,"kV x ",U202," x ",V202," Sqmm/Phase"),CONCATENATE(AP202,"R x ",0.6,"/1kV x ",U202," x ",V202,(IF(G202="MOTOR","+PE",""))," Sqmm"))</f>
        <v>1R x 0.6/1kV x 3C x 95+PE Sqmm</v>
      </c>
      <c r="AX202" s="249">
        <f>(IF(K202=400,(IF(U202="1C",(4*AH202*AP202),(AH202*AP202))),IF(K202=230,(AH202*AP202))))</f>
        <v>427</v>
      </c>
      <c r="AY202" s="261"/>
    </row>
    <row r="203" spans="1:51" ht="20.149999999999999" customHeight="1">
      <c r="A203" s="285">
        <f>1+A202</f>
        <v>141</v>
      </c>
      <c r="B203" s="355"/>
      <c r="C203" s="285" t="s">
        <v>491</v>
      </c>
      <c r="D203" s="244" t="s">
        <v>963</v>
      </c>
      <c r="E203" s="315" t="s">
        <v>310</v>
      </c>
      <c r="F203" s="285" t="s">
        <v>28</v>
      </c>
      <c r="G203" s="285" t="s">
        <v>298</v>
      </c>
      <c r="H203" s="291">
        <v>0.2</v>
      </c>
      <c r="I203" s="285" t="s">
        <v>299</v>
      </c>
      <c r="J203" s="285" t="s">
        <v>313</v>
      </c>
      <c r="K203" s="309">
        <v>230</v>
      </c>
      <c r="L203" s="294">
        <v>0.85</v>
      </c>
      <c r="M203" s="304">
        <v>0.95</v>
      </c>
      <c r="N203" s="287">
        <f t="shared" si="577"/>
        <v>1.0768609503297888</v>
      </c>
      <c r="O203" s="287">
        <f t="shared" si="578"/>
        <v>0</v>
      </c>
      <c r="P203" s="294" t="str">
        <f t="shared" si="579"/>
        <v>0.00</v>
      </c>
      <c r="Q203" s="304">
        <v>65</v>
      </c>
      <c r="R203" s="304">
        <v>0</v>
      </c>
      <c r="S203" s="304">
        <f t="shared" si="580"/>
        <v>0</v>
      </c>
      <c r="T203" s="294" t="s">
        <v>131</v>
      </c>
      <c r="U203" s="304" t="s">
        <v>302</v>
      </c>
      <c r="V203" s="294">
        <v>4</v>
      </c>
      <c r="W203" s="294" t="str">
        <f t="shared" si="581"/>
        <v>3C X 4</v>
      </c>
      <c r="X203" s="294" t="str">
        <f t="shared" ref="X203" si="591">(IF(J203="1Ph",W203,IF(J203="3Ph",(IF(G203="MOTOR",(CONCATENATE(W203,"+PE")),W203)))))</f>
        <v>3C X 4</v>
      </c>
      <c r="Y203" s="294" t="s">
        <v>314</v>
      </c>
      <c r="Z203" s="288">
        <f>IF(T203="AIR",VLOOKUP(W203,'Catalogue Aluminium'!$B$9:$G$91,2,FALSE),IF(T203="GROUND",VLOOKUP(W203,'Catalogue Aluminium'!$B$9:$G$91,3,FALSE),IF(T203="DUCT",VLOOKUP(W203,'Catalogue Aluminium'!$B$9:$G$91,4,FALSE),IF(T203="TRENCH",VLOOKUP(W203,'Catalogue Aluminium'!$B$9:$G$91,2,FALSE)))))</f>
        <v>38</v>
      </c>
      <c r="AA203" s="295">
        <f>VLOOKUP(W203,'Catalogue Aluminium'!$B$9:$G$91,5,FALSE)</f>
        <v>5.9</v>
      </c>
      <c r="AB203" s="295">
        <f>VLOOKUP(W203,'Catalogue Aluminium'!$B$9:$G$91,6,FALSE)</f>
        <v>9.4700000000000006E-2</v>
      </c>
      <c r="AC203" s="323">
        <f t="shared" si="583"/>
        <v>38</v>
      </c>
      <c r="AD203" s="294">
        <f>11+34+48+35+30+11+24+(15+18+26+22+12+3+15)</f>
        <v>304</v>
      </c>
      <c r="AE203" s="294">
        <f t="shared" si="575"/>
        <v>38</v>
      </c>
      <c r="AF203" s="294">
        <v>8</v>
      </c>
      <c r="AG203" s="294">
        <f t="shared" ref="AG203" si="592">ROUNDUP((SUM(AC203:AF203)*0.1),0)</f>
        <v>39</v>
      </c>
      <c r="AH203" s="311">
        <f t="shared" ref="AH203" si="593">SUM(AC203:AG203)</f>
        <v>427</v>
      </c>
      <c r="AI203" s="288">
        <f>IF(T203="AIR",'Catalogue Aluminium'!$K$9,IF(T203="TRENCH",'Catalogue Aluminium'!$K$12,"NA"))</f>
        <v>0.89</v>
      </c>
      <c r="AJ203" s="287">
        <f>IF(T203="Air",(IF(U203="1C",'Catalogue Aluminium'!$L$9,'Catalogue Aluminium'!$M$9)),IF(T203="DUCT",(IF($U203="1C",'Catalogue Aluminium'!$L$10,'Catalogue Aluminium'!$M$10)),IF(T203="GROUND",(IF($U203="1C",'Catalogue Aluminium'!$L$11,'Catalogue Aluminium'!$M$11)),IF(T203="TRENCH",(IF($U203="1C",'Catalogue Aluminium'!$L$12,'Catalogue Aluminium'!$M$12))))))</f>
        <v>0.66</v>
      </c>
      <c r="AK203" s="288" t="str">
        <f>IF(T203="Air",'Catalogue Aluminium'!$N$9,IF(T203="GROUND",'Catalogue Aluminium'!$N$10,IF(T203="DUCT",'Catalogue Aluminium'!$N$11,IF(T203="TRENCH",'Catalogue Aluminium'!$N$12,"NA"))))</f>
        <v>NA</v>
      </c>
      <c r="AL203" s="288" t="str">
        <f>IF(T203="Air",(IF(U203="1C",'Catalogue Aluminium'!$O$9,'Catalogue Aluminium'!$P$9)),IF(T203="DUCT",(IF($U203="1C",'Catalogue Aluminium'!$O$10,'Catalogue Aluminium'!$P$10)),IF(T203="GROUND",(IF($U203="1C",'Catalogue Aluminium'!$O$11,'Catalogue Aluminium'!$P$11)),IF(T203="TRENCH",(IF($U203="1C",'Catalogue Aluminium'!$O$12,'Catalogue Aluminium'!$P$12))))))</f>
        <v>NA</v>
      </c>
      <c r="AM203" s="288" t="str">
        <f>IF(T203="AIR","NA",IF(T203="TRENCH","NA",IF(T203="DUCT",IF(U203="1C",VLOOKUP(V203,'Catalogue Aluminium'!$Q$9:$S$28,2,FALSE),VLOOKUP(V203,'Catalogue Aluminium'!$Q$9:$S$28,3)),IF(T203="GROUND",IF(U203="1C",VLOOKUP(V203,'Catalogue Aluminium'!$Q$9:$S$28,2,FALSE),VLOOKUP(V203,'Catalogue Aluminium'!$Q$9:$S$28,3))))))</f>
        <v>NA</v>
      </c>
      <c r="AN203" s="312">
        <f t="shared" ref="AN203" si="594">IF(T203="AIR",AI203*AJ203,IF(T203="TRENCH",AI203*AJ203,IF(T203="DUCT",AJ203*AK203*AL203*AM203,IF(T203="GROUND",AJ203*AK203*AL203*AM203))))</f>
        <v>0.58740000000000003</v>
      </c>
      <c r="AO203" s="304">
        <f t="shared" ref="AO203" si="595">Z203*AN203</f>
        <v>22.321200000000001</v>
      </c>
      <c r="AP203" s="309">
        <f t="shared" ref="AP203" si="596">CEILING(((N203)/AO203),1)</f>
        <v>1</v>
      </c>
      <c r="AQ203" s="304" t="str">
        <f t="shared" ref="AQ203" si="597">IF(AO203*AP203&gt;=N203,"YES","NO")</f>
        <v>YES</v>
      </c>
      <c r="AR203" s="312">
        <f t="shared" ref="AR203" si="598">SQRT(3)*AH203*N203*((AA203*L203)+(AB203*SIN(ACOS(L203))))*100/(AP203*K203*1000)</f>
        <v>1.7538401065653377</v>
      </c>
      <c r="AS203" s="294" t="str">
        <f t="shared" ref="AS203" si="599">IF(G203="INCOMER",(IF(AR203&lt;=2,"YES","NO")),IF(G203="POWER",(IF(AR203&lt;=2.5,"YES","NO")),IF(G203="MOTOR",(IF(AR203&lt;=3,"YES","NO")))))</f>
        <v>YES</v>
      </c>
      <c r="AT203" s="312" t="str">
        <f>IF(G203="MOTOR",(SQRT(3)*AH203*O203*((AA203*P203)+(AB203*SIN(ACOS(P203))))*100/(AP203*K203*1000)),"NA")</f>
        <v>NA</v>
      </c>
      <c r="AU203" s="294" t="str">
        <f>IF(G203="MOTOR",IF(AT203&lt;=15,"YES","NO"),"NA")</f>
        <v>NA</v>
      </c>
      <c r="AV203" s="353" t="str">
        <f>IF(U203="1C",CONCATENATE(AP203,"R x ",Y203,"kV x ",U203," x ",V203," Sqmm/Phase"),CONCATENATE(AP203,"R x ",0.6,"/1kV x ",U203," x ",V203," Sqmm"))</f>
        <v>1R x 0.6/1kV x 3C x 4 Sqmm</v>
      </c>
      <c r="AW203" s="353" t="str">
        <f>IF(U203="1C",CONCATENATE(AP203,"R x ",Y203,"kV x ",U203," x ",V203," Sqmm/Phase"),CONCATENATE(AP203,"R x ",0.6,"/1kV x ",U203," x ",V203,(IF(G203="MOTOR","+PE",""))," Sqmm"))</f>
        <v>1R x 0.6/1kV x 3C x 4 Sqmm</v>
      </c>
      <c r="AX203" s="249">
        <f>(IF(K203=400,(IF(U203="1C",(4*AH203*AP203),(AH203*AP203))),IF(K203=230,(AH203*AP203))))</f>
        <v>427</v>
      </c>
      <c r="AY203" s="261"/>
    </row>
    <row r="204" spans="1:51" ht="20.149999999999999" customHeight="1">
      <c r="A204" s="243">
        <f>1+A203</f>
        <v>142</v>
      </c>
      <c r="B204" s="599" t="s">
        <v>1040</v>
      </c>
      <c r="C204" s="243" t="s">
        <v>491</v>
      </c>
      <c r="D204" s="272" t="s">
        <v>521</v>
      </c>
      <c r="E204" s="314" t="s">
        <v>310</v>
      </c>
      <c r="F204" s="243" t="s">
        <v>29</v>
      </c>
      <c r="G204" s="243" t="s">
        <v>311</v>
      </c>
      <c r="H204" s="304">
        <v>22</v>
      </c>
      <c r="I204" s="243" t="s">
        <v>299</v>
      </c>
      <c r="J204" s="243" t="s">
        <v>300</v>
      </c>
      <c r="K204" s="255">
        <v>400</v>
      </c>
      <c r="L204" s="249">
        <v>0.82</v>
      </c>
      <c r="M204" s="256">
        <v>0.93299999999999994</v>
      </c>
      <c r="N204" s="248">
        <f t="shared" si="577"/>
        <v>41.506805093521933</v>
      </c>
      <c r="O204" s="248">
        <f t="shared" si="578"/>
        <v>249.0408305611316</v>
      </c>
      <c r="P204" s="249">
        <f t="shared" si="579"/>
        <v>0.2</v>
      </c>
      <c r="Q204" s="256">
        <v>50</v>
      </c>
      <c r="R204" s="256">
        <v>0</v>
      </c>
      <c r="S204" s="256">
        <f t="shared" si="580"/>
        <v>0</v>
      </c>
      <c r="T204" s="249" t="s">
        <v>131</v>
      </c>
      <c r="U204" s="256" t="s">
        <v>302</v>
      </c>
      <c r="V204" s="249">
        <v>95</v>
      </c>
      <c r="W204" s="249" t="str">
        <f t="shared" si="581"/>
        <v>3C X 95</v>
      </c>
      <c r="X204" s="249" t="str">
        <f t="shared" si="582"/>
        <v>3C X 95+PE</v>
      </c>
      <c r="Y204" s="249" t="s">
        <v>314</v>
      </c>
      <c r="Z204" s="250">
        <f>IF(T204="AIR",VLOOKUP(W204,'Catalogue Aluminium'!$B$9:$G$91,2,FALSE),IF(T204="GROUND",VLOOKUP(W204,'Catalogue Aluminium'!$B$9:$G$91,3,FALSE),IF(T204="DUCT",VLOOKUP(W204,'Catalogue Aluminium'!$B$9:$G$91,4,FALSE),IF(T204="TRENCH",VLOOKUP(W204,'Catalogue Aluminium'!$B$9:$G$91,2,FALSE)))))</f>
        <v>221</v>
      </c>
      <c r="AA204" s="251">
        <f>VLOOKUP(W204,'Catalogue Aluminium'!$B$9:$G$91,5,FALSE)</f>
        <v>0.41</v>
      </c>
      <c r="AB204" s="251">
        <f>VLOOKUP(W204,'Catalogue Aluminium'!$B$9:$G$91,6,FALSE)</f>
        <v>7.3400000000000007E-2</v>
      </c>
      <c r="AC204" s="323">
        <f>24+6</f>
        <v>30</v>
      </c>
      <c r="AD204" s="294">
        <f t="shared" si="576"/>
        <v>304</v>
      </c>
      <c r="AE204" s="294">
        <f t="shared" si="575"/>
        <v>38</v>
      </c>
      <c r="AF204" s="294">
        <v>8</v>
      </c>
      <c r="AG204" s="294">
        <f t="shared" si="584"/>
        <v>38</v>
      </c>
      <c r="AH204" s="253">
        <f t="shared" si="585"/>
        <v>418</v>
      </c>
      <c r="AI204" s="250">
        <f>IF(T204="AIR",'Catalogue Aluminium'!$K$9,IF(T204="TRENCH",'Catalogue Aluminium'!$K$12,"NA"))</f>
        <v>0.89</v>
      </c>
      <c r="AJ204" s="248">
        <f>IF(T204="Air",(IF(U204="1C",'Catalogue Aluminium'!$L$9,'Catalogue Aluminium'!$M$9)),IF(T204="DUCT",(IF($U204="1C",'Catalogue Aluminium'!$L$10,'Catalogue Aluminium'!$M$10)),IF(T204="GROUND",(IF($U204="1C",'Catalogue Aluminium'!$L$11,'Catalogue Aluminium'!$M$11)),IF(T204="TRENCH",(IF($U204="1C",'Catalogue Aluminium'!$L$12,'Catalogue Aluminium'!$M$12))))))</f>
        <v>0.66</v>
      </c>
      <c r="AK204" s="250" t="str">
        <f>IF(T204="Air",'Catalogue Aluminium'!$N$9,IF(T204="GROUND",'Catalogue Aluminium'!$N$10,IF(T204="DUCT",'Catalogue Aluminium'!$N$11,IF(T204="TRENCH",'Catalogue Aluminium'!$N$12,"NA"))))</f>
        <v>NA</v>
      </c>
      <c r="AL204" s="250" t="str">
        <f>IF(T204="Air",(IF(U204="1C",'Catalogue Aluminium'!$O$9,'Catalogue Aluminium'!$P$9)),IF(T204="DUCT",(IF($U204="1C",'Catalogue Aluminium'!$O$10,'Catalogue Aluminium'!$P$10)),IF(T204="GROUND",(IF($U204="1C",'Catalogue Aluminium'!$O$11,'Catalogue Aluminium'!$P$11)),IF(T204="TRENCH",(IF($U204="1C",'Catalogue Aluminium'!$O$12,'Catalogue Aluminium'!$P$12))))))</f>
        <v>NA</v>
      </c>
      <c r="AM204" s="250" t="str">
        <f>IF(T204="AIR","NA",IF(T204="TRENCH","NA",IF(T204="DUCT",IF(U204="1C",VLOOKUP(V204,'Catalogue Aluminium'!$Q$9:$S$28,2,FALSE),VLOOKUP(V204,'Catalogue Aluminium'!$Q$9:$S$28,3)),IF(T204="GROUND",IF(U204="1C",VLOOKUP(V204,'Catalogue Aluminium'!$Q$9:$S$28,2,FALSE),VLOOKUP(V204,'Catalogue Aluminium'!$Q$9:$S$28,3))))))</f>
        <v>NA</v>
      </c>
      <c r="AN204" s="257">
        <f t="shared" si="586"/>
        <v>0.58740000000000003</v>
      </c>
      <c r="AO204" s="256">
        <f t="shared" si="587"/>
        <v>129.81540000000001</v>
      </c>
      <c r="AP204" s="255">
        <f t="shared" si="466"/>
        <v>1</v>
      </c>
      <c r="AQ204" s="256" t="str">
        <f t="shared" si="588"/>
        <v>YES</v>
      </c>
      <c r="AR204" s="257">
        <f t="shared" si="589"/>
        <v>2.8413905602292835</v>
      </c>
      <c r="AS204" s="249" t="str">
        <f t="shared" si="590"/>
        <v>YES</v>
      </c>
      <c r="AT204" s="257">
        <f>IF(G204="MOTOR",(SQRT(3)*AH204*O204*((AA204*P204)+(AB204*SIN(ACOS(P204))))*100/(AP204*K204*1000)),"NA")</f>
        <v>6.9379971481031202</v>
      </c>
      <c r="AU204" s="249" t="str">
        <f>IF(G204="MOTOR",IF(AT204&lt;=15,"YES","NO"),"NA")</f>
        <v>YES</v>
      </c>
      <c r="AV204" s="260" t="str">
        <f>IF(U204="1C",CONCATENATE(AP204,"R x ",Y204,"kV x ",U204," x ",V204," Sqmm/Phase"),CONCATENATE(AP204,"R x ",0.6,"/1kV x ",U204," x ",V204," Sqmm"))</f>
        <v>1R x 0.6/1kV x 3C x 95 Sqmm</v>
      </c>
      <c r="AW204" s="260" t="str">
        <f>IF(U204="1C",CONCATENATE(AP204,"R x ",Y204,"kV x ",U204," x ",V204," Sqmm/Phase"),CONCATENATE(AP204,"R x ",0.6,"/1kV x ",U204," x ",V204,(IF(G204="MOTOR","+PE",""))," Sqmm"))</f>
        <v>1R x 0.6/1kV x 3C x 95+PE Sqmm</v>
      </c>
      <c r="AX204" s="249">
        <f>(IF(K204=400,(IF(U204="1C",(4*AH204*AP204),(AH204*AP204))),IF(K204=230,(AH204*AP204))))</f>
        <v>418</v>
      </c>
      <c r="AY204" s="261"/>
    </row>
    <row r="205" spans="1:51" ht="20.149999999999999" customHeight="1">
      <c r="A205" s="285">
        <f>1+A204</f>
        <v>143</v>
      </c>
      <c r="B205" s="355"/>
      <c r="C205" s="285" t="s">
        <v>491</v>
      </c>
      <c r="D205" s="244" t="s">
        <v>964</v>
      </c>
      <c r="E205" s="315" t="s">
        <v>310</v>
      </c>
      <c r="F205" s="285" t="s">
        <v>29</v>
      </c>
      <c r="G205" s="285" t="s">
        <v>298</v>
      </c>
      <c r="H205" s="291">
        <v>0.2</v>
      </c>
      <c r="I205" s="285" t="s">
        <v>299</v>
      </c>
      <c r="J205" s="285" t="s">
        <v>313</v>
      </c>
      <c r="K205" s="309">
        <v>230</v>
      </c>
      <c r="L205" s="294">
        <v>0.85</v>
      </c>
      <c r="M205" s="304">
        <v>0.95</v>
      </c>
      <c r="N205" s="287">
        <f t="shared" si="577"/>
        <v>1.0768609503297888</v>
      </c>
      <c r="O205" s="287">
        <f t="shared" si="578"/>
        <v>0</v>
      </c>
      <c r="P205" s="294" t="str">
        <f t="shared" si="579"/>
        <v>0.00</v>
      </c>
      <c r="Q205" s="304">
        <v>65</v>
      </c>
      <c r="R205" s="304">
        <v>0</v>
      </c>
      <c r="S205" s="304">
        <f t="shared" si="580"/>
        <v>0</v>
      </c>
      <c r="T205" s="294" t="s">
        <v>131</v>
      </c>
      <c r="U205" s="304" t="s">
        <v>302</v>
      </c>
      <c r="V205" s="294">
        <v>4</v>
      </c>
      <c r="W205" s="294" t="str">
        <f t="shared" si="581"/>
        <v>3C X 4</v>
      </c>
      <c r="X205" s="294" t="str">
        <f t="shared" ref="X205" si="600">(IF(J205="1Ph",W205,IF(J205="3Ph",(IF(G205="MOTOR",(CONCATENATE(W205,"+PE")),W205)))))</f>
        <v>3C X 4</v>
      </c>
      <c r="Y205" s="294" t="s">
        <v>314</v>
      </c>
      <c r="Z205" s="288">
        <f>IF(T205="AIR",VLOOKUP(W205,'Catalogue Aluminium'!$B$9:$G$91,2,FALSE),IF(T205="GROUND",VLOOKUP(W205,'Catalogue Aluminium'!$B$9:$G$91,3,FALSE),IF(T205="DUCT",VLOOKUP(W205,'Catalogue Aluminium'!$B$9:$G$91,4,FALSE),IF(T205="TRENCH",VLOOKUP(W205,'Catalogue Aluminium'!$B$9:$G$91,2,FALSE)))))</f>
        <v>38</v>
      </c>
      <c r="AA205" s="295">
        <f>VLOOKUP(W205,'Catalogue Aluminium'!$B$9:$G$91,5,FALSE)</f>
        <v>5.9</v>
      </c>
      <c r="AB205" s="295">
        <f>VLOOKUP(W205,'Catalogue Aluminium'!$B$9:$G$91,6,FALSE)</f>
        <v>9.4700000000000006E-2</v>
      </c>
      <c r="AC205" s="323">
        <f>24+6</f>
        <v>30</v>
      </c>
      <c r="AD205" s="294">
        <f t="shared" si="576"/>
        <v>304</v>
      </c>
      <c r="AE205" s="294">
        <f t="shared" si="575"/>
        <v>38</v>
      </c>
      <c r="AF205" s="294">
        <v>8</v>
      </c>
      <c r="AG205" s="294">
        <f t="shared" ref="AG205" si="601">ROUNDUP((SUM(AC205:AF205)*0.1),0)</f>
        <v>38</v>
      </c>
      <c r="AH205" s="311">
        <f t="shared" ref="AH205" si="602">SUM(AC205:AG205)</f>
        <v>418</v>
      </c>
      <c r="AI205" s="288">
        <f>IF(T205="AIR",'Catalogue Aluminium'!$K$9,IF(T205="TRENCH",'Catalogue Aluminium'!$K$12,"NA"))</f>
        <v>0.89</v>
      </c>
      <c r="AJ205" s="287">
        <f>IF(T205="Air",(IF(U205="1C",'Catalogue Aluminium'!$L$9,'Catalogue Aluminium'!$M$9)),IF(T205="DUCT",(IF($U205="1C",'Catalogue Aluminium'!$L$10,'Catalogue Aluminium'!$M$10)),IF(T205="GROUND",(IF($U205="1C",'Catalogue Aluminium'!$L$11,'Catalogue Aluminium'!$M$11)),IF(T205="TRENCH",(IF($U205="1C",'Catalogue Aluminium'!$L$12,'Catalogue Aluminium'!$M$12))))))</f>
        <v>0.66</v>
      </c>
      <c r="AK205" s="288" t="str">
        <f>IF(T205="Air",'Catalogue Aluminium'!$N$9,IF(T205="GROUND",'Catalogue Aluminium'!$N$10,IF(T205="DUCT",'Catalogue Aluminium'!$N$11,IF(T205="TRENCH",'Catalogue Aluminium'!$N$12,"NA"))))</f>
        <v>NA</v>
      </c>
      <c r="AL205" s="288" t="str">
        <f>IF(T205="Air",(IF(U205="1C",'Catalogue Aluminium'!$O$9,'Catalogue Aluminium'!$P$9)),IF(T205="DUCT",(IF($U205="1C",'Catalogue Aluminium'!$O$10,'Catalogue Aluminium'!$P$10)),IF(T205="GROUND",(IF($U205="1C",'Catalogue Aluminium'!$O$11,'Catalogue Aluminium'!$P$11)),IF(T205="TRENCH",(IF($U205="1C",'Catalogue Aluminium'!$O$12,'Catalogue Aluminium'!$P$12))))))</f>
        <v>NA</v>
      </c>
      <c r="AM205" s="288" t="str">
        <f>IF(T205="AIR","NA",IF(T205="TRENCH","NA",IF(T205="DUCT",IF(U205="1C",VLOOKUP(V205,'Catalogue Aluminium'!$Q$9:$S$28,2,FALSE),VLOOKUP(V205,'Catalogue Aluminium'!$Q$9:$S$28,3)),IF(T205="GROUND",IF(U205="1C",VLOOKUP(V205,'Catalogue Aluminium'!$Q$9:$S$28,2,FALSE),VLOOKUP(V205,'Catalogue Aluminium'!$Q$9:$S$28,3))))))</f>
        <v>NA</v>
      </c>
      <c r="AN205" s="312">
        <f t="shared" ref="AN205" si="603">IF(T205="AIR",AI205*AJ205,IF(T205="TRENCH",AI205*AJ205,IF(T205="DUCT",AJ205*AK205*AL205*AM205,IF(T205="GROUND",AJ205*AK205*AL205*AM205))))</f>
        <v>0.58740000000000003</v>
      </c>
      <c r="AO205" s="304">
        <f t="shared" ref="AO205" si="604">Z205*AN205</f>
        <v>22.321200000000001</v>
      </c>
      <c r="AP205" s="309">
        <f t="shared" ref="AP205" si="605">CEILING(((N205)/AO205),1)</f>
        <v>1</v>
      </c>
      <c r="AQ205" s="304" t="str">
        <f t="shared" ref="AQ205" si="606">IF(AO205*AP205&gt;=N205,"YES","NO")</f>
        <v>YES</v>
      </c>
      <c r="AR205" s="312">
        <f t="shared" ref="AR205" si="607">SQRT(3)*AH205*N205*((AA205*L205)+(AB205*SIN(ACOS(L205))))*100/(AP205*K205*1000)</f>
        <v>1.7168739216494406</v>
      </c>
      <c r="AS205" s="294" t="str">
        <f t="shared" ref="AS205" si="608">IF(G205="INCOMER",(IF(AR205&lt;=2,"YES","NO")),IF(G205="POWER",(IF(AR205&lt;=2.5,"YES","NO")),IF(G205="MOTOR",(IF(AR205&lt;=3,"YES","NO")))))</f>
        <v>YES</v>
      </c>
      <c r="AT205" s="312" t="str">
        <f>IF(G205="MOTOR",(SQRT(3)*AH205*O205*((AA205*P205)+(AB205*SIN(ACOS(P205))))*100/(AP205*K205*1000)),"NA")</f>
        <v>NA</v>
      </c>
      <c r="AU205" s="294" t="str">
        <f>IF(G205="MOTOR",IF(AT205&lt;=15,"YES","NO"),"NA")</f>
        <v>NA</v>
      </c>
      <c r="AV205" s="353" t="str">
        <f>IF(U205="1C",CONCATENATE(AP205,"R x ",Y205,"kV x ",U205," x ",V205," Sqmm/Phase"),CONCATENATE(AP205,"R x ",0.6,"/1kV x ",U205," x ",V205," Sqmm"))</f>
        <v>1R x 0.6/1kV x 3C x 4 Sqmm</v>
      </c>
      <c r="AW205" s="353" t="str">
        <f>IF(U205="1C",CONCATENATE(AP205,"R x ",Y205,"kV x ",U205," x ",V205," Sqmm/Phase"),CONCATENATE(AP205,"R x ",0.6,"/1kV x ",U205," x ",V205,(IF(G205="MOTOR","+PE",""))," Sqmm"))</f>
        <v>1R x 0.6/1kV x 3C x 4 Sqmm</v>
      </c>
      <c r="AX205" s="249">
        <f>(IF(K205=400,(IF(U205="1C",(4*AH205*AP205),(AH205*AP205))),IF(K205=230,(AH205*AP205))))</f>
        <v>418</v>
      </c>
      <c r="AY205" s="261"/>
    </row>
    <row r="206" spans="1:51" ht="20.149999999999999" customHeight="1">
      <c r="A206" s="243">
        <f>1+A205</f>
        <v>144</v>
      </c>
      <c r="B206" s="599" t="s">
        <v>1041</v>
      </c>
      <c r="C206" s="243" t="s">
        <v>491</v>
      </c>
      <c r="D206" s="272" t="s">
        <v>522</v>
      </c>
      <c r="E206" s="314" t="s">
        <v>310</v>
      </c>
      <c r="F206" s="243" t="s">
        <v>28</v>
      </c>
      <c r="G206" s="243" t="s">
        <v>311</v>
      </c>
      <c r="H206" s="304">
        <v>2.2000000000000002</v>
      </c>
      <c r="I206" s="243" t="s">
        <v>299</v>
      </c>
      <c r="J206" s="243" t="s">
        <v>300</v>
      </c>
      <c r="K206" s="255">
        <v>400</v>
      </c>
      <c r="L206" s="249">
        <v>0.8</v>
      </c>
      <c r="M206" s="256">
        <v>0.86699999999999999</v>
      </c>
      <c r="N206" s="248">
        <f t="shared" si="577"/>
        <v>4.5783154995458304</v>
      </c>
      <c r="O206" s="248">
        <f t="shared" si="578"/>
        <v>27.469892997274982</v>
      </c>
      <c r="P206" s="249">
        <f t="shared" si="579"/>
        <v>0.2</v>
      </c>
      <c r="Q206" s="256">
        <v>50</v>
      </c>
      <c r="R206" s="256">
        <v>0</v>
      </c>
      <c r="S206" s="256">
        <f t="shared" si="580"/>
        <v>0</v>
      </c>
      <c r="T206" s="249" t="s">
        <v>131</v>
      </c>
      <c r="U206" s="256" t="s">
        <v>302</v>
      </c>
      <c r="V206" s="249">
        <v>6</v>
      </c>
      <c r="W206" s="249" t="str">
        <f t="shared" si="581"/>
        <v>3C X 6</v>
      </c>
      <c r="X206" s="249" t="str">
        <f t="shared" si="582"/>
        <v>3C X 6+PE</v>
      </c>
      <c r="Y206" s="249" t="s">
        <v>314</v>
      </c>
      <c r="Z206" s="250">
        <f>IF(T206="AIR",VLOOKUP(W206,'Catalogue Aluminium'!$B$9:$G$91,2,FALSE),IF(T206="GROUND",VLOOKUP(W206,'Catalogue Aluminium'!$B$9:$G$91,3,FALSE),IF(T206="DUCT",VLOOKUP(W206,'Catalogue Aluminium'!$B$9:$G$91,4,FALSE),IF(T206="TRENCH",VLOOKUP(W206,'Catalogue Aluminium'!$B$9:$G$91,2,FALSE)))))</f>
        <v>51</v>
      </c>
      <c r="AA206" s="251">
        <f>VLOOKUP(W206,'Catalogue Aluminium'!$B$9:$G$91,5,FALSE)</f>
        <v>3.94</v>
      </c>
      <c r="AB206" s="251">
        <f>VLOOKUP(W206,'Catalogue Aluminium'!$B$9:$G$91,6,FALSE)</f>
        <v>9.0200000000000002E-2</v>
      </c>
      <c r="AC206" s="323">
        <f t="shared" ref="AC206" si="609">32+6</f>
        <v>38</v>
      </c>
      <c r="AD206" s="294">
        <f t="shared" si="576"/>
        <v>304</v>
      </c>
      <c r="AE206" s="294">
        <f t="shared" si="575"/>
        <v>38</v>
      </c>
      <c r="AF206" s="294">
        <v>8</v>
      </c>
      <c r="AG206" s="294">
        <f t="shared" si="584"/>
        <v>39</v>
      </c>
      <c r="AH206" s="253">
        <f t="shared" si="585"/>
        <v>427</v>
      </c>
      <c r="AI206" s="250">
        <f>IF(T206="AIR",'Catalogue Aluminium'!$K$9,IF(T206="TRENCH",'Catalogue Aluminium'!$K$12,"NA"))</f>
        <v>0.89</v>
      </c>
      <c r="AJ206" s="248">
        <f>IF(T206="Air",(IF(U206="1C",'Catalogue Aluminium'!$L$9,'Catalogue Aluminium'!$M$9)),IF(T206="DUCT",(IF($U206="1C",'Catalogue Aluminium'!$L$10,'Catalogue Aluminium'!$M$10)),IF(T206="GROUND",(IF($U206="1C",'Catalogue Aluminium'!$L$11,'Catalogue Aluminium'!$M$11)),IF(T206="TRENCH",(IF($U206="1C",'Catalogue Aluminium'!$L$12,'Catalogue Aluminium'!$M$12))))))</f>
        <v>0.66</v>
      </c>
      <c r="AK206" s="250" t="str">
        <f>IF(T206="Air",'Catalogue Aluminium'!$N$9,IF(T206="GROUND",'Catalogue Aluminium'!$N$10,IF(T206="DUCT",'Catalogue Aluminium'!$N$11,IF(T206="TRENCH",'Catalogue Aluminium'!$N$12,"NA"))))</f>
        <v>NA</v>
      </c>
      <c r="AL206" s="250" t="str">
        <f>IF(T206="Air",(IF(U206="1C",'Catalogue Aluminium'!$O$9,'Catalogue Aluminium'!$P$9)),IF(T206="DUCT",(IF($U206="1C",'Catalogue Aluminium'!$O$10,'Catalogue Aluminium'!$P$10)),IF(T206="GROUND",(IF($U206="1C",'Catalogue Aluminium'!$O$11,'Catalogue Aluminium'!$P$11)),IF(T206="TRENCH",(IF($U206="1C",'Catalogue Aluminium'!$O$12,'Catalogue Aluminium'!$P$12))))))</f>
        <v>NA</v>
      </c>
      <c r="AM206" s="250" t="str">
        <f>IF(T206="AIR","NA",IF(T206="TRENCH","NA",IF(T206="DUCT",IF(U206="1C",VLOOKUP(V206,'Catalogue Aluminium'!$Q$9:$S$28,2,FALSE),VLOOKUP(V206,'Catalogue Aluminium'!$Q$9:$S$28,3)),IF(T206="GROUND",IF(U206="1C",VLOOKUP(V206,'Catalogue Aluminium'!$Q$9:$S$28,2,FALSE),VLOOKUP(V206,'Catalogue Aluminium'!$Q$9:$S$28,3))))))</f>
        <v>NA</v>
      </c>
      <c r="AN206" s="257">
        <f t="shared" si="586"/>
        <v>0.58740000000000003</v>
      </c>
      <c r="AO206" s="256">
        <f t="shared" si="587"/>
        <v>29.957400000000003</v>
      </c>
      <c r="AP206" s="255">
        <f t="shared" si="466"/>
        <v>1</v>
      </c>
      <c r="AQ206" s="256" t="str">
        <f t="shared" si="588"/>
        <v>YES</v>
      </c>
      <c r="AR206" s="257">
        <f t="shared" si="589"/>
        <v>2.7140259865873815</v>
      </c>
      <c r="AS206" s="249" t="str">
        <f t="shared" si="590"/>
        <v>YES</v>
      </c>
      <c r="AT206" s="257">
        <f>IF(G206="MOTOR",(SQRT(3)*AH206*O206*((AA206*P206)+(AB206*SIN(ACOS(P206))))*100/(AP206*K206*1000)),"NA")</f>
        <v>4.4511962492445569</v>
      </c>
      <c r="AU206" s="249" t="str">
        <f>IF(G206="MOTOR",IF(AT206&lt;=15,"YES","NO"),"NA")</f>
        <v>YES</v>
      </c>
      <c r="AV206" s="260" t="str">
        <f>IF(U206="1C",CONCATENATE(AP206,"R x ",Y206,"kV x ",U206," x ",V206," Sqmm/Phase"),CONCATENATE(AP206,"R x ",0.6,"/1kV x ",U206," x ",V206," Sqmm"))</f>
        <v>1R x 0.6/1kV x 3C x 6 Sqmm</v>
      </c>
      <c r="AW206" s="260" t="str">
        <f>IF(U206="1C",CONCATENATE(AP206,"R x ",Y206,"kV x ",U206," x ",V206," Sqmm/Phase"),CONCATENATE(AP206,"R x ",0.6,"/1kV x ",U206," x ",V206,(IF(G206="MOTOR","+PE",""))," Sqmm"))</f>
        <v>1R x 0.6/1kV x 3C x 6+PE Sqmm</v>
      </c>
      <c r="AX206" s="249">
        <f>(IF(K206=400,(IF(U206="1C",(4*AH206*AP206),(AH206*AP206))),IF(K206=230,(AH206*AP206))))</f>
        <v>427</v>
      </c>
      <c r="AY206" s="261"/>
    </row>
    <row r="207" spans="1:51" s="70" customFormat="1" ht="20.149999999999999" customHeight="1">
      <c r="A207" s="273"/>
      <c r="B207" s="273"/>
      <c r="C207" s="273"/>
      <c r="D207" s="357" t="s">
        <v>426</v>
      </c>
      <c r="E207" s="358"/>
      <c r="F207" s="359"/>
      <c r="G207" s="273"/>
      <c r="H207" s="281"/>
      <c r="I207" s="273"/>
      <c r="J207" s="273"/>
      <c r="K207" s="280"/>
      <c r="L207" s="275"/>
      <c r="M207" s="281"/>
      <c r="N207" s="274"/>
      <c r="O207" s="274"/>
      <c r="P207" s="275"/>
      <c r="Q207" s="281"/>
      <c r="R207" s="281"/>
      <c r="S207" s="281"/>
      <c r="T207" s="275"/>
      <c r="U207" s="281"/>
      <c r="V207" s="275"/>
      <c r="W207" s="275"/>
      <c r="X207" s="275"/>
      <c r="Y207" s="275"/>
      <c r="Z207" s="276"/>
      <c r="AA207" s="277"/>
      <c r="AB207" s="277"/>
      <c r="AC207" s="277"/>
      <c r="AD207" s="277"/>
      <c r="AE207" s="277"/>
      <c r="AF207" s="277"/>
      <c r="AG207" s="277"/>
      <c r="AH207" s="277"/>
      <c r="AI207" s="276"/>
      <c r="AJ207" s="274"/>
      <c r="AK207" s="276"/>
      <c r="AL207" s="276"/>
      <c r="AM207" s="276"/>
      <c r="AN207" s="282"/>
      <c r="AO207" s="281"/>
      <c r="AP207" s="280"/>
      <c r="AQ207" s="281"/>
      <c r="AR207" s="282"/>
      <c r="AS207" s="275"/>
      <c r="AT207" s="282"/>
      <c r="AU207" s="282"/>
      <c r="AV207" s="283"/>
      <c r="AW207" s="283"/>
      <c r="AX207" s="275"/>
      <c r="AY207" s="284"/>
    </row>
    <row r="208" spans="1:51" ht="20.149999999999999" customHeight="1">
      <c r="A208" s="243">
        <f>1+A206</f>
        <v>145</v>
      </c>
      <c r="B208" s="373" t="s">
        <v>382</v>
      </c>
      <c r="C208" s="243" t="str">
        <f t="shared" ref="C208:C214" si="610">$D$164</f>
        <v>EPMCC-1</v>
      </c>
      <c r="D208" s="272" t="s">
        <v>524</v>
      </c>
      <c r="E208" s="320" t="s">
        <v>310</v>
      </c>
      <c r="F208" s="243" t="s">
        <v>28</v>
      </c>
      <c r="G208" s="243" t="s">
        <v>311</v>
      </c>
      <c r="H208" s="304">
        <v>3.7</v>
      </c>
      <c r="I208" s="243" t="s">
        <v>299</v>
      </c>
      <c r="J208" s="243" t="s">
        <v>300</v>
      </c>
      <c r="K208" s="255">
        <v>400</v>
      </c>
      <c r="L208" s="249">
        <v>0.82</v>
      </c>
      <c r="M208" s="256">
        <v>0.89599999999999991</v>
      </c>
      <c r="N208" s="248">
        <f t="shared" ref="N208:N214" si="611">IF(I208="kVA",IF(J208="3Ph",(H208*1000/(1.732*M208*K208)),(H208*1000/(M208*K208))),IF(I208="kW",IF(J208="3Ph",(H208*1000/(1.732*M208*K208*L208)),(H208*1000/(M208*K208*L208)))))</f>
        <v>7.2689550458272656</v>
      </c>
      <c r="O208" s="248">
        <f t="shared" si="456"/>
        <v>43.613730274963594</v>
      </c>
      <c r="P208" s="249">
        <f t="shared" ref="P208:P214" si="612">IF(G208="MOTOR",0.2,"0.00")</f>
        <v>0.2</v>
      </c>
      <c r="Q208" s="256">
        <v>50</v>
      </c>
      <c r="R208" s="256">
        <v>0</v>
      </c>
      <c r="S208" s="256">
        <f t="shared" ref="S208:S214" si="613">(Q208*1000*SQRT(R208)/143)</f>
        <v>0</v>
      </c>
      <c r="T208" s="249" t="s">
        <v>131</v>
      </c>
      <c r="U208" s="256" t="s">
        <v>302</v>
      </c>
      <c r="V208" s="249">
        <v>16</v>
      </c>
      <c r="W208" s="249" t="str">
        <f t="shared" ref="W208:W214" si="614">CONCATENATE(U208," X ",V208)</f>
        <v>3C X 16</v>
      </c>
      <c r="X208" s="249" t="str">
        <f t="shared" ref="X208:X214" si="615">(IF(J208="1Ph",W208,IF(J208="3Ph",(IF(G208="MOTOR",(CONCATENATE(W208,"+PE")),W208)))))</f>
        <v>3C X 16+PE</v>
      </c>
      <c r="Y208" s="249" t="s">
        <v>314</v>
      </c>
      <c r="Z208" s="250">
        <f>IF(T208="AIR",VLOOKUP(W208,'Catalogue Aluminium'!$B$9:$G$91,2,FALSE),IF(T208="GROUND",VLOOKUP(W208,'Catalogue Aluminium'!$B$9:$G$91,3,FALSE),IF(T208="DUCT",VLOOKUP(W208,'Catalogue Aluminium'!$B$9:$G$91,4,FALSE),IF(T208="TRENCH",VLOOKUP(W208,'Catalogue Aluminium'!$B$9:$G$91,2,FALSE)))))</f>
        <v>70</v>
      </c>
      <c r="AA208" s="251">
        <f>VLOOKUP(W208,'Catalogue Aluminium'!$B$9:$G$91,5,FALSE)</f>
        <v>2.44</v>
      </c>
      <c r="AB208" s="251">
        <f>VLOOKUP(W208,'Catalogue Aluminium'!$B$9:$G$91,6,FALSE)</f>
        <v>8.1500000000000003E-2</v>
      </c>
      <c r="AC208" s="323">
        <f t="shared" ref="AC208" si="616">32+6</f>
        <v>38</v>
      </c>
      <c r="AD208" s="294">
        <f>40+50+38+50+17+(27+42+25)</f>
        <v>289</v>
      </c>
      <c r="AE208" s="294">
        <f t="shared" ref="AE208" si="617">11+8+8+11</f>
        <v>38</v>
      </c>
      <c r="AF208" s="294">
        <v>8</v>
      </c>
      <c r="AG208" s="294">
        <f t="shared" ref="AG208:AG214" si="618">ROUNDUP((SUM(AC208:AF208)*0.1),0)</f>
        <v>38</v>
      </c>
      <c r="AH208" s="253">
        <f t="shared" ref="AH208" si="619">SUM(AC208:AG208)</f>
        <v>411</v>
      </c>
      <c r="AI208" s="250">
        <f>IF(T208="AIR",'Catalogue Aluminium'!$K$9,IF(T208="TRENCH",'Catalogue Aluminium'!$K$12,"NA"))</f>
        <v>0.89</v>
      </c>
      <c r="AJ208" s="248">
        <f>IF(T208="Air",(IF(U208="1C",'Catalogue Aluminium'!$L$9,'Catalogue Aluminium'!$M$9)),IF(T208="DUCT",(IF($U208="1C",'Catalogue Aluminium'!$L$10,'Catalogue Aluminium'!$M$10)),IF(T208="GROUND",(IF($U208="1C",'Catalogue Aluminium'!$L$11,'Catalogue Aluminium'!$M$11)),IF(T208="TRENCH",(IF($U208="1C",'Catalogue Aluminium'!$L$12,'Catalogue Aluminium'!$M$12))))))</f>
        <v>0.66</v>
      </c>
      <c r="AK208" s="250" t="str">
        <f>IF(T208="Air",'Catalogue Aluminium'!$N$9,IF(T208="GROUND",'Catalogue Aluminium'!$N$10,IF(T208="DUCT",'Catalogue Aluminium'!$N$11,IF(T208="TRENCH",'Catalogue Aluminium'!$N$12,"NA"))))</f>
        <v>NA</v>
      </c>
      <c r="AL208" s="250" t="str">
        <f>IF(T208="Air",(IF(U208="1C",'Catalogue Aluminium'!$O$9,'Catalogue Aluminium'!$P$9)),IF(T208="DUCT",(IF($U208="1C",'Catalogue Aluminium'!$O$10,'Catalogue Aluminium'!$P$10)),IF(T208="GROUND",(IF($U208="1C",'Catalogue Aluminium'!$O$11,'Catalogue Aluminium'!$P$11)),IF(T208="TRENCH",(IF($U208="1C",'Catalogue Aluminium'!$O$12,'Catalogue Aluminium'!$P$12))))))</f>
        <v>NA</v>
      </c>
      <c r="AM208" s="250" t="str">
        <f>IF(T208="AIR","NA",IF(T208="TRENCH","NA",IF(T208="DUCT",IF(U208="1C",VLOOKUP(V208,'Catalogue Aluminium'!$Q$9:$S$28,2,FALSE),VLOOKUP(V208,'Catalogue Aluminium'!$Q$9:$S$28,3)),IF(T208="GROUND",IF(U208="1C",VLOOKUP(V208,'Catalogue Aluminium'!$Q$9:$S$28,2,FALSE),VLOOKUP(V208,'Catalogue Aluminium'!$Q$9:$S$28,3))))))</f>
        <v>NA</v>
      </c>
      <c r="AN208" s="257">
        <f t="shared" ref="AN208:AN214" si="620">IF(T208="AIR",AI208*AJ208,IF(T208="TRENCH",AI208*AJ208,IF(T208="DUCT",AJ208*AK208*AL208*AM208,IF(T208="GROUND",AJ208*AK208*AL208*AM208))))</f>
        <v>0.58740000000000003</v>
      </c>
      <c r="AO208" s="256">
        <f t="shared" ref="AO208:AO214" si="621">Z208*AN208</f>
        <v>41.118000000000002</v>
      </c>
      <c r="AP208" s="255">
        <f t="shared" si="466"/>
        <v>1</v>
      </c>
      <c r="AQ208" s="256" t="str">
        <f t="shared" ref="AQ208:AQ214" si="622">IF(AO208*AP208&gt;=N208,"YES","NO")</f>
        <v>YES</v>
      </c>
      <c r="AR208" s="257">
        <f t="shared" ref="AR208:AR214" si="623">SQRT(3)*AH208*N208*((AA208*L208)+(AB208*SIN(ACOS(L208))))*100/(AP208*K208*1000)</f>
        <v>2.6486662786727631</v>
      </c>
      <c r="AS208" s="249" t="str">
        <f t="shared" ref="AS208:AS214" si="624">IF(G208="INCOMER",(IF(AR208&lt;=2,"YES","NO")),IF(G208="POWER",(IF(AR208&lt;=2.5,"YES","NO")),IF(G208="MOTOR",(IF(AR208&lt;=3,"YES","NO")))))</f>
        <v>YES</v>
      </c>
      <c r="AT208" s="257">
        <f t="shared" ref="AT208:AT214" si="625">IF(G208="MOTOR",(SQRT(3)*AH208*O208*((AA208*P208)+(AB208*SIN(ACOS(P208))))*100/(AP208*K208*1000)),"NA")</f>
        <v>4.4075971690927984</v>
      </c>
      <c r="AU208" s="249" t="str">
        <f t="shared" ref="AU208:AU214" si="626">IF(G208="MOTOR",IF(AT208&lt;=15,"YES","NO"),"NA")</f>
        <v>YES</v>
      </c>
      <c r="AV208" s="260" t="str">
        <f t="shared" ref="AV208:AV214" si="627">IF(U208="1C",CONCATENATE(AP208,"R x ",Y208,"kV x ",U208," x ",V208," Sqmm/Phase"),CONCATENATE(AP208,"R x ",0.6,"/1kV x ",U208," x ",V208," Sqmm"))</f>
        <v>1R x 0.6/1kV x 3C x 16 Sqmm</v>
      </c>
      <c r="AW208" s="260" t="str">
        <f t="shared" ref="AW208:AW214" si="628">IF(U208="1C",CONCATENATE(AP208,"R x ",Y208,"kV x ",U208," x ",V208," Sqmm/Phase"),CONCATENATE(AP208,"R x ",0.6,"/1kV x ",U208," x ",V208,(IF(G208="MOTOR","+PE",""))," Sqmm"))</f>
        <v>1R x 0.6/1kV x 3C x 16+PE Sqmm</v>
      </c>
      <c r="AX208" s="249">
        <f>(IF(K208=400,(IF(U208="1C",(4*AH208*AP208),(AH208*AP208))),IF(K208=230,(AH208*AP208))))</f>
        <v>411</v>
      </c>
      <c r="AY208" s="261"/>
    </row>
    <row r="209" spans="1:51" s="75" customFormat="1" ht="20.149999999999999" hidden="1" customHeight="1">
      <c r="A209" s="262" t="s">
        <v>303</v>
      </c>
      <c r="B209" s="404" t="s">
        <v>382</v>
      </c>
      <c r="C209" s="262" t="str">
        <f t="shared" si="610"/>
        <v>EPMCC-1</v>
      </c>
      <c r="D209" s="290" t="s">
        <v>525</v>
      </c>
      <c r="E209" s="305" t="s">
        <v>310</v>
      </c>
      <c r="F209" s="262" t="s">
        <v>29</v>
      </c>
      <c r="G209" s="262" t="s">
        <v>311</v>
      </c>
      <c r="H209" s="258">
        <v>1.5</v>
      </c>
      <c r="I209" s="262" t="s">
        <v>299</v>
      </c>
      <c r="J209" s="262" t="s">
        <v>300</v>
      </c>
      <c r="K209" s="259">
        <v>400</v>
      </c>
      <c r="L209" s="264">
        <v>0.75</v>
      </c>
      <c r="M209" s="258">
        <v>0.85299999999999998</v>
      </c>
      <c r="N209" s="263">
        <f t="shared" si="611"/>
        <v>3.3843329750452824</v>
      </c>
      <c r="O209" s="263">
        <f t="shared" ref="O209:O240" si="629">IF(G209="MOTOR",(6*N209),IF(G209="VFD",(1*N209),0))</f>
        <v>20.305997850271694</v>
      </c>
      <c r="P209" s="264">
        <f t="shared" si="612"/>
        <v>0.2</v>
      </c>
      <c r="Q209" s="258">
        <v>50</v>
      </c>
      <c r="R209" s="258">
        <v>0</v>
      </c>
      <c r="S209" s="258">
        <f t="shared" si="613"/>
        <v>0</v>
      </c>
      <c r="T209" s="264" t="s">
        <v>131</v>
      </c>
      <c r="U209" s="258" t="s">
        <v>302</v>
      </c>
      <c r="V209" s="264">
        <v>4</v>
      </c>
      <c r="W209" s="264" t="str">
        <f t="shared" si="614"/>
        <v>3C X 4</v>
      </c>
      <c r="X209" s="264" t="str">
        <f t="shared" si="615"/>
        <v>3C X 4+PE</v>
      </c>
      <c r="Y209" s="264" t="s">
        <v>314</v>
      </c>
      <c r="Z209" s="265">
        <f>IF(T209="AIR",VLOOKUP(W209,'Catalogue Aluminium'!$B$9:$G$91,2,FALSE),IF(T209="GROUND",VLOOKUP(W209,'Catalogue Aluminium'!$B$9:$G$91,3,FALSE),IF(T209="DUCT",VLOOKUP(W209,'Catalogue Aluminium'!$B$9:$G$91,4,FALSE),IF(T209="TRENCH",VLOOKUP(W209,'Catalogue Aluminium'!$B$9:$G$91,2,FALSE)))))</f>
        <v>38</v>
      </c>
      <c r="AA209" s="266">
        <f>VLOOKUP(W209,'Catalogue Aluminium'!$B$9:$G$91,5,FALSE)</f>
        <v>5.9</v>
      </c>
      <c r="AB209" s="266">
        <f>VLOOKUP(W209,'Catalogue Aluminium'!$B$9:$G$91,6,FALSE)</f>
        <v>9.4700000000000006E-2</v>
      </c>
      <c r="AC209" s="406">
        <f>22+7</f>
        <v>29</v>
      </c>
      <c r="AD209" s="264">
        <f t="shared" ref="AD209:AD214" si="630">11+34+48+35+30+11+24+(15+18+26+3+15)</f>
        <v>270</v>
      </c>
      <c r="AE209" s="322">
        <f t="shared" ref="AE209:AE214" si="631">11+8+8+11</f>
        <v>38</v>
      </c>
      <c r="AF209" s="264">
        <v>8</v>
      </c>
      <c r="AG209" s="264">
        <f t="shared" si="618"/>
        <v>35</v>
      </c>
      <c r="AH209" s="267"/>
      <c r="AI209" s="265">
        <f>IF(T209="AIR",'Catalogue Aluminium'!$K$9,IF(T209="TRENCH",'Catalogue Aluminium'!$K$12,"NA"))</f>
        <v>0.89</v>
      </c>
      <c r="AJ209" s="263">
        <f>IF(T209="Air",(IF(U209="1C",'Catalogue Aluminium'!$L$9,'Catalogue Aluminium'!$M$9)),IF(T209="DUCT",(IF($U209="1C",'Catalogue Aluminium'!$L$10,'Catalogue Aluminium'!$M$10)),IF(T209="GROUND",(IF($U209="1C",'Catalogue Aluminium'!$L$11,'Catalogue Aluminium'!$M$11)),IF(T209="TRENCH",(IF($U209="1C",'Catalogue Aluminium'!$L$12,'Catalogue Aluminium'!$M$12))))))</f>
        <v>0.66</v>
      </c>
      <c r="AK209" s="265" t="str">
        <f>IF(T209="Air",'Catalogue Aluminium'!$N$9,IF(T209="GROUND",'Catalogue Aluminium'!$N$10,IF(T209="DUCT",'Catalogue Aluminium'!$N$11,IF(T209="TRENCH",'Catalogue Aluminium'!$N$12,"NA"))))</f>
        <v>NA</v>
      </c>
      <c r="AL209" s="265" t="str">
        <f>IF(T209="Air",(IF(U209="1C",'Catalogue Aluminium'!$O$9,'Catalogue Aluminium'!$P$9)),IF(T209="DUCT",(IF($U209="1C",'Catalogue Aluminium'!$O$10,'Catalogue Aluminium'!$P$10)),IF(T209="GROUND",(IF($U209="1C",'Catalogue Aluminium'!$O$11,'Catalogue Aluminium'!$P$11)),IF(T209="TRENCH",(IF($U209="1C",'Catalogue Aluminium'!$O$12,'Catalogue Aluminium'!$P$12))))))</f>
        <v>NA</v>
      </c>
      <c r="AM209" s="265" t="str">
        <f>IF(T209="AIR","NA",IF(T209="TRENCH","NA",IF(T209="DUCT",IF(U209="1C",VLOOKUP(V209,'Catalogue Aluminium'!$Q$9:$S$28,2,FALSE),VLOOKUP(V209,'Catalogue Aluminium'!$Q$9:$S$28,3)),IF(T209="GROUND",IF(U209="1C",VLOOKUP(V209,'Catalogue Aluminium'!$Q$9:$S$28,2,FALSE),VLOOKUP(V209,'Catalogue Aluminium'!$Q$9:$S$28,3))))))</f>
        <v>NA</v>
      </c>
      <c r="AN209" s="268">
        <f t="shared" si="620"/>
        <v>0.58740000000000003</v>
      </c>
      <c r="AO209" s="258">
        <f t="shared" si="621"/>
        <v>22.321200000000001</v>
      </c>
      <c r="AP209" s="259">
        <f t="shared" si="466"/>
        <v>1</v>
      </c>
      <c r="AQ209" s="258" t="str">
        <f t="shared" si="622"/>
        <v>YES</v>
      </c>
      <c r="AR209" s="268">
        <f t="shared" si="623"/>
        <v>0</v>
      </c>
      <c r="AS209" s="349" t="str">
        <f t="shared" si="624"/>
        <v>YES</v>
      </c>
      <c r="AT209" s="350">
        <f t="shared" si="625"/>
        <v>0</v>
      </c>
      <c r="AU209" s="264" t="str">
        <f t="shared" si="626"/>
        <v>YES</v>
      </c>
      <c r="AV209" s="269" t="str">
        <f t="shared" si="627"/>
        <v>1R x 0.6/1kV x 3C x 4 Sqmm</v>
      </c>
      <c r="AW209" s="269" t="str">
        <f t="shared" si="628"/>
        <v>1R x 0.6/1kV x 3C x 4+PE Sqmm</v>
      </c>
      <c r="AX209" s="264"/>
      <c r="AY209" s="270"/>
    </row>
    <row r="210" spans="1:51" s="75" customFormat="1" ht="20.149999999999999" hidden="1" customHeight="1">
      <c r="A210" s="262" t="s">
        <v>303</v>
      </c>
      <c r="B210" s="404" t="s">
        <v>382</v>
      </c>
      <c r="C210" s="262" t="str">
        <f t="shared" si="610"/>
        <v>EPMCC-1</v>
      </c>
      <c r="D210" s="290" t="s">
        <v>430</v>
      </c>
      <c r="E210" s="305" t="s">
        <v>310</v>
      </c>
      <c r="F210" s="262" t="s">
        <v>28</v>
      </c>
      <c r="G210" s="262" t="s">
        <v>311</v>
      </c>
      <c r="H210" s="258">
        <v>1.1000000000000001</v>
      </c>
      <c r="I210" s="262" t="s">
        <v>299</v>
      </c>
      <c r="J210" s="262" t="s">
        <v>300</v>
      </c>
      <c r="K210" s="259">
        <v>400</v>
      </c>
      <c r="L210" s="264">
        <v>0.8</v>
      </c>
      <c r="M210" s="258">
        <v>0.84099999999999997</v>
      </c>
      <c r="N210" s="263">
        <f t="shared" si="611"/>
        <v>2.3599283817516263</v>
      </c>
      <c r="O210" s="263">
        <f t="shared" si="629"/>
        <v>14.159570290509759</v>
      </c>
      <c r="P210" s="264">
        <f t="shared" si="612"/>
        <v>0.2</v>
      </c>
      <c r="Q210" s="258">
        <v>50</v>
      </c>
      <c r="R210" s="258">
        <v>0</v>
      </c>
      <c r="S210" s="258">
        <f t="shared" si="613"/>
        <v>0</v>
      </c>
      <c r="T210" s="264" t="s">
        <v>131</v>
      </c>
      <c r="U210" s="258" t="s">
        <v>302</v>
      </c>
      <c r="V210" s="264">
        <v>4</v>
      </c>
      <c r="W210" s="264" t="str">
        <f t="shared" si="614"/>
        <v>3C X 4</v>
      </c>
      <c r="X210" s="264" t="str">
        <f t="shared" si="615"/>
        <v>3C X 4+PE</v>
      </c>
      <c r="Y210" s="264" t="s">
        <v>314</v>
      </c>
      <c r="Z210" s="265">
        <f>IF(T210="AIR",VLOOKUP(W210,'Catalogue Aluminium'!$B$9:$G$91,2,FALSE),IF(T210="GROUND",VLOOKUP(W210,'Catalogue Aluminium'!$B$9:$G$91,3,FALSE),IF(T210="DUCT",VLOOKUP(W210,'Catalogue Aluminium'!$B$9:$G$91,4,FALSE),IF(T210="TRENCH",VLOOKUP(W210,'Catalogue Aluminium'!$B$9:$G$91,2,FALSE)))))</f>
        <v>38</v>
      </c>
      <c r="AA210" s="266">
        <f>VLOOKUP(W210,'Catalogue Aluminium'!$B$9:$G$91,5,FALSE)</f>
        <v>5.9</v>
      </c>
      <c r="AB210" s="266">
        <f>VLOOKUP(W210,'Catalogue Aluminium'!$B$9:$G$91,6,FALSE)</f>
        <v>9.4700000000000006E-2</v>
      </c>
      <c r="AC210" s="406">
        <f>28+7</f>
        <v>35</v>
      </c>
      <c r="AD210" s="264">
        <f t="shared" si="630"/>
        <v>270</v>
      </c>
      <c r="AE210" s="322">
        <f t="shared" si="631"/>
        <v>38</v>
      </c>
      <c r="AF210" s="264">
        <v>8</v>
      </c>
      <c r="AG210" s="264">
        <f t="shared" si="618"/>
        <v>36</v>
      </c>
      <c r="AH210" s="267"/>
      <c r="AI210" s="265">
        <f>IF(T210="AIR",'Catalogue Aluminium'!$K$9,IF(T210="TRENCH",'Catalogue Aluminium'!$K$12,"NA"))</f>
        <v>0.89</v>
      </c>
      <c r="AJ210" s="263">
        <f>IF(T210="Air",(IF(U210="1C",'Catalogue Aluminium'!$L$9,'Catalogue Aluminium'!$M$9)),IF(T210="DUCT",(IF($U210="1C",'Catalogue Aluminium'!$L$10,'Catalogue Aluminium'!$M$10)),IF(T210="GROUND",(IF($U210="1C",'Catalogue Aluminium'!$L$11,'Catalogue Aluminium'!$M$11)),IF(T210="TRENCH",(IF($U210="1C",'Catalogue Aluminium'!$L$12,'Catalogue Aluminium'!$M$12))))))</f>
        <v>0.66</v>
      </c>
      <c r="AK210" s="265" t="str">
        <f>IF(T210="Air",'Catalogue Aluminium'!$N$9,IF(T210="GROUND",'Catalogue Aluminium'!$N$10,IF(T210="DUCT",'Catalogue Aluminium'!$N$11,IF(T210="TRENCH",'Catalogue Aluminium'!$N$12,"NA"))))</f>
        <v>NA</v>
      </c>
      <c r="AL210" s="265" t="str">
        <f>IF(T210="Air",(IF(U210="1C",'Catalogue Aluminium'!$O$9,'Catalogue Aluminium'!$P$9)),IF(T210="DUCT",(IF($U210="1C",'Catalogue Aluminium'!$O$10,'Catalogue Aluminium'!$P$10)),IF(T210="GROUND",(IF($U210="1C",'Catalogue Aluminium'!$O$11,'Catalogue Aluminium'!$P$11)),IF(T210="TRENCH",(IF($U210="1C",'Catalogue Aluminium'!$O$12,'Catalogue Aluminium'!$P$12))))))</f>
        <v>NA</v>
      </c>
      <c r="AM210" s="265" t="str">
        <f>IF(T210="AIR","NA",IF(T210="TRENCH","NA",IF(T210="DUCT",IF(U210="1C",VLOOKUP(V210,'Catalogue Aluminium'!$Q$9:$S$28,2,FALSE),VLOOKUP(V210,'Catalogue Aluminium'!$Q$9:$S$28,3)),IF(T210="GROUND",IF(U210="1C",VLOOKUP(V210,'Catalogue Aluminium'!$Q$9:$S$28,2,FALSE),VLOOKUP(V210,'Catalogue Aluminium'!$Q$9:$S$28,3))))))</f>
        <v>NA</v>
      </c>
      <c r="AN210" s="268">
        <f t="shared" si="620"/>
        <v>0.58740000000000003</v>
      </c>
      <c r="AO210" s="258">
        <f t="shared" si="621"/>
        <v>22.321200000000001</v>
      </c>
      <c r="AP210" s="259">
        <f t="shared" si="466"/>
        <v>1</v>
      </c>
      <c r="AQ210" s="258" t="str">
        <f t="shared" si="622"/>
        <v>YES</v>
      </c>
      <c r="AR210" s="268">
        <f t="shared" si="623"/>
        <v>0</v>
      </c>
      <c r="AS210" s="349" t="str">
        <f t="shared" si="624"/>
        <v>YES</v>
      </c>
      <c r="AT210" s="350">
        <f t="shared" si="625"/>
        <v>0</v>
      </c>
      <c r="AU210" s="264" t="str">
        <f t="shared" si="626"/>
        <v>YES</v>
      </c>
      <c r="AV210" s="269" t="str">
        <f t="shared" si="627"/>
        <v>1R x 0.6/1kV x 3C x 4 Sqmm</v>
      </c>
      <c r="AW210" s="269" t="str">
        <f t="shared" si="628"/>
        <v>1R x 0.6/1kV x 3C x 4+PE Sqmm</v>
      </c>
      <c r="AX210" s="264"/>
      <c r="AY210" s="270"/>
    </row>
    <row r="211" spans="1:51" s="75" customFormat="1" ht="20.149999999999999" hidden="1" customHeight="1">
      <c r="A211" s="262" t="s">
        <v>303</v>
      </c>
      <c r="B211" s="404" t="s">
        <v>382</v>
      </c>
      <c r="C211" s="262" t="str">
        <f t="shared" si="610"/>
        <v>EPMCC-1</v>
      </c>
      <c r="D211" s="290" t="s">
        <v>430</v>
      </c>
      <c r="E211" s="305" t="s">
        <v>310</v>
      </c>
      <c r="F211" s="262" t="s">
        <v>29</v>
      </c>
      <c r="G211" s="262" t="s">
        <v>311</v>
      </c>
      <c r="H211" s="258">
        <v>1.1000000000000001</v>
      </c>
      <c r="I211" s="262" t="s">
        <v>299</v>
      </c>
      <c r="J211" s="262" t="s">
        <v>300</v>
      </c>
      <c r="K211" s="259">
        <v>400</v>
      </c>
      <c r="L211" s="264">
        <v>0.8</v>
      </c>
      <c r="M211" s="258">
        <v>0.84099999999999997</v>
      </c>
      <c r="N211" s="263">
        <f t="shared" si="611"/>
        <v>2.3599283817516263</v>
      </c>
      <c r="O211" s="263">
        <f t="shared" si="629"/>
        <v>14.159570290509759</v>
      </c>
      <c r="P211" s="264">
        <f t="shared" si="612"/>
        <v>0.2</v>
      </c>
      <c r="Q211" s="258">
        <v>50</v>
      </c>
      <c r="R211" s="258">
        <v>0</v>
      </c>
      <c r="S211" s="258">
        <f t="shared" si="613"/>
        <v>0</v>
      </c>
      <c r="T211" s="264" t="s">
        <v>131</v>
      </c>
      <c r="U211" s="258" t="s">
        <v>302</v>
      </c>
      <c r="V211" s="264">
        <v>4</v>
      </c>
      <c r="W211" s="264" t="str">
        <f t="shared" si="614"/>
        <v>3C X 4</v>
      </c>
      <c r="X211" s="264" t="str">
        <f t="shared" si="615"/>
        <v>3C X 4+PE</v>
      </c>
      <c r="Y211" s="264" t="s">
        <v>314</v>
      </c>
      <c r="Z211" s="265">
        <f>IF(T211="AIR",VLOOKUP(W211,'Catalogue Aluminium'!$B$9:$G$91,2,FALSE),IF(T211="GROUND",VLOOKUP(W211,'Catalogue Aluminium'!$B$9:$G$91,3,FALSE),IF(T211="DUCT",VLOOKUP(W211,'Catalogue Aluminium'!$B$9:$G$91,4,FALSE),IF(T211="TRENCH",VLOOKUP(W211,'Catalogue Aluminium'!$B$9:$G$91,2,FALSE)))))</f>
        <v>38</v>
      </c>
      <c r="AA211" s="266">
        <f>VLOOKUP(W211,'Catalogue Aluminium'!$B$9:$G$91,5,FALSE)</f>
        <v>5.9</v>
      </c>
      <c r="AB211" s="266">
        <f>VLOOKUP(W211,'Catalogue Aluminium'!$B$9:$G$91,6,FALSE)</f>
        <v>9.4700000000000006E-2</v>
      </c>
      <c r="AC211" s="406">
        <f>22+7</f>
        <v>29</v>
      </c>
      <c r="AD211" s="264">
        <f t="shared" si="630"/>
        <v>270</v>
      </c>
      <c r="AE211" s="322">
        <f t="shared" si="631"/>
        <v>38</v>
      </c>
      <c r="AF211" s="264">
        <v>8</v>
      </c>
      <c r="AG211" s="264">
        <f t="shared" si="618"/>
        <v>35</v>
      </c>
      <c r="AH211" s="267"/>
      <c r="AI211" s="265">
        <f>IF(T211="AIR",'Catalogue Aluminium'!$K$9,IF(T211="TRENCH",'Catalogue Aluminium'!$K$12,"NA"))</f>
        <v>0.89</v>
      </c>
      <c r="AJ211" s="263">
        <f>IF(T211="Air",(IF(U211="1C",'Catalogue Aluminium'!$L$9,'Catalogue Aluminium'!$M$9)),IF(T211="DUCT",(IF($U211="1C",'Catalogue Aluminium'!$L$10,'Catalogue Aluminium'!$M$10)),IF(T211="GROUND",(IF($U211="1C",'Catalogue Aluminium'!$L$11,'Catalogue Aluminium'!$M$11)),IF(T211="TRENCH",(IF($U211="1C",'Catalogue Aluminium'!$L$12,'Catalogue Aluminium'!$M$12))))))</f>
        <v>0.66</v>
      </c>
      <c r="AK211" s="265" t="str">
        <f>IF(T211="Air",'Catalogue Aluminium'!$N$9,IF(T211="GROUND",'Catalogue Aluminium'!$N$10,IF(T211="DUCT",'Catalogue Aluminium'!$N$11,IF(T211="TRENCH",'Catalogue Aluminium'!$N$12,"NA"))))</f>
        <v>NA</v>
      </c>
      <c r="AL211" s="265" t="str">
        <f>IF(T211="Air",(IF(U211="1C",'Catalogue Aluminium'!$O$9,'Catalogue Aluminium'!$P$9)),IF(T211="DUCT",(IF($U211="1C",'Catalogue Aluminium'!$O$10,'Catalogue Aluminium'!$P$10)),IF(T211="GROUND",(IF($U211="1C",'Catalogue Aluminium'!$O$11,'Catalogue Aluminium'!$P$11)),IF(T211="TRENCH",(IF($U211="1C",'Catalogue Aluminium'!$O$12,'Catalogue Aluminium'!$P$12))))))</f>
        <v>NA</v>
      </c>
      <c r="AM211" s="265" t="str">
        <f>IF(T211="AIR","NA",IF(T211="TRENCH","NA",IF(T211="DUCT",IF(U211="1C",VLOOKUP(V211,'Catalogue Aluminium'!$Q$9:$S$28,2,FALSE),VLOOKUP(V211,'Catalogue Aluminium'!$Q$9:$S$28,3)),IF(T211="GROUND",IF(U211="1C",VLOOKUP(V211,'Catalogue Aluminium'!$Q$9:$S$28,2,FALSE),VLOOKUP(V211,'Catalogue Aluminium'!$Q$9:$S$28,3))))))</f>
        <v>NA</v>
      </c>
      <c r="AN211" s="268">
        <f t="shared" si="620"/>
        <v>0.58740000000000003</v>
      </c>
      <c r="AO211" s="258">
        <f t="shared" si="621"/>
        <v>22.321200000000001</v>
      </c>
      <c r="AP211" s="259">
        <f t="shared" si="466"/>
        <v>1</v>
      </c>
      <c r="AQ211" s="258" t="str">
        <f t="shared" si="622"/>
        <v>YES</v>
      </c>
      <c r="AR211" s="268">
        <f t="shared" si="623"/>
        <v>0</v>
      </c>
      <c r="AS211" s="349" t="str">
        <f t="shared" si="624"/>
        <v>YES</v>
      </c>
      <c r="AT211" s="350">
        <f t="shared" si="625"/>
        <v>0</v>
      </c>
      <c r="AU211" s="264" t="str">
        <f t="shared" si="626"/>
        <v>YES</v>
      </c>
      <c r="AV211" s="269" t="str">
        <f t="shared" si="627"/>
        <v>1R x 0.6/1kV x 3C x 4 Sqmm</v>
      </c>
      <c r="AW211" s="269" t="str">
        <f t="shared" si="628"/>
        <v>1R x 0.6/1kV x 3C x 4+PE Sqmm</v>
      </c>
      <c r="AX211" s="264"/>
      <c r="AY211" s="270"/>
    </row>
    <row r="212" spans="1:51" s="75" customFormat="1" ht="20.149999999999999" hidden="1" customHeight="1">
      <c r="A212" s="262" t="s">
        <v>303</v>
      </c>
      <c r="B212" s="404" t="s">
        <v>382</v>
      </c>
      <c r="C212" s="262" t="str">
        <f t="shared" si="610"/>
        <v>EPMCC-1</v>
      </c>
      <c r="D212" s="290" t="s">
        <v>432</v>
      </c>
      <c r="E212" s="305" t="s">
        <v>310</v>
      </c>
      <c r="F212" s="262" t="s">
        <v>28</v>
      </c>
      <c r="G212" s="262" t="s">
        <v>298</v>
      </c>
      <c r="H212" s="258">
        <v>4.5</v>
      </c>
      <c r="I212" s="262" t="s">
        <v>299</v>
      </c>
      <c r="J212" s="262" t="s">
        <v>300</v>
      </c>
      <c r="K212" s="259">
        <v>400</v>
      </c>
      <c r="L212" s="264">
        <v>0.85</v>
      </c>
      <c r="M212" s="258">
        <v>0.95</v>
      </c>
      <c r="N212" s="263">
        <f t="shared" si="611"/>
        <v>8.0438155570967922</v>
      </c>
      <c r="O212" s="263">
        <f t="shared" si="629"/>
        <v>0</v>
      </c>
      <c r="P212" s="264" t="str">
        <f t="shared" si="612"/>
        <v>0.00</v>
      </c>
      <c r="Q212" s="258">
        <v>50</v>
      </c>
      <c r="R212" s="258">
        <v>0</v>
      </c>
      <c r="S212" s="258">
        <f t="shared" si="613"/>
        <v>0</v>
      </c>
      <c r="T212" s="264" t="s">
        <v>131</v>
      </c>
      <c r="U212" s="258" t="s">
        <v>390</v>
      </c>
      <c r="V212" s="264">
        <v>25</v>
      </c>
      <c r="W212" s="264" t="str">
        <f t="shared" si="614"/>
        <v>3.5C X 25</v>
      </c>
      <c r="X212" s="264" t="str">
        <f t="shared" si="615"/>
        <v>3.5C X 25</v>
      </c>
      <c r="Y212" s="264" t="s">
        <v>314</v>
      </c>
      <c r="Z212" s="265">
        <f>IF(T212="AIR",VLOOKUP(W212,'Catalogue Aluminium'!$B$9:$G$91,2,FALSE),IF(T212="GROUND",VLOOKUP(W212,'Catalogue Aluminium'!$B$9:$G$91,3,FALSE),IF(T212="DUCT",VLOOKUP(W212,'Catalogue Aluminium'!$B$9:$G$91,4,FALSE),IF(T212="TRENCH",VLOOKUP(W212,'Catalogue Aluminium'!$B$9:$G$91,2,FALSE)))))</f>
        <v>95</v>
      </c>
      <c r="AA212" s="266">
        <f>VLOOKUP(W212,'Catalogue Aluminium'!$B$9:$G$91,5,FALSE)</f>
        <v>1.54</v>
      </c>
      <c r="AB212" s="266">
        <f>VLOOKUP(W212,'Catalogue Aluminium'!$B$9:$G$91,6,FALSE)</f>
        <v>8.1600000000000006E-2</v>
      </c>
      <c r="AC212" s="406">
        <f>28+7</f>
        <v>35</v>
      </c>
      <c r="AD212" s="264">
        <f t="shared" si="630"/>
        <v>270</v>
      </c>
      <c r="AE212" s="322">
        <f t="shared" si="631"/>
        <v>38</v>
      </c>
      <c r="AF212" s="264">
        <v>8</v>
      </c>
      <c r="AG212" s="264">
        <f t="shared" si="618"/>
        <v>36</v>
      </c>
      <c r="AH212" s="267"/>
      <c r="AI212" s="265">
        <f>IF(T212="AIR",'Catalogue Aluminium'!$K$9,IF(T212="TRENCH",'Catalogue Aluminium'!$K$12,"NA"))</f>
        <v>0.89</v>
      </c>
      <c r="AJ212" s="263">
        <f>IF(T212="Air",(IF(U212="1C",'Catalogue Aluminium'!$L$9,'Catalogue Aluminium'!$M$9)),IF(T212="DUCT",(IF($U212="1C",'Catalogue Aluminium'!$L$10,'Catalogue Aluminium'!$M$10)),IF(T212="GROUND",(IF($U212="1C",'Catalogue Aluminium'!$L$11,'Catalogue Aluminium'!$M$11)),IF(T212="TRENCH",(IF($U212="1C",'Catalogue Aluminium'!$L$12,'Catalogue Aluminium'!$M$12))))))</f>
        <v>0.66</v>
      </c>
      <c r="AK212" s="265" t="str">
        <f>IF(T212="Air",'Catalogue Aluminium'!$N$9,IF(T212="GROUND",'Catalogue Aluminium'!$N$10,IF(T212="DUCT",'Catalogue Aluminium'!$N$11,IF(T212="TRENCH",'Catalogue Aluminium'!$N$12,"NA"))))</f>
        <v>NA</v>
      </c>
      <c r="AL212" s="265" t="str">
        <f>IF(T212="Air",(IF(U212="1C",'Catalogue Aluminium'!$O$9,'Catalogue Aluminium'!$P$9)),IF(T212="DUCT",(IF($U212="1C",'Catalogue Aluminium'!$O$10,'Catalogue Aluminium'!$P$10)),IF(T212="GROUND",(IF($U212="1C",'Catalogue Aluminium'!$O$11,'Catalogue Aluminium'!$P$11)),IF(T212="TRENCH",(IF($U212="1C",'Catalogue Aluminium'!$O$12,'Catalogue Aluminium'!$P$12))))))</f>
        <v>NA</v>
      </c>
      <c r="AM212" s="265" t="str">
        <f>IF(T212="AIR","NA",IF(T212="TRENCH","NA",IF(T212="DUCT",IF(U212="1C",VLOOKUP(V212,'Catalogue Aluminium'!$Q$9:$S$28,2,FALSE),VLOOKUP(V212,'Catalogue Aluminium'!$Q$9:$S$28,3)),IF(T212="GROUND",IF(U212="1C",VLOOKUP(V212,'Catalogue Aluminium'!$Q$9:$S$28,2,FALSE),VLOOKUP(V212,'Catalogue Aluminium'!$Q$9:$S$28,3))))))</f>
        <v>NA</v>
      </c>
      <c r="AN212" s="268">
        <f t="shared" si="620"/>
        <v>0.58740000000000003</v>
      </c>
      <c r="AO212" s="258">
        <f t="shared" si="621"/>
        <v>55.803000000000004</v>
      </c>
      <c r="AP212" s="259">
        <f t="shared" si="466"/>
        <v>1</v>
      </c>
      <c r="AQ212" s="258" t="str">
        <f t="shared" si="622"/>
        <v>YES</v>
      </c>
      <c r="AR212" s="268">
        <f t="shared" si="623"/>
        <v>0</v>
      </c>
      <c r="AS212" s="349" t="str">
        <f t="shared" si="624"/>
        <v>YES</v>
      </c>
      <c r="AT212" s="350" t="str">
        <f t="shared" si="625"/>
        <v>NA</v>
      </c>
      <c r="AU212" s="264" t="str">
        <f t="shared" si="626"/>
        <v>NA</v>
      </c>
      <c r="AV212" s="269" t="str">
        <f t="shared" si="627"/>
        <v>1R x 0.6/1kV x 3.5C x 25 Sqmm</v>
      </c>
      <c r="AW212" s="269" t="str">
        <f t="shared" si="628"/>
        <v>1R x 0.6/1kV x 3.5C x 25 Sqmm</v>
      </c>
      <c r="AX212" s="264"/>
      <c r="AY212" s="270"/>
    </row>
    <row r="213" spans="1:51" s="75" customFormat="1" ht="20.149999999999999" hidden="1" customHeight="1">
      <c r="A213" s="262" t="s">
        <v>303</v>
      </c>
      <c r="B213" s="404" t="s">
        <v>382</v>
      </c>
      <c r="C213" s="262" t="str">
        <f t="shared" si="610"/>
        <v>EPMCC-1</v>
      </c>
      <c r="D213" s="290" t="s">
        <v>432</v>
      </c>
      <c r="E213" s="305" t="s">
        <v>310</v>
      </c>
      <c r="F213" s="262" t="s">
        <v>29</v>
      </c>
      <c r="G213" s="262" t="s">
        <v>298</v>
      </c>
      <c r="H213" s="258">
        <v>4.5</v>
      </c>
      <c r="I213" s="262" t="s">
        <v>299</v>
      </c>
      <c r="J213" s="262" t="s">
        <v>300</v>
      </c>
      <c r="K213" s="259">
        <v>400</v>
      </c>
      <c r="L213" s="264">
        <v>0.85</v>
      </c>
      <c r="M213" s="258">
        <v>0.95</v>
      </c>
      <c r="N213" s="263">
        <f t="shared" si="611"/>
        <v>8.0438155570967922</v>
      </c>
      <c r="O213" s="263">
        <f t="shared" si="629"/>
        <v>0</v>
      </c>
      <c r="P213" s="264" t="str">
        <f t="shared" si="612"/>
        <v>0.00</v>
      </c>
      <c r="Q213" s="258">
        <v>50</v>
      </c>
      <c r="R213" s="258">
        <v>0</v>
      </c>
      <c r="S213" s="258">
        <f t="shared" si="613"/>
        <v>0</v>
      </c>
      <c r="T213" s="264" t="s">
        <v>131</v>
      </c>
      <c r="U213" s="258" t="s">
        <v>390</v>
      </c>
      <c r="V213" s="264">
        <v>25</v>
      </c>
      <c r="W213" s="264" t="str">
        <f t="shared" si="614"/>
        <v>3.5C X 25</v>
      </c>
      <c r="X213" s="264" t="str">
        <f t="shared" si="615"/>
        <v>3.5C X 25</v>
      </c>
      <c r="Y213" s="264" t="s">
        <v>314</v>
      </c>
      <c r="Z213" s="265">
        <f>IF(T213="AIR",VLOOKUP(W213,'Catalogue Aluminium'!$B$9:$G$91,2,FALSE),IF(T213="GROUND",VLOOKUP(W213,'Catalogue Aluminium'!$B$9:$G$91,3,FALSE),IF(T213="DUCT",VLOOKUP(W213,'Catalogue Aluminium'!$B$9:$G$91,4,FALSE),IF(T213="TRENCH",VLOOKUP(W213,'Catalogue Aluminium'!$B$9:$G$91,2,FALSE)))))</f>
        <v>95</v>
      </c>
      <c r="AA213" s="266">
        <f>VLOOKUP(W213,'Catalogue Aluminium'!$B$9:$G$91,5,FALSE)</f>
        <v>1.54</v>
      </c>
      <c r="AB213" s="266">
        <f>VLOOKUP(W213,'Catalogue Aluminium'!$B$9:$G$91,6,FALSE)</f>
        <v>8.1600000000000006E-2</v>
      </c>
      <c r="AC213" s="406">
        <f>22+7</f>
        <v>29</v>
      </c>
      <c r="AD213" s="264">
        <f t="shared" si="630"/>
        <v>270</v>
      </c>
      <c r="AE213" s="322">
        <f t="shared" si="631"/>
        <v>38</v>
      </c>
      <c r="AF213" s="264">
        <v>8</v>
      </c>
      <c r="AG213" s="264">
        <f t="shared" si="618"/>
        <v>35</v>
      </c>
      <c r="AH213" s="267"/>
      <c r="AI213" s="265">
        <f>IF(T213="AIR",'Catalogue Aluminium'!$K$9,IF(T213="TRENCH",'Catalogue Aluminium'!$K$12,"NA"))</f>
        <v>0.89</v>
      </c>
      <c r="AJ213" s="263">
        <f>IF(T213="Air",(IF(U213="1C",'Catalogue Aluminium'!$L$9,'Catalogue Aluminium'!$M$9)),IF(T213="DUCT",(IF($U213="1C",'Catalogue Aluminium'!$L$10,'Catalogue Aluminium'!$M$10)),IF(T213="GROUND",(IF($U213="1C",'Catalogue Aluminium'!$L$11,'Catalogue Aluminium'!$M$11)),IF(T213="TRENCH",(IF($U213="1C",'Catalogue Aluminium'!$L$12,'Catalogue Aluminium'!$M$12))))))</f>
        <v>0.66</v>
      </c>
      <c r="AK213" s="265" t="str">
        <f>IF(T213="Air",'Catalogue Aluminium'!$N$9,IF(T213="GROUND",'Catalogue Aluminium'!$N$10,IF(T213="DUCT",'Catalogue Aluminium'!$N$11,IF(T213="TRENCH",'Catalogue Aluminium'!$N$12,"NA"))))</f>
        <v>NA</v>
      </c>
      <c r="AL213" s="265" t="str">
        <f>IF(T213="Air",(IF(U213="1C",'Catalogue Aluminium'!$O$9,'Catalogue Aluminium'!$P$9)),IF(T213="DUCT",(IF($U213="1C",'Catalogue Aluminium'!$O$10,'Catalogue Aluminium'!$P$10)),IF(T213="GROUND",(IF($U213="1C",'Catalogue Aluminium'!$O$11,'Catalogue Aluminium'!$P$11)),IF(T213="TRENCH",(IF($U213="1C",'Catalogue Aluminium'!$O$12,'Catalogue Aluminium'!$P$12))))))</f>
        <v>NA</v>
      </c>
      <c r="AM213" s="265" t="str">
        <f>IF(T213="AIR","NA",IF(T213="TRENCH","NA",IF(T213="DUCT",IF(U213="1C",VLOOKUP(V213,'Catalogue Aluminium'!$Q$9:$S$28,2,FALSE),VLOOKUP(V213,'Catalogue Aluminium'!$Q$9:$S$28,3)),IF(T213="GROUND",IF(U213="1C",VLOOKUP(V213,'Catalogue Aluminium'!$Q$9:$S$28,2,FALSE),VLOOKUP(V213,'Catalogue Aluminium'!$Q$9:$S$28,3))))))</f>
        <v>NA</v>
      </c>
      <c r="AN213" s="268">
        <f t="shared" si="620"/>
        <v>0.58740000000000003</v>
      </c>
      <c r="AO213" s="258">
        <f t="shared" si="621"/>
        <v>55.803000000000004</v>
      </c>
      <c r="AP213" s="259">
        <f t="shared" si="466"/>
        <v>1</v>
      </c>
      <c r="AQ213" s="258" t="str">
        <f t="shared" si="622"/>
        <v>YES</v>
      </c>
      <c r="AR213" s="268">
        <f t="shared" si="623"/>
        <v>0</v>
      </c>
      <c r="AS213" s="349" t="str">
        <f t="shared" si="624"/>
        <v>YES</v>
      </c>
      <c r="AT213" s="350" t="str">
        <f t="shared" si="625"/>
        <v>NA</v>
      </c>
      <c r="AU213" s="264" t="str">
        <f t="shared" si="626"/>
        <v>NA</v>
      </c>
      <c r="AV213" s="269" t="str">
        <f t="shared" si="627"/>
        <v>1R x 0.6/1kV x 3.5C x 25 Sqmm</v>
      </c>
      <c r="AW213" s="269" t="str">
        <f t="shared" si="628"/>
        <v>1R x 0.6/1kV x 3.5C x 25 Sqmm</v>
      </c>
      <c r="AX213" s="264"/>
      <c r="AY213" s="270"/>
    </row>
    <row r="214" spans="1:51" s="75" customFormat="1" ht="40.5" hidden="1" customHeight="1">
      <c r="A214" s="262" t="s">
        <v>303</v>
      </c>
      <c r="B214" s="404" t="s">
        <v>382</v>
      </c>
      <c r="C214" s="262" t="str">
        <f t="shared" si="610"/>
        <v>EPMCC-1</v>
      </c>
      <c r="D214" s="290" t="s">
        <v>526</v>
      </c>
      <c r="E214" s="305" t="s">
        <v>310</v>
      </c>
      <c r="F214" s="262" t="s">
        <v>28</v>
      </c>
      <c r="G214" s="262" t="s">
        <v>298</v>
      </c>
      <c r="H214" s="258">
        <v>2.2000000000000002</v>
      </c>
      <c r="I214" s="262" t="s">
        <v>299</v>
      </c>
      <c r="J214" s="262" t="s">
        <v>300</v>
      </c>
      <c r="K214" s="259">
        <v>400</v>
      </c>
      <c r="L214" s="264">
        <v>0.85</v>
      </c>
      <c r="M214" s="258">
        <v>0.95</v>
      </c>
      <c r="N214" s="263">
        <f t="shared" si="611"/>
        <v>3.9325320501362091</v>
      </c>
      <c r="O214" s="263">
        <f t="shared" si="629"/>
        <v>0</v>
      </c>
      <c r="P214" s="264" t="str">
        <f t="shared" si="612"/>
        <v>0.00</v>
      </c>
      <c r="Q214" s="258">
        <v>50</v>
      </c>
      <c r="R214" s="258">
        <v>0</v>
      </c>
      <c r="S214" s="258">
        <f t="shared" si="613"/>
        <v>0</v>
      </c>
      <c r="T214" s="264" t="s">
        <v>131</v>
      </c>
      <c r="U214" s="258" t="s">
        <v>377</v>
      </c>
      <c r="V214" s="371">
        <v>6</v>
      </c>
      <c r="W214" s="264" t="str">
        <f t="shared" si="614"/>
        <v>4C X 6</v>
      </c>
      <c r="X214" s="264" t="str">
        <f t="shared" si="615"/>
        <v>4C X 6</v>
      </c>
      <c r="Y214" s="264" t="s">
        <v>314</v>
      </c>
      <c r="Z214" s="265">
        <f>IF(T214="AIR",VLOOKUP(W214,'Catalogue Aluminium'!$B$9:$G$91,2,FALSE),IF(T214="GROUND",VLOOKUP(W214,'Catalogue Aluminium'!$B$9:$G$91,3,FALSE),IF(T214="DUCT",VLOOKUP(W214,'Catalogue Aluminium'!$B$9:$G$91,4,FALSE),IF(T214="TRENCH",VLOOKUP(W214,'Catalogue Aluminium'!$B$9:$G$91,2,FALSE)))))</f>
        <v>51</v>
      </c>
      <c r="AA214" s="266">
        <f>VLOOKUP(W214,'Catalogue Aluminium'!$B$9:$G$91,5,FALSE)</f>
        <v>3.94</v>
      </c>
      <c r="AB214" s="266">
        <f>VLOOKUP(W214,'Catalogue Aluminium'!$B$9:$G$91,6,FALSE)</f>
        <v>9.0200000000000002E-2</v>
      </c>
      <c r="AC214" s="406">
        <f>28+7</f>
        <v>35</v>
      </c>
      <c r="AD214" s="264">
        <f t="shared" si="630"/>
        <v>270</v>
      </c>
      <c r="AE214" s="322">
        <f t="shared" si="631"/>
        <v>38</v>
      </c>
      <c r="AF214" s="264">
        <v>8</v>
      </c>
      <c r="AG214" s="264">
        <f t="shared" si="618"/>
        <v>36</v>
      </c>
      <c r="AH214" s="267"/>
      <c r="AI214" s="265">
        <f>IF(T214="AIR",'Catalogue Aluminium'!$K$9,IF(T214="TRENCH",'Catalogue Aluminium'!$K$12,"NA"))</f>
        <v>0.89</v>
      </c>
      <c r="AJ214" s="263">
        <f>IF(T214="Air",(IF(U214="1C",'Catalogue Aluminium'!$L$9,'Catalogue Aluminium'!$M$9)),IF(T214="DUCT",(IF($U214="1C",'Catalogue Aluminium'!$L$10,'Catalogue Aluminium'!$M$10)),IF(T214="GROUND",(IF($U214="1C",'Catalogue Aluminium'!$L$11,'Catalogue Aluminium'!$M$11)),IF(T214="TRENCH",(IF($U214="1C",'Catalogue Aluminium'!$L$12,'Catalogue Aluminium'!$M$12))))))</f>
        <v>0.66</v>
      </c>
      <c r="AK214" s="265" t="str">
        <f>IF(T214="Air",'Catalogue Aluminium'!$N$9,IF(T214="GROUND",'Catalogue Aluminium'!$N$10,IF(T214="DUCT",'Catalogue Aluminium'!$N$11,IF(T214="TRENCH",'Catalogue Aluminium'!$N$12,"NA"))))</f>
        <v>NA</v>
      </c>
      <c r="AL214" s="265" t="str">
        <f>IF(T214="Air",(IF(U214="1C",'Catalogue Aluminium'!$O$9,'Catalogue Aluminium'!$P$9)),IF(T214="DUCT",(IF($U214="1C",'Catalogue Aluminium'!$O$10,'Catalogue Aluminium'!$P$10)),IF(T214="GROUND",(IF($U214="1C",'Catalogue Aluminium'!$O$11,'Catalogue Aluminium'!$P$11)),IF(T214="TRENCH",(IF($U214="1C",'Catalogue Aluminium'!$O$12,'Catalogue Aluminium'!$P$12))))))</f>
        <v>NA</v>
      </c>
      <c r="AM214" s="265" t="str">
        <f>IF(T214="AIR","NA",IF(T214="TRENCH","NA",IF(T214="DUCT",IF(U214="1C",VLOOKUP(V214,'Catalogue Aluminium'!$Q$9:$S$28,2,FALSE),VLOOKUP(V214,'Catalogue Aluminium'!$Q$9:$S$28,3)),IF(T214="GROUND",IF(U214="1C",VLOOKUP(V214,'Catalogue Aluminium'!$Q$9:$S$28,2,FALSE),VLOOKUP(V214,'Catalogue Aluminium'!$Q$9:$S$28,3))))))</f>
        <v>NA</v>
      </c>
      <c r="AN214" s="268">
        <f t="shared" si="620"/>
        <v>0.58740000000000003</v>
      </c>
      <c r="AO214" s="258">
        <f t="shared" si="621"/>
        <v>29.957400000000003</v>
      </c>
      <c r="AP214" s="259">
        <f t="shared" si="466"/>
        <v>1</v>
      </c>
      <c r="AQ214" s="258" t="str">
        <f t="shared" si="622"/>
        <v>YES</v>
      </c>
      <c r="AR214" s="268">
        <f t="shared" si="623"/>
        <v>0</v>
      </c>
      <c r="AS214" s="349" t="str">
        <f t="shared" si="624"/>
        <v>YES</v>
      </c>
      <c r="AT214" s="350" t="str">
        <f t="shared" si="625"/>
        <v>NA</v>
      </c>
      <c r="AU214" s="264" t="str">
        <f t="shared" si="626"/>
        <v>NA</v>
      </c>
      <c r="AV214" s="269" t="str">
        <f t="shared" si="627"/>
        <v>1R x 0.6/1kV x 4C x 6 Sqmm</v>
      </c>
      <c r="AW214" s="269" t="str">
        <f t="shared" si="628"/>
        <v>1R x 0.6/1kV x 4C x 6 Sqmm</v>
      </c>
      <c r="AX214" s="264"/>
      <c r="AY214" s="270"/>
    </row>
    <row r="215" spans="1:51" s="70" customFormat="1" ht="20.149999999999999" customHeight="1">
      <c r="A215" s="273"/>
      <c r="B215" s="273"/>
      <c r="C215" s="273"/>
      <c r="D215" s="357" t="s">
        <v>527</v>
      </c>
      <c r="E215" s="358"/>
      <c r="F215" s="359"/>
      <c r="G215" s="273"/>
      <c r="H215" s="281"/>
      <c r="I215" s="273"/>
      <c r="J215" s="273"/>
      <c r="K215" s="280"/>
      <c r="L215" s="275"/>
      <c r="M215" s="281"/>
      <c r="N215" s="274"/>
      <c r="O215" s="274"/>
      <c r="P215" s="275"/>
      <c r="Q215" s="281"/>
      <c r="R215" s="281"/>
      <c r="S215" s="281"/>
      <c r="T215" s="275"/>
      <c r="U215" s="281"/>
      <c r="V215" s="275"/>
      <c r="W215" s="275"/>
      <c r="X215" s="275"/>
      <c r="Y215" s="275"/>
      <c r="Z215" s="276"/>
      <c r="AA215" s="277"/>
      <c r="AB215" s="277"/>
      <c r="AC215" s="277"/>
      <c r="AD215" s="277"/>
      <c r="AE215" s="277"/>
      <c r="AF215" s="277"/>
      <c r="AG215" s="277"/>
      <c r="AH215" s="277"/>
      <c r="AI215" s="277"/>
      <c r="AJ215" s="277"/>
      <c r="AK215" s="277"/>
      <c r="AL215" s="277"/>
      <c r="AM215" s="277"/>
      <c r="AN215" s="277"/>
      <c r="AO215" s="281"/>
      <c r="AP215" s="280"/>
      <c r="AQ215" s="281"/>
      <c r="AR215" s="282"/>
      <c r="AS215" s="275"/>
      <c r="AT215" s="282"/>
      <c r="AU215" s="282"/>
      <c r="AV215" s="283"/>
      <c r="AW215" s="283"/>
      <c r="AX215" s="275"/>
      <c r="AY215" s="284"/>
    </row>
    <row r="216" spans="1:51" s="75" customFormat="1" ht="20.149999999999999" hidden="1" customHeight="1">
      <c r="A216" s="262" t="s">
        <v>303</v>
      </c>
      <c r="B216" s="404" t="s">
        <v>382</v>
      </c>
      <c r="C216" s="262" t="str">
        <f t="shared" ref="C216:C237" si="632">$D$164</f>
        <v>EPMCC-1</v>
      </c>
      <c r="D216" s="290" t="s">
        <v>528</v>
      </c>
      <c r="E216" s="305" t="s">
        <v>310</v>
      </c>
      <c r="F216" s="262" t="s">
        <v>28</v>
      </c>
      <c r="G216" s="262" t="s">
        <v>311</v>
      </c>
      <c r="H216" s="258">
        <v>15</v>
      </c>
      <c r="I216" s="262" t="s">
        <v>299</v>
      </c>
      <c r="J216" s="262" t="s">
        <v>300</v>
      </c>
      <c r="K216" s="259">
        <v>400</v>
      </c>
      <c r="L216" s="264">
        <v>0.84</v>
      </c>
      <c r="M216" s="258">
        <v>0.92700000000000005</v>
      </c>
      <c r="N216" s="263">
        <f t="shared" ref="N216:N245" si="633">IF(I216="kVA",IF(J216="3Ph",(H216*1000/(1.732*M216*K216)),(H216*1000/(M216*K216))),IF(I216="kW",IF(J216="3Ph",(H216*1000/(1.732*M216*K216*L216)),(H216*1000/(M216*K216*L216)))))</f>
        <v>27.805093501633788</v>
      </c>
      <c r="O216" s="263">
        <f t="shared" si="629"/>
        <v>166.83056100980272</v>
      </c>
      <c r="P216" s="264">
        <f t="shared" ref="P216:P245" si="634">IF(G216="MOTOR",0.2,"0.00")</f>
        <v>0.2</v>
      </c>
      <c r="Q216" s="258">
        <v>50</v>
      </c>
      <c r="R216" s="258">
        <v>0</v>
      </c>
      <c r="S216" s="258">
        <f t="shared" ref="S216:S245" si="635">(Q216*1000*SQRT(R216)/143)</f>
        <v>0</v>
      </c>
      <c r="T216" s="264" t="s">
        <v>131</v>
      </c>
      <c r="U216" s="258" t="s">
        <v>302</v>
      </c>
      <c r="V216" s="264">
        <v>70</v>
      </c>
      <c r="W216" s="264" t="str">
        <f t="shared" ref="W216:W245" si="636">CONCATENATE(U216," X ",V216)</f>
        <v>3C X 70</v>
      </c>
      <c r="X216" s="264" t="str">
        <f t="shared" ref="X216:X245" si="637">(IF(J216="1Ph",W216,IF(J216="3Ph",(IF(G216="MOTOR",(CONCATENATE(W216,"+PE")),W216)))))</f>
        <v>3C X 70+PE</v>
      </c>
      <c r="Y216" s="264" t="s">
        <v>314</v>
      </c>
      <c r="Z216" s="265">
        <f>IF(T216="AIR",VLOOKUP(W216,'Catalogue Aluminium'!$B$9:$G$91,2,FALSE),IF(T216="GROUND",VLOOKUP(W216,'Catalogue Aluminium'!$B$9:$G$91,3,FALSE),IF(T216="DUCT",VLOOKUP(W216,'Catalogue Aluminium'!$B$9:$G$91,4,FALSE),IF(T216="TRENCH",VLOOKUP(W216,'Catalogue Aluminium'!$B$9:$G$91,2,FALSE)))))</f>
        <v>177</v>
      </c>
      <c r="AA216" s="266">
        <f>VLOOKUP(W216,'Catalogue Aluminium'!$B$9:$G$91,5,FALSE)</f>
        <v>0.56699999999999995</v>
      </c>
      <c r="AB216" s="266">
        <f>VLOOKUP(W216,'Catalogue Aluminium'!$B$9:$G$91,6,FALSE)</f>
        <v>7.5200000000000003E-2</v>
      </c>
      <c r="AC216" s="406">
        <f>28+7</f>
        <v>35</v>
      </c>
      <c r="AD216" s="264">
        <f>11+34+48+35+30+11+24+(15+3+26)</f>
        <v>237</v>
      </c>
      <c r="AE216" s="322">
        <f t="shared" ref="AE216:AE238" si="638">11+8+8+11</f>
        <v>38</v>
      </c>
      <c r="AF216" s="264">
        <v>8</v>
      </c>
      <c r="AG216" s="264">
        <f t="shared" ref="AG216:AG245" si="639">ROUNDUP((SUM(AC216:AF216)*0.1),0)</f>
        <v>32</v>
      </c>
      <c r="AH216" s="267"/>
      <c r="AI216" s="265">
        <f>IF(T216="AIR",'Catalogue Aluminium'!$K$9,IF(T216="TRENCH",'Catalogue Aluminium'!$K$12,"NA"))</f>
        <v>0.89</v>
      </c>
      <c r="AJ216" s="263">
        <f>IF(T216="Air",(IF(U216="1C",'Catalogue Aluminium'!$L$9,'Catalogue Aluminium'!$M$9)),IF(T216="DUCT",(IF($U216="1C",'Catalogue Aluminium'!$L$10,'Catalogue Aluminium'!$M$10)),IF(T216="GROUND",(IF($U216="1C",'Catalogue Aluminium'!$L$11,'Catalogue Aluminium'!$M$11)),IF(T216="TRENCH",(IF($U216="1C",'Catalogue Aluminium'!$L$12,'Catalogue Aluminium'!$M$12))))))</f>
        <v>0.66</v>
      </c>
      <c r="AK216" s="265" t="str">
        <f>IF(T216="Air",'Catalogue Aluminium'!$N$9,IF(T216="GROUND",'Catalogue Aluminium'!$N$10,IF(T216="DUCT",'Catalogue Aluminium'!$N$11,IF(T216="TRENCH",'Catalogue Aluminium'!$N$12,"NA"))))</f>
        <v>NA</v>
      </c>
      <c r="AL216" s="265" t="str">
        <f>IF(T216="Air",(IF(U216="1C",'Catalogue Aluminium'!$O$9,'Catalogue Aluminium'!$P$9)),IF(T216="DUCT",(IF($U216="1C",'Catalogue Aluminium'!$O$10,'Catalogue Aluminium'!$P$10)),IF(T216="GROUND",(IF($U216="1C",'Catalogue Aluminium'!$O$11,'Catalogue Aluminium'!$P$11)),IF(T216="TRENCH",(IF($U216="1C",'Catalogue Aluminium'!$O$12,'Catalogue Aluminium'!$P$12))))))</f>
        <v>NA</v>
      </c>
      <c r="AM216" s="265" t="str">
        <f>IF(T216="AIR","NA",IF(T216="TRENCH","NA",IF(T216="DUCT",IF(U216="1C",VLOOKUP(V216,'Catalogue Aluminium'!$Q$9:$S$28,2,FALSE),VLOOKUP(V216,'Catalogue Aluminium'!$Q$9:$S$28,3)),IF(T216="GROUND",IF(U216="1C",VLOOKUP(V216,'Catalogue Aluminium'!$Q$9:$S$28,2,FALSE),VLOOKUP(V216,'Catalogue Aluminium'!$Q$9:$S$28,3))))))</f>
        <v>NA</v>
      </c>
      <c r="AN216" s="268">
        <f t="shared" ref="AN216:AN245" si="640">IF(T216="AIR",AI216*AJ216,IF(T216="TRENCH",AI216*AJ216,IF(T216="DUCT",AJ216*AK216*AL216*AM216,IF(T216="GROUND",AJ216*AK216*AL216*AM216))))</f>
        <v>0.58740000000000003</v>
      </c>
      <c r="AO216" s="258">
        <f t="shared" ref="AO216:AO245" si="641">Z216*AN216</f>
        <v>103.96980000000001</v>
      </c>
      <c r="AP216" s="259">
        <f t="shared" si="466"/>
        <v>1</v>
      </c>
      <c r="AQ216" s="258" t="str">
        <f t="shared" ref="AQ216:AQ245" si="642">IF(AO216*AP216&gt;=N216,"YES","NO")</f>
        <v>YES</v>
      </c>
      <c r="AR216" s="268">
        <f t="shared" ref="AR216:AR245" si="643">SQRT(3)*AH216*N216*((AA216*L216)+(AB216*SIN(ACOS(L216))))*100/(AP216*K216*1000)</f>
        <v>0</v>
      </c>
      <c r="AS216" s="349" t="str">
        <f t="shared" ref="AS216:AS245" si="644">IF(G216="INCOMER",(IF(AR216&lt;=2,"YES","NO")),IF(G216="POWER",(IF(AR216&lt;=2.5,"YES","NO")),IF(G216="MOTOR",(IF(AR216&lt;=3,"YES","NO")))))</f>
        <v>YES</v>
      </c>
      <c r="AT216" s="350">
        <f t="shared" ref="AT216:AT245" si="645">IF(G216="MOTOR",(SQRT(3)*AH216*O216*((AA216*P216)+(AB216*SIN(ACOS(P216))))*100/(AP216*K216*1000)),"NA")</f>
        <v>0</v>
      </c>
      <c r="AU216" s="264" t="str">
        <f t="shared" ref="AU216:AU245" si="646">IF(G216="MOTOR",IF(AT216&lt;=15,"YES","NO"),"NA")</f>
        <v>YES</v>
      </c>
      <c r="AV216" s="269" t="str">
        <f t="shared" ref="AV216:AV245" si="647">IF(U216="1C",CONCATENATE(AP216,"R x ",Y216,"kV x ",U216," x ",V216," Sqmm/Phase"),CONCATENATE(AP216,"R x ",0.6,"/1kV x ",U216," x ",V216," Sqmm"))</f>
        <v>1R x 0.6/1kV x 3C x 70 Sqmm</v>
      </c>
      <c r="AW216" s="269" t="str">
        <f t="shared" ref="AW216:AW245" si="648">IF(U216="1C",CONCATENATE(AP216,"R x ",Y216,"kV x ",U216," x ",V216," Sqmm/Phase"),CONCATENATE(AP216,"R x ",0.6,"/1kV x ",U216," x ",V216,(IF(G216="MOTOR","+PE",""))," Sqmm"))</f>
        <v>1R x 0.6/1kV x 3C x 70+PE Sqmm</v>
      </c>
      <c r="AX216" s="264"/>
      <c r="AY216" s="270"/>
    </row>
    <row r="217" spans="1:51" ht="20.149999999999999" customHeight="1">
      <c r="A217" s="243">
        <f>1+A208</f>
        <v>146</v>
      </c>
      <c r="B217" s="599" t="s">
        <v>1045</v>
      </c>
      <c r="C217" s="243" t="str">
        <f t="shared" si="632"/>
        <v>EPMCC-1</v>
      </c>
      <c r="D217" s="272" t="s">
        <v>529</v>
      </c>
      <c r="E217" s="320" t="s">
        <v>310</v>
      </c>
      <c r="F217" s="243" t="s">
        <v>29</v>
      </c>
      <c r="G217" s="243" t="s">
        <v>311</v>
      </c>
      <c r="H217" s="304">
        <v>9.3000000000000007</v>
      </c>
      <c r="I217" s="243" t="s">
        <v>299</v>
      </c>
      <c r="J217" s="243" t="s">
        <v>300</v>
      </c>
      <c r="K217" s="255">
        <v>400</v>
      </c>
      <c r="L217" s="249">
        <v>0.84</v>
      </c>
      <c r="M217" s="256">
        <v>0.92700000000000005</v>
      </c>
      <c r="N217" s="248">
        <f t="shared" si="633"/>
        <v>17.239157971012947</v>
      </c>
      <c r="O217" s="248">
        <f t="shared" si="629"/>
        <v>103.43494782607769</v>
      </c>
      <c r="P217" s="249">
        <f t="shared" si="634"/>
        <v>0.2</v>
      </c>
      <c r="Q217" s="256">
        <v>50</v>
      </c>
      <c r="R217" s="256">
        <v>0</v>
      </c>
      <c r="S217" s="256">
        <f t="shared" si="635"/>
        <v>0</v>
      </c>
      <c r="T217" s="249" t="s">
        <v>131</v>
      </c>
      <c r="U217" s="256" t="s">
        <v>302</v>
      </c>
      <c r="V217" s="249">
        <v>35</v>
      </c>
      <c r="W217" s="249" t="str">
        <f t="shared" si="636"/>
        <v>3C X 35</v>
      </c>
      <c r="X217" s="249" t="str">
        <f t="shared" si="637"/>
        <v>3C X 35+PE</v>
      </c>
      <c r="Y217" s="249" t="s">
        <v>314</v>
      </c>
      <c r="Z217" s="250">
        <f>IF(T217="AIR",VLOOKUP(W217,'Catalogue Aluminium'!$B$9:$G$91,2,FALSE),IF(T217="GROUND",VLOOKUP(W217,'Catalogue Aluminium'!$B$9:$G$91,3,FALSE),IF(T217="DUCT",VLOOKUP(W217,'Catalogue Aluminium'!$B$9:$G$91,4,FALSE),IF(T217="TRENCH",VLOOKUP(W217,'Catalogue Aluminium'!$B$9:$G$91,2,FALSE)))))</f>
        <v>117</v>
      </c>
      <c r="AA217" s="251">
        <f>VLOOKUP(W217,'Catalogue Aluminium'!$B$9:$G$91,5,FALSE)</f>
        <v>1.1100000000000001</v>
      </c>
      <c r="AB217" s="251">
        <f>VLOOKUP(W217,'Catalogue Aluminium'!$B$9:$G$91,6,FALSE)</f>
        <v>7.9399999999999998E-2</v>
      </c>
      <c r="AC217" s="323">
        <f>24+6</f>
        <v>30</v>
      </c>
      <c r="AD217" s="294">
        <f>40+50+38+50+17+(27+15)</f>
        <v>237</v>
      </c>
      <c r="AE217" s="294">
        <f t="shared" si="638"/>
        <v>38</v>
      </c>
      <c r="AF217" s="294">
        <v>8</v>
      </c>
      <c r="AG217" s="294">
        <f t="shared" si="639"/>
        <v>32</v>
      </c>
      <c r="AH217" s="253">
        <f t="shared" ref="AH217:AH245" si="649">SUM(AC217:AG217)</f>
        <v>345</v>
      </c>
      <c r="AI217" s="250">
        <f>IF(T217="AIR",'Catalogue Aluminium'!$K$9,IF(T217="TRENCH",'Catalogue Aluminium'!$K$12,"NA"))</f>
        <v>0.89</v>
      </c>
      <c r="AJ217" s="248">
        <f>IF(T217="Air",(IF(U217="1C",'Catalogue Aluminium'!$L$9,'Catalogue Aluminium'!$M$9)),IF(T217="DUCT",(IF($U217="1C",'Catalogue Aluminium'!$L$10,'Catalogue Aluminium'!$M$10)),IF(T217="GROUND",(IF($U217="1C",'Catalogue Aluminium'!$L$11,'Catalogue Aluminium'!$M$11)),IF(T217="TRENCH",(IF($U217="1C",'Catalogue Aluminium'!$L$12,'Catalogue Aluminium'!$M$12))))))</f>
        <v>0.66</v>
      </c>
      <c r="AK217" s="250" t="str">
        <f>IF(T217="Air",'Catalogue Aluminium'!$N$9,IF(T217="GROUND",'Catalogue Aluminium'!$N$10,IF(T217="DUCT",'Catalogue Aluminium'!$N$11,IF(T217="TRENCH",'Catalogue Aluminium'!$N$12,"NA"))))</f>
        <v>NA</v>
      </c>
      <c r="AL217" s="250" t="str">
        <f>IF(T217="Air",(IF(U217="1C",'Catalogue Aluminium'!$O$9,'Catalogue Aluminium'!$P$9)),IF(T217="DUCT",(IF($U217="1C",'Catalogue Aluminium'!$O$10,'Catalogue Aluminium'!$P$10)),IF(T217="GROUND",(IF($U217="1C",'Catalogue Aluminium'!$O$11,'Catalogue Aluminium'!$P$11)),IF(T217="TRENCH",(IF($U217="1C",'Catalogue Aluminium'!$O$12,'Catalogue Aluminium'!$P$12))))))</f>
        <v>NA</v>
      </c>
      <c r="AM217" s="250" t="str">
        <f>IF(T217="AIR","NA",IF(T217="TRENCH","NA",IF(T217="DUCT",IF(U217="1C",VLOOKUP(V217,'Catalogue Aluminium'!$Q$9:$S$28,2,FALSE),VLOOKUP(V217,'Catalogue Aluminium'!$Q$9:$S$28,3)),IF(T217="GROUND",IF(U217="1C",VLOOKUP(V217,'Catalogue Aluminium'!$Q$9:$S$28,2,FALSE),VLOOKUP(V217,'Catalogue Aluminium'!$Q$9:$S$28,3))))))</f>
        <v>NA</v>
      </c>
      <c r="AN217" s="257">
        <f t="shared" si="640"/>
        <v>0.58740000000000003</v>
      </c>
      <c r="AO217" s="256">
        <f t="shared" si="641"/>
        <v>68.725800000000007</v>
      </c>
      <c r="AP217" s="255">
        <f t="shared" si="466"/>
        <v>1</v>
      </c>
      <c r="AQ217" s="256" t="str">
        <f t="shared" si="642"/>
        <v>YES</v>
      </c>
      <c r="AR217" s="257">
        <f t="shared" si="643"/>
        <v>2.5122031484153444</v>
      </c>
      <c r="AS217" s="249" t="str">
        <f t="shared" si="644"/>
        <v>YES</v>
      </c>
      <c r="AT217" s="257">
        <f t="shared" si="645"/>
        <v>4.6324694801395543</v>
      </c>
      <c r="AU217" s="249" t="str">
        <f t="shared" si="646"/>
        <v>YES</v>
      </c>
      <c r="AV217" s="260" t="str">
        <f t="shared" si="647"/>
        <v>1R x 0.6/1kV x 3C x 35 Sqmm</v>
      </c>
      <c r="AW217" s="260" t="str">
        <f t="shared" si="648"/>
        <v>1R x 0.6/1kV x 3C x 35+PE Sqmm</v>
      </c>
      <c r="AX217" s="249">
        <f>(IF(K217=400,(IF(U217="1C",(4*AH217*AP217),(AH217*AP217))),IF(K217=230,(AH217*AP217))))</f>
        <v>345</v>
      </c>
      <c r="AY217" s="261"/>
    </row>
    <row r="218" spans="1:51" s="75" customFormat="1" ht="20.149999999999999" hidden="1" customHeight="1">
      <c r="A218" s="262" t="s">
        <v>303</v>
      </c>
      <c r="B218" s="404" t="s">
        <v>382</v>
      </c>
      <c r="C218" s="262" t="str">
        <f t="shared" si="632"/>
        <v>EPMCC-1</v>
      </c>
      <c r="D218" s="290" t="s">
        <v>530</v>
      </c>
      <c r="E218" s="305" t="s">
        <v>310</v>
      </c>
      <c r="F218" s="262" t="s">
        <v>28</v>
      </c>
      <c r="G218" s="262" t="s">
        <v>311</v>
      </c>
      <c r="H218" s="258">
        <v>55</v>
      </c>
      <c r="I218" s="262" t="s">
        <v>299</v>
      </c>
      <c r="J218" s="262" t="s">
        <v>300</v>
      </c>
      <c r="K218" s="259">
        <v>400</v>
      </c>
      <c r="L218" s="264">
        <v>0.85</v>
      </c>
      <c r="M218" s="258">
        <v>0.95400000000000007</v>
      </c>
      <c r="N218" s="263">
        <f t="shared" si="633"/>
        <v>97.901086153810226</v>
      </c>
      <c r="O218" s="263">
        <f t="shared" si="629"/>
        <v>587.40651692286133</v>
      </c>
      <c r="P218" s="264">
        <f t="shared" si="634"/>
        <v>0.2</v>
      </c>
      <c r="Q218" s="258">
        <v>50</v>
      </c>
      <c r="R218" s="258">
        <v>0</v>
      </c>
      <c r="S218" s="258">
        <f t="shared" si="635"/>
        <v>0</v>
      </c>
      <c r="T218" s="264" t="s">
        <v>131</v>
      </c>
      <c r="U218" s="258" t="s">
        <v>302</v>
      </c>
      <c r="V218" s="264">
        <v>120</v>
      </c>
      <c r="W218" s="264" t="str">
        <f t="shared" si="636"/>
        <v>3C X 120</v>
      </c>
      <c r="X218" s="264" t="str">
        <f t="shared" si="637"/>
        <v>3C X 120+PE</v>
      </c>
      <c r="Y218" s="264" t="s">
        <v>314</v>
      </c>
      <c r="Z218" s="265">
        <f>IF(T218="AIR",VLOOKUP(W218,'Catalogue Aluminium'!$B$9:$G$91,2,FALSE),IF(T218="GROUND",VLOOKUP(W218,'Catalogue Aluminium'!$B$9:$G$91,3,FALSE),IF(T218="DUCT",VLOOKUP(W218,'Catalogue Aluminium'!$B$9:$G$91,4,FALSE),IF(T218="TRENCH",VLOOKUP(W218,'Catalogue Aluminium'!$B$9:$G$91,2,FALSE)))))</f>
        <v>257</v>
      </c>
      <c r="AA218" s="266">
        <f>VLOOKUP(W218,'Catalogue Aluminium'!$B$9:$G$91,5,FALSE)</f>
        <v>0.32400000000000001</v>
      </c>
      <c r="AB218" s="266">
        <f>VLOOKUP(W218,'Catalogue Aluminium'!$B$9:$G$91,6,FALSE)</f>
        <v>7.2599999999999998E-2</v>
      </c>
      <c r="AC218" s="406">
        <f>28+7</f>
        <v>35</v>
      </c>
      <c r="AD218" s="264">
        <f t="shared" ref="AD218:AD225" si="650">11+34+48+35+30+11+24+(15+3+26)</f>
        <v>237</v>
      </c>
      <c r="AE218" s="322">
        <f t="shared" si="638"/>
        <v>38</v>
      </c>
      <c r="AF218" s="264">
        <v>8</v>
      </c>
      <c r="AG218" s="264">
        <f t="shared" si="639"/>
        <v>32</v>
      </c>
      <c r="AH218" s="267"/>
      <c r="AI218" s="265">
        <f>IF(T218="AIR",'Catalogue Aluminium'!$K$9,IF(T218="TRENCH",'Catalogue Aluminium'!$K$12,"NA"))</f>
        <v>0.89</v>
      </c>
      <c r="AJ218" s="263">
        <f>IF(T218="Air",(IF(U218="1C",'Catalogue Aluminium'!$L$9,'Catalogue Aluminium'!$M$9)),IF(T218="DUCT",(IF($U218="1C",'Catalogue Aluminium'!$L$10,'Catalogue Aluminium'!$M$10)),IF(T218="GROUND",(IF($U218="1C",'Catalogue Aluminium'!$L$11,'Catalogue Aluminium'!$M$11)),IF(T218="TRENCH",(IF($U218="1C",'Catalogue Aluminium'!$L$12,'Catalogue Aluminium'!$M$12))))))</f>
        <v>0.66</v>
      </c>
      <c r="AK218" s="265" t="str">
        <f>IF(T218="Air",'Catalogue Aluminium'!$N$9,IF(T218="GROUND",'Catalogue Aluminium'!$N$10,IF(T218="DUCT",'Catalogue Aluminium'!$N$11,IF(T218="TRENCH",'Catalogue Aluminium'!$N$12,"NA"))))</f>
        <v>NA</v>
      </c>
      <c r="AL218" s="265" t="str">
        <f>IF(T218="Air",(IF(U218="1C",'Catalogue Aluminium'!$O$9,'Catalogue Aluminium'!$P$9)),IF(T218="DUCT",(IF($U218="1C",'Catalogue Aluminium'!$O$10,'Catalogue Aluminium'!$P$10)),IF(T218="GROUND",(IF($U218="1C",'Catalogue Aluminium'!$O$11,'Catalogue Aluminium'!$P$11)),IF(T218="TRENCH",(IF($U218="1C",'Catalogue Aluminium'!$O$12,'Catalogue Aluminium'!$P$12))))))</f>
        <v>NA</v>
      </c>
      <c r="AM218" s="265" t="str">
        <f>IF(T218="AIR","NA",IF(T218="TRENCH","NA",IF(T218="DUCT",IF(U218="1C",VLOOKUP(V218,'Catalogue Aluminium'!$Q$9:$S$28,2,FALSE),VLOOKUP(V218,'Catalogue Aluminium'!$Q$9:$S$28,3)),IF(T218="GROUND",IF(U218="1C",VLOOKUP(V218,'Catalogue Aluminium'!$Q$9:$S$28,2,FALSE),VLOOKUP(V218,'Catalogue Aluminium'!$Q$9:$S$28,3))))))</f>
        <v>NA</v>
      </c>
      <c r="AN218" s="268">
        <f t="shared" si="640"/>
        <v>0.58740000000000003</v>
      </c>
      <c r="AO218" s="258">
        <f t="shared" si="641"/>
        <v>150.96180000000001</v>
      </c>
      <c r="AP218" s="348">
        <f t="shared" si="466"/>
        <v>1</v>
      </c>
      <c r="AQ218" s="258" t="str">
        <f t="shared" si="642"/>
        <v>YES</v>
      </c>
      <c r="AR218" s="268">
        <f t="shared" si="643"/>
        <v>0</v>
      </c>
      <c r="AS218" s="349" t="str">
        <f t="shared" si="644"/>
        <v>YES</v>
      </c>
      <c r="AT218" s="350">
        <f t="shared" si="645"/>
        <v>0</v>
      </c>
      <c r="AU218" s="264" t="str">
        <f t="shared" si="646"/>
        <v>YES</v>
      </c>
      <c r="AV218" s="269" t="str">
        <f t="shared" si="647"/>
        <v>1R x 0.6/1kV x 3C x 120 Sqmm</v>
      </c>
      <c r="AW218" s="269" t="str">
        <f t="shared" si="648"/>
        <v>1R x 0.6/1kV x 3C x 120+PE Sqmm</v>
      </c>
      <c r="AX218" s="264"/>
      <c r="AY218" s="270"/>
    </row>
    <row r="219" spans="1:51" s="75" customFormat="1" ht="20.149999999999999" hidden="1" customHeight="1">
      <c r="A219" s="262" t="s">
        <v>303</v>
      </c>
      <c r="B219" s="404" t="s">
        <v>382</v>
      </c>
      <c r="C219" s="262" t="str">
        <f t="shared" si="632"/>
        <v>EPMCC-1</v>
      </c>
      <c r="D219" s="290" t="s">
        <v>531</v>
      </c>
      <c r="E219" s="305" t="s">
        <v>310</v>
      </c>
      <c r="F219" s="262" t="s">
        <v>29</v>
      </c>
      <c r="G219" s="262" t="s">
        <v>311</v>
      </c>
      <c r="H219" s="258">
        <v>55</v>
      </c>
      <c r="I219" s="262" t="s">
        <v>299</v>
      </c>
      <c r="J219" s="262" t="s">
        <v>300</v>
      </c>
      <c r="K219" s="259">
        <v>400</v>
      </c>
      <c r="L219" s="264">
        <v>0.85</v>
      </c>
      <c r="M219" s="258">
        <v>0.95400000000000007</v>
      </c>
      <c r="N219" s="263">
        <f t="shared" si="633"/>
        <v>97.901086153810226</v>
      </c>
      <c r="O219" s="263">
        <f t="shared" si="629"/>
        <v>587.40651692286133</v>
      </c>
      <c r="P219" s="264">
        <f t="shared" si="634"/>
        <v>0.2</v>
      </c>
      <c r="Q219" s="258">
        <v>50</v>
      </c>
      <c r="R219" s="258">
        <v>0</v>
      </c>
      <c r="S219" s="258">
        <f t="shared" si="635"/>
        <v>0</v>
      </c>
      <c r="T219" s="264" t="s">
        <v>131</v>
      </c>
      <c r="U219" s="258" t="s">
        <v>302</v>
      </c>
      <c r="V219" s="264">
        <v>120</v>
      </c>
      <c r="W219" s="264" t="str">
        <f t="shared" si="636"/>
        <v>3C X 120</v>
      </c>
      <c r="X219" s="264" t="str">
        <f t="shared" si="637"/>
        <v>3C X 120+PE</v>
      </c>
      <c r="Y219" s="264" t="s">
        <v>314</v>
      </c>
      <c r="Z219" s="265">
        <f>IF(T219="AIR",VLOOKUP(W219,'Catalogue Aluminium'!$B$9:$G$91,2,FALSE),IF(T219="GROUND",VLOOKUP(W219,'Catalogue Aluminium'!$B$9:$G$91,3,FALSE),IF(T219="DUCT",VLOOKUP(W219,'Catalogue Aluminium'!$B$9:$G$91,4,FALSE),IF(T219="TRENCH",VLOOKUP(W219,'Catalogue Aluminium'!$B$9:$G$91,2,FALSE)))))</f>
        <v>257</v>
      </c>
      <c r="AA219" s="266">
        <f>VLOOKUP(W219,'Catalogue Aluminium'!$B$9:$G$91,5,FALSE)</f>
        <v>0.32400000000000001</v>
      </c>
      <c r="AB219" s="266">
        <f>VLOOKUP(W219,'Catalogue Aluminium'!$B$9:$G$91,6,FALSE)</f>
        <v>7.2599999999999998E-2</v>
      </c>
      <c r="AC219" s="406">
        <f>22+7</f>
        <v>29</v>
      </c>
      <c r="AD219" s="264">
        <f t="shared" si="650"/>
        <v>237</v>
      </c>
      <c r="AE219" s="322">
        <f t="shared" si="638"/>
        <v>38</v>
      </c>
      <c r="AF219" s="264">
        <v>8</v>
      </c>
      <c r="AG219" s="264">
        <f t="shared" si="639"/>
        <v>32</v>
      </c>
      <c r="AH219" s="267"/>
      <c r="AI219" s="265">
        <f>IF(T219="AIR",'Catalogue Aluminium'!$K$9,IF(T219="TRENCH",'Catalogue Aluminium'!$K$12,"NA"))</f>
        <v>0.89</v>
      </c>
      <c r="AJ219" s="263">
        <f>IF(T219="Air",(IF(U219="1C",'Catalogue Aluminium'!$L$9,'Catalogue Aluminium'!$M$9)),IF(T219="DUCT",(IF($U219="1C",'Catalogue Aluminium'!$L$10,'Catalogue Aluminium'!$M$10)),IF(T219="GROUND",(IF($U219="1C",'Catalogue Aluminium'!$L$11,'Catalogue Aluminium'!$M$11)),IF(T219="TRENCH",(IF($U219="1C",'Catalogue Aluminium'!$L$12,'Catalogue Aluminium'!$M$12))))))</f>
        <v>0.66</v>
      </c>
      <c r="AK219" s="265" t="str">
        <f>IF(T219="Air",'Catalogue Aluminium'!$N$9,IF(T219="GROUND",'Catalogue Aluminium'!$N$10,IF(T219="DUCT",'Catalogue Aluminium'!$N$11,IF(T219="TRENCH",'Catalogue Aluminium'!$N$12,"NA"))))</f>
        <v>NA</v>
      </c>
      <c r="AL219" s="265" t="str">
        <f>IF(T219="Air",(IF(U219="1C",'Catalogue Aluminium'!$O$9,'Catalogue Aluminium'!$P$9)),IF(T219="DUCT",(IF($U219="1C",'Catalogue Aluminium'!$O$10,'Catalogue Aluminium'!$P$10)),IF(T219="GROUND",(IF($U219="1C",'Catalogue Aluminium'!$O$11,'Catalogue Aluminium'!$P$11)),IF(T219="TRENCH",(IF($U219="1C",'Catalogue Aluminium'!$O$12,'Catalogue Aluminium'!$P$12))))))</f>
        <v>NA</v>
      </c>
      <c r="AM219" s="265" t="str">
        <f>IF(T219="AIR","NA",IF(T219="TRENCH","NA",IF(T219="DUCT",IF(U219="1C",VLOOKUP(V219,'Catalogue Aluminium'!$Q$9:$S$28,2,FALSE),VLOOKUP(V219,'Catalogue Aluminium'!$Q$9:$S$28,3)),IF(T219="GROUND",IF(U219="1C",VLOOKUP(V219,'Catalogue Aluminium'!$Q$9:$S$28,2,FALSE),VLOOKUP(V219,'Catalogue Aluminium'!$Q$9:$S$28,3))))))</f>
        <v>NA</v>
      </c>
      <c r="AN219" s="268">
        <f t="shared" si="640"/>
        <v>0.58740000000000003</v>
      </c>
      <c r="AO219" s="258">
        <f t="shared" si="641"/>
        <v>150.96180000000001</v>
      </c>
      <c r="AP219" s="348">
        <f t="shared" si="466"/>
        <v>1</v>
      </c>
      <c r="AQ219" s="258" t="str">
        <f t="shared" si="642"/>
        <v>YES</v>
      </c>
      <c r="AR219" s="268">
        <f t="shared" si="643"/>
        <v>0</v>
      </c>
      <c r="AS219" s="349" t="str">
        <f t="shared" si="644"/>
        <v>YES</v>
      </c>
      <c r="AT219" s="350">
        <f t="shared" si="645"/>
        <v>0</v>
      </c>
      <c r="AU219" s="264" t="str">
        <f t="shared" si="646"/>
        <v>YES</v>
      </c>
      <c r="AV219" s="269" t="str">
        <f t="shared" si="647"/>
        <v>1R x 0.6/1kV x 3C x 120 Sqmm</v>
      </c>
      <c r="AW219" s="269" t="str">
        <f t="shared" si="648"/>
        <v>1R x 0.6/1kV x 3C x 120+PE Sqmm</v>
      </c>
      <c r="AX219" s="264"/>
      <c r="AY219" s="270"/>
    </row>
    <row r="220" spans="1:51" ht="34.5" customHeight="1">
      <c r="A220" s="243">
        <f>1+A217</f>
        <v>147</v>
      </c>
      <c r="B220" s="599" t="s">
        <v>1046</v>
      </c>
      <c r="C220" s="243" t="str">
        <f t="shared" si="632"/>
        <v>EPMCC-1</v>
      </c>
      <c r="D220" s="272" t="s">
        <v>532</v>
      </c>
      <c r="E220" s="320" t="s">
        <v>310</v>
      </c>
      <c r="F220" s="243" t="s">
        <v>28</v>
      </c>
      <c r="G220" s="243" t="s">
        <v>311</v>
      </c>
      <c r="H220" s="304">
        <v>5.5</v>
      </c>
      <c r="I220" s="243" t="s">
        <v>299</v>
      </c>
      <c r="J220" s="243" t="s">
        <v>300</v>
      </c>
      <c r="K220" s="255">
        <v>400</v>
      </c>
      <c r="L220" s="249">
        <v>0.79</v>
      </c>
      <c r="M220" s="256">
        <v>0.8859999999999999</v>
      </c>
      <c r="N220" s="248">
        <f t="shared" si="633"/>
        <v>11.342113718622269</v>
      </c>
      <c r="O220" s="248">
        <f t="shared" si="629"/>
        <v>68.052682311733605</v>
      </c>
      <c r="P220" s="249">
        <f t="shared" si="634"/>
        <v>0.2</v>
      </c>
      <c r="Q220" s="256">
        <v>50</v>
      </c>
      <c r="R220" s="256">
        <v>0</v>
      </c>
      <c r="S220" s="256">
        <f t="shared" si="635"/>
        <v>0</v>
      </c>
      <c r="T220" s="249" t="s">
        <v>131</v>
      </c>
      <c r="U220" s="256" t="s">
        <v>302</v>
      </c>
      <c r="V220" s="249">
        <v>25</v>
      </c>
      <c r="W220" s="249" t="str">
        <f t="shared" si="636"/>
        <v>3C X 25</v>
      </c>
      <c r="X220" s="249" t="str">
        <f t="shared" si="637"/>
        <v>3C X 25+PE</v>
      </c>
      <c r="Y220" s="249" t="s">
        <v>314</v>
      </c>
      <c r="Z220" s="250">
        <f>IF(T220="AIR",VLOOKUP(W220,'Catalogue Aluminium'!$B$9:$G$91,2,FALSE),IF(T220="GROUND",VLOOKUP(W220,'Catalogue Aluminium'!$B$9:$G$91,3,FALSE),IF(T220="DUCT",VLOOKUP(W220,'Catalogue Aluminium'!$B$9:$G$91,4,FALSE),IF(T220="TRENCH",VLOOKUP(W220,'Catalogue Aluminium'!$B$9:$G$91,2,FALSE)))))</f>
        <v>95</v>
      </c>
      <c r="AA220" s="251">
        <f>VLOOKUP(W220,'Catalogue Aluminium'!$B$9:$G$91,5,FALSE)</f>
        <v>1.54</v>
      </c>
      <c r="AB220" s="251">
        <f>VLOOKUP(W220,'Catalogue Aluminium'!$B$9:$G$91,6,FALSE)</f>
        <v>8.1600000000000006E-2</v>
      </c>
      <c r="AC220" s="323">
        <f t="shared" ref="AC220" si="651">32+6</f>
        <v>38</v>
      </c>
      <c r="AD220" s="294">
        <f>40+50+38+50+17+(27+46)</f>
        <v>268</v>
      </c>
      <c r="AE220" s="294">
        <f t="shared" si="638"/>
        <v>38</v>
      </c>
      <c r="AF220" s="294">
        <v>8</v>
      </c>
      <c r="AG220" s="294">
        <f t="shared" si="639"/>
        <v>36</v>
      </c>
      <c r="AH220" s="253">
        <f t="shared" si="649"/>
        <v>388</v>
      </c>
      <c r="AI220" s="250">
        <f>IF(T220="AIR",'Catalogue Aluminium'!$K$9,IF(T220="TRENCH",'Catalogue Aluminium'!$K$12,"NA"))</f>
        <v>0.89</v>
      </c>
      <c r="AJ220" s="248">
        <f>IF(T220="Air",(IF(U220="1C",'Catalogue Aluminium'!$L$9,'Catalogue Aluminium'!$M$9)),IF(T220="DUCT",(IF($U220="1C",'Catalogue Aluminium'!$L$10,'Catalogue Aluminium'!$M$10)),IF(T220="GROUND",(IF($U220="1C",'Catalogue Aluminium'!$L$11,'Catalogue Aluminium'!$M$11)),IF(T220="TRENCH",(IF($U220="1C",'Catalogue Aluminium'!$L$12,'Catalogue Aluminium'!$M$12))))))</f>
        <v>0.66</v>
      </c>
      <c r="AK220" s="250" t="str">
        <f>IF(T220="Air",'Catalogue Aluminium'!$N$9,IF(T220="GROUND",'Catalogue Aluminium'!$N$10,IF(T220="DUCT",'Catalogue Aluminium'!$N$11,IF(T220="TRENCH",'Catalogue Aluminium'!$N$12,"NA"))))</f>
        <v>NA</v>
      </c>
      <c r="AL220" s="250" t="str">
        <f>IF(T220="Air",(IF(U220="1C",'Catalogue Aluminium'!$O$9,'Catalogue Aluminium'!$P$9)),IF(T220="DUCT",(IF($U220="1C",'Catalogue Aluminium'!$O$10,'Catalogue Aluminium'!$P$10)),IF(T220="GROUND",(IF($U220="1C",'Catalogue Aluminium'!$O$11,'Catalogue Aluminium'!$P$11)),IF(T220="TRENCH",(IF($U220="1C",'Catalogue Aluminium'!$O$12,'Catalogue Aluminium'!$P$12))))))</f>
        <v>NA</v>
      </c>
      <c r="AM220" s="250" t="str">
        <f>IF(T220="AIR","NA",IF(T220="TRENCH","NA",IF(T220="DUCT",IF(U220="1C",VLOOKUP(V220,'Catalogue Aluminium'!$Q$9:$S$28,2,FALSE),VLOOKUP(V220,'Catalogue Aluminium'!$Q$9:$S$28,3)),IF(T220="GROUND",IF(U220="1C",VLOOKUP(V220,'Catalogue Aluminium'!$Q$9:$S$28,2,FALSE),VLOOKUP(V220,'Catalogue Aluminium'!$Q$9:$S$28,3))))))</f>
        <v>NA</v>
      </c>
      <c r="AN220" s="257">
        <f t="shared" si="640"/>
        <v>0.58740000000000003</v>
      </c>
      <c r="AO220" s="256">
        <f t="shared" si="641"/>
        <v>55.803000000000004</v>
      </c>
      <c r="AP220" s="255">
        <f t="shared" si="466"/>
        <v>1</v>
      </c>
      <c r="AQ220" s="256" t="str">
        <f t="shared" si="642"/>
        <v>YES</v>
      </c>
      <c r="AR220" s="257">
        <f t="shared" si="643"/>
        <v>2.4136592808206223</v>
      </c>
      <c r="AS220" s="249" t="str">
        <f t="shared" si="644"/>
        <v>YES</v>
      </c>
      <c r="AT220" s="257">
        <f t="shared" si="645"/>
        <v>4.4356254989063375</v>
      </c>
      <c r="AU220" s="249" t="str">
        <f t="shared" si="646"/>
        <v>YES</v>
      </c>
      <c r="AV220" s="260" t="str">
        <f t="shared" si="647"/>
        <v>1R x 0.6/1kV x 3C x 25 Sqmm</v>
      </c>
      <c r="AW220" s="260" t="str">
        <f t="shared" si="648"/>
        <v>1R x 0.6/1kV x 3C x 25+PE Sqmm</v>
      </c>
      <c r="AX220" s="249">
        <f>(IF(K220=400,(IF(U220="1C",(4*AH220*AP220),(AH220*AP220))),IF(K220=230,(AH220*AP220))))</f>
        <v>388</v>
      </c>
      <c r="AY220" s="261"/>
    </row>
    <row r="221" spans="1:51" s="75" customFormat="1" ht="20.149999999999999" hidden="1" customHeight="1">
      <c r="A221" s="262" t="s">
        <v>303</v>
      </c>
      <c r="B221" s="404" t="s">
        <v>382</v>
      </c>
      <c r="C221" s="262" t="str">
        <f t="shared" si="632"/>
        <v>EPMCC-1</v>
      </c>
      <c r="D221" s="290" t="s">
        <v>447</v>
      </c>
      <c r="E221" s="305" t="s">
        <v>310</v>
      </c>
      <c r="F221" s="262" t="s">
        <v>28</v>
      </c>
      <c r="G221" s="262" t="s">
        <v>298</v>
      </c>
      <c r="H221" s="258">
        <v>25</v>
      </c>
      <c r="I221" s="262" t="s">
        <v>299</v>
      </c>
      <c r="J221" s="262" t="s">
        <v>300</v>
      </c>
      <c r="K221" s="259">
        <v>400</v>
      </c>
      <c r="L221" s="264">
        <v>0.85</v>
      </c>
      <c r="M221" s="258">
        <v>0.95</v>
      </c>
      <c r="N221" s="263">
        <f t="shared" si="633"/>
        <v>44.687864206093288</v>
      </c>
      <c r="O221" s="263">
        <f t="shared" si="629"/>
        <v>0</v>
      </c>
      <c r="P221" s="264" t="str">
        <f t="shared" si="634"/>
        <v>0.00</v>
      </c>
      <c r="Q221" s="258">
        <v>50</v>
      </c>
      <c r="R221" s="258">
        <v>0</v>
      </c>
      <c r="S221" s="258">
        <f t="shared" si="635"/>
        <v>0</v>
      </c>
      <c r="T221" s="264" t="s">
        <v>131</v>
      </c>
      <c r="U221" s="258" t="s">
        <v>390</v>
      </c>
      <c r="V221" s="264">
        <v>120</v>
      </c>
      <c r="W221" s="264" t="str">
        <f t="shared" si="636"/>
        <v>3.5C X 120</v>
      </c>
      <c r="X221" s="264" t="str">
        <f t="shared" si="637"/>
        <v>3.5C X 120</v>
      </c>
      <c r="Y221" s="264" t="s">
        <v>314</v>
      </c>
      <c r="Z221" s="265">
        <f>IF(T221="AIR",VLOOKUP(W221,'Catalogue Aluminium'!$B$9:$G$91,2,FALSE),IF(T221="GROUND",VLOOKUP(W221,'Catalogue Aluminium'!$B$9:$G$91,3,FALSE),IF(T221="DUCT",VLOOKUP(W221,'Catalogue Aluminium'!$B$9:$G$91,4,FALSE),IF(T221="TRENCH",VLOOKUP(W221,'Catalogue Aluminium'!$B$9:$G$91,2,FALSE)))))</f>
        <v>257</v>
      </c>
      <c r="AA221" s="266">
        <f>VLOOKUP(W221,'Catalogue Aluminium'!$B$9:$G$91,5,FALSE)</f>
        <v>0.32400000000000001</v>
      </c>
      <c r="AB221" s="266">
        <f>VLOOKUP(W221,'Catalogue Aluminium'!$B$9:$G$91,6,FALSE)</f>
        <v>7.2599999999999998E-2</v>
      </c>
      <c r="AC221" s="406">
        <f>28+7</f>
        <v>35</v>
      </c>
      <c r="AD221" s="264">
        <f t="shared" si="650"/>
        <v>237</v>
      </c>
      <c r="AE221" s="322">
        <f t="shared" si="638"/>
        <v>38</v>
      </c>
      <c r="AF221" s="264">
        <v>8</v>
      </c>
      <c r="AG221" s="264">
        <f t="shared" si="639"/>
        <v>32</v>
      </c>
      <c r="AH221" s="267"/>
      <c r="AI221" s="265">
        <f>IF(T221="AIR",'Catalogue Aluminium'!$K$9,IF(T221="TRENCH",'Catalogue Aluminium'!$K$12,"NA"))</f>
        <v>0.89</v>
      </c>
      <c r="AJ221" s="263">
        <f>IF(T221="Air",(IF(U221="1C",'Catalogue Aluminium'!$L$9,'Catalogue Aluminium'!$M$9)),IF(T221="DUCT",(IF($U221="1C",'Catalogue Aluminium'!$L$10,'Catalogue Aluminium'!$M$10)),IF(T221="GROUND",(IF($U221="1C",'Catalogue Aluminium'!$L$11,'Catalogue Aluminium'!$M$11)),IF(T221="TRENCH",(IF($U221="1C",'Catalogue Aluminium'!$L$12,'Catalogue Aluminium'!$M$12))))))</f>
        <v>0.66</v>
      </c>
      <c r="AK221" s="265" t="str">
        <f>IF(T221="Air",'Catalogue Aluminium'!$N$9,IF(T221="GROUND",'Catalogue Aluminium'!$N$10,IF(T221="DUCT",'Catalogue Aluminium'!$N$11,IF(T221="TRENCH",'Catalogue Aluminium'!$N$12,"NA"))))</f>
        <v>NA</v>
      </c>
      <c r="AL221" s="265" t="str">
        <f>IF(T221="Air",(IF(U221="1C",'Catalogue Aluminium'!$O$9,'Catalogue Aluminium'!$P$9)),IF(T221="DUCT",(IF($U221="1C",'Catalogue Aluminium'!$O$10,'Catalogue Aluminium'!$P$10)),IF(T221="GROUND",(IF($U221="1C",'Catalogue Aluminium'!$O$11,'Catalogue Aluminium'!$P$11)),IF(T221="TRENCH",(IF($U221="1C",'Catalogue Aluminium'!$O$12,'Catalogue Aluminium'!$P$12))))))</f>
        <v>NA</v>
      </c>
      <c r="AM221" s="265" t="str">
        <f>IF(T221="AIR","NA",IF(T221="TRENCH","NA",IF(T221="DUCT",IF(U221="1C",VLOOKUP(V221,'Catalogue Aluminium'!$Q$9:$S$28,2,FALSE),VLOOKUP(V221,'Catalogue Aluminium'!$Q$9:$S$28,3)),IF(T221="GROUND",IF(U221="1C",VLOOKUP(V221,'Catalogue Aluminium'!$Q$9:$S$28,2,FALSE),VLOOKUP(V221,'Catalogue Aluminium'!$Q$9:$S$28,3))))))</f>
        <v>NA</v>
      </c>
      <c r="AN221" s="268">
        <f t="shared" si="640"/>
        <v>0.58740000000000003</v>
      </c>
      <c r="AO221" s="258">
        <f t="shared" si="641"/>
        <v>150.96180000000001</v>
      </c>
      <c r="AP221" s="259">
        <f t="shared" si="466"/>
        <v>1</v>
      </c>
      <c r="AQ221" s="258" t="str">
        <f t="shared" si="642"/>
        <v>YES</v>
      </c>
      <c r="AR221" s="268">
        <f t="shared" si="643"/>
        <v>0</v>
      </c>
      <c r="AS221" s="349" t="str">
        <f t="shared" si="644"/>
        <v>YES</v>
      </c>
      <c r="AT221" s="350" t="str">
        <f t="shared" si="645"/>
        <v>NA</v>
      </c>
      <c r="AU221" s="264" t="str">
        <f t="shared" si="646"/>
        <v>NA</v>
      </c>
      <c r="AV221" s="269" t="str">
        <f t="shared" si="647"/>
        <v>1R x 0.6/1kV x 3.5C x 120 Sqmm</v>
      </c>
      <c r="AW221" s="269" t="str">
        <f t="shared" si="648"/>
        <v>1R x 0.6/1kV x 3.5C x 120 Sqmm</v>
      </c>
      <c r="AX221" s="264"/>
      <c r="AY221" s="270"/>
    </row>
    <row r="222" spans="1:51" s="75" customFormat="1" ht="20.149999999999999" hidden="1" customHeight="1">
      <c r="A222" s="262" t="s">
        <v>303</v>
      </c>
      <c r="B222" s="404" t="s">
        <v>382</v>
      </c>
      <c r="C222" s="262" t="str">
        <f t="shared" si="632"/>
        <v>EPMCC-1</v>
      </c>
      <c r="D222" s="290" t="s">
        <v>533</v>
      </c>
      <c r="E222" s="305" t="s">
        <v>310</v>
      </c>
      <c r="F222" s="262" t="s">
        <v>29</v>
      </c>
      <c r="G222" s="262" t="s">
        <v>298</v>
      </c>
      <c r="H222" s="258">
        <v>1.5</v>
      </c>
      <c r="I222" s="262" t="s">
        <v>299</v>
      </c>
      <c r="J222" s="262" t="s">
        <v>300</v>
      </c>
      <c r="K222" s="259">
        <v>400</v>
      </c>
      <c r="L222" s="264">
        <v>0.85</v>
      </c>
      <c r="M222" s="258">
        <v>0.95</v>
      </c>
      <c r="N222" s="263">
        <f t="shared" si="633"/>
        <v>2.681271852365597</v>
      </c>
      <c r="O222" s="263">
        <f t="shared" si="629"/>
        <v>0</v>
      </c>
      <c r="P222" s="264" t="str">
        <f t="shared" si="634"/>
        <v>0.00</v>
      </c>
      <c r="Q222" s="258">
        <v>50</v>
      </c>
      <c r="R222" s="258">
        <v>0</v>
      </c>
      <c r="S222" s="258">
        <f t="shared" si="635"/>
        <v>0</v>
      </c>
      <c r="T222" s="264" t="s">
        <v>131</v>
      </c>
      <c r="U222" s="258" t="s">
        <v>377</v>
      </c>
      <c r="V222" s="264">
        <v>4</v>
      </c>
      <c r="W222" s="264" t="str">
        <f t="shared" si="636"/>
        <v>4C X 4</v>
      </c>
      <c r="X222" s="264" t="str">
        <f t="shared" si="637"/>
        <v>4C X 4</v>
      </c>
      <c r="Y222" s="264" t="s">
        <v>314</v>
      </c>
      <c r="Z222" s="265">
        <f>IF(T222="AIR",VLOOKUP(W222,'Catalogue Aluminium'!$B$9:$G$91,2,FALSE),IF(T222="GROUND",VLOOKUP(W222,'Catalogue Aluminium'!$B$9:$G$91,3,FALSE),IF(T222="DUCT",VLOOKUP(W222,'Catalogue Aluminium'!$B$9:$G$91,4,FALSE),IF(T222="TRENCH",VLOOKUP(W222,'Catalogue Aluminium'!$B$9:$G$91,2,FALSE)))))</f>
        <v>38</v>
      </c>
      <c r="AA222" s="266">
        <f>VLOOKUP(W222,'Catalogue Aluminium'!$B$9:$G$91,5,FALSE)</f>
        <v>5.9</v>
      </c>
      <c r="AB222" s="266">
        <f>VLOOKUP(W222,'Catalogue Aluminium'!$B$9:$G$91,6,FALSE)</f>
        <v>9.4700000000000006E-2</v>
      </c>
      <c r="AC222" s="406">
        <f>22+7</f>
        <v>29</v>
      </c>
      <c r="AD222" s="264">
        <f t="shared" si="650"/>
        <v>237</v>
      </c>
      <c r="AE222" s="322">
        <f t="shared" si="638"/>
        <v>38</v>
      </c>
      <c r="AF222" s="264">
        <v>8</v>
      </c>
      <c r="AG222" s="264">
        <f t="shared" si="639"/>
        <v>32</v>
      </c>
      <c r="AH222" s="267"/>
      <c r="AI222" s="265">
        <f>IF(T222="AIR",'Catalogue Aluminium'!$K$9,IF(T222="TRENCH",'Catalogue Aluminium'!$K$12,"NA"))</f>
        <v>0.89</v>
      </c>
      <c r="AJ222" s="263">
        <f>IF(T222="Air",(IF(U222="1C",'Catalogue Aluminium'!$L$9,'Catalogue Aluminium'!$M$9)),IF(T222="DUCT",(IF($U222="1C",'Catalogue Aluminium'!$L$10,'Catalogue Aluminium'!$M$10)),IF(T222="GROUND",(IF($U222="1C",'Catalogue Aluminium'!$L$11,'Catalogue Aluminium'!$M$11)),IF(T222="TRENCH",(IF($U222="1C",'Catalogue Aluminium'!$L$12,'Catalogue Aluminium'!$M$12))))))</f>
        <v>0.66</v>
      </c>
      <c r="AK222" s="265" t="str">
        <f>IF(T222="Air",'Catalogue Aluminium'!$N$9,IF(T222="GROUND",'Catalogue Aluminium'!$N$10,IF(T222="DUCT",'Catalogue Aluminium'!$N$11,IF(T222="TRENCH",'Catalogue Aluminium'!$N$12,"NA"))))</f>
        <v>NA</v>
      </c>
      <c r="AL222" s="265" t="str">
        <f>IF(T222="Air",(IF(U222="1C",'Catalogue Aluminium'!$O$9,'Catalogue Aluminium'!$P$9)),IF(T222="DUCT",(IF($U222="1C",'Catalogue Aluminium'!$O$10,'Catalogue Aluminium'!$P$10)),IF(T222="GROUND",(IF($U222="1C",'Catalogue Aluminium'!$O$11,'Catalogue Aluminium'!$P$11)),IF(T222="TRENCH",(IF($U222="1C",'Catalogue Aluminium'!$O$12,'Catalogue Aluminium'!$P$12))))))</f>
        <v>NA</v>
      </c>
      <c r="AM222" s="265" t="str">
        <f>IF(T222="AIR","NA",IF(T222="TRENCH","NA",IF(T222="DUCT",IF(U222="1C",VLOOKUP(V222,'Catalogue Aluminium'!$Q$9:$S$28,2,FALSE),VLOOKUP(V222,'Catalogue Aluminium'!$Q$9:$S$28,3)),IF(T222="GROUND",IF(U222="1C",VLOOKUP(V222,'Catalogue Aluminium'!$Q$9:$S$28,2,FALSE),VLOOKUP(V222,'Catalogue Aluminium'!$Q$9:$S$28,3))))))</f>
        <v>NA</v>
      </c>
      <c r="AN222" s="268">
        <f t="shared" si="640"/>
        <v>0.58740000000000003</v>
      </c>
      <c r="AO222" s="258">
        <f t="shared" si="641"/>
        <v>22.321200000000001</v>
      </c>
      <c r="AP222" s="259">
        <f t="shared" si="466"/>
        <v>1</v>
      </c>
      <c r="AQ222" s="258" t="str">
        <f t="shared" si="642"/>
        <v>YES</v>
      </c>
      <c r="AR222" s="268">
        <f t="shared" si="643"/>
        <v>0</v>
      </c>
      <c r="AS222" s="349" t="str">
        <f t="shared" si="644"/>
        <v>YES</v>
      </c>
      <c r="AT222" s="350" t="str">
        <f t="shared" si="645"/>
        <v>NA</v>
      </c>
      <c r="AU222" s="264" t="str">
        <f t="shared" si="646"/>
        <v>NA</v>
      </c>
      <c r="AV222" s="269" t="str">
        <f t="shared" si="647"/>
        <v>1R x 0.6/1kV x 4C x 4 Sqmm</v>
      </c>
      <c r="AW222" s="269" t="str">
        <f t="shared" si="648"/>
        <v>1R x 0.6/1kV x 4C x 4 Sqmm</v>
      </c>
      <c r="AX222" s="264"/>
      <c r="AY222" s="270"/>
    </row>
    <row r="223" spans="1:51" s="75" customFormat="1" ht="20.149999999999999" hidden="1" customHeight="1">
      <c r="A223" s="262" t="s">
        <v>303</v>
      </c>
      <c r="B223" s="404" t="s">
        <v>382</v>
      </c>
      <c r="C223" s="262" t="str">
        <f t="shared" si="632"/>
        <v>EPMCC-1</v>
      </c>
      <c r="D223" s="290" t="s">
        <v>534</v>
      </c>
      <c r="E223" s="305" t="s">
        <v>310</v>
      </c>
      <c r="F223" s="262" t="s">
        <v>29</v>
      </c>
      <c r="G223" s="262" t="s">
        <v>298</v>
      </c>
      <c r="H223" s="258">
        <v>40</v>
      </c>
      <c r="I223" s="262" t="s">
        <v>299</v>
      </c>
      <c r="J223" s="262" t="s">
        <v>300</v>
      </c>
      <c r="K223" s="259">
        <v>400</v>
      </c>
      <c r="L223" s="264">
        <v>0.85</v>
      </c>
      <c r="M223" s="258">
        <v>0.95</v>
      </c>
      <c r="N223" s="263">
        <f t="shared" si="633"/>
        <v>71.500582729749254</v>
      </c>
      <c r="O223" s="263">
        <f t="shared" si="629"/>
        <v>0</v>
      </c>
      <c r="P223" s="264" t="str">
        <f t="shared" si="634"/>
        <v>0.00</v>
      </c>
      <c r="Q223" s="258">
        <v>50</v>
      </c>
      <c r="R223" s="258">
        <v>0</v>
      </c>
      <c r="S223" s="258">
        <f t="shared" si="635"/>
        <v>0</v>
      </c>
      <c r="T223" s="264" t="s">
        <v>131</v>
      </c>
      <c r="U223" s="258" t="s">
        <v>390</v>
      </c>
      <c r="V223" s="264">
        <v>185</v>
      </c>
      <c r="W223" s="264" t="str">
        <f t="shared" si="636"/>
        <v>3.5C X 185</v>
      </c>
      <c r="X223" s="264" t="str">
        <f t="shared" si="637"/>
        <v>3.5C X 185</v>
      </c>
      <c r="Y223" s="264" t="s">
        <v>314</v>
      </c>
      <c r="Z223" s="265">
        <f>IF(T223="AIR",VLOOKUP(W223,'Catalogue Aluminium'!$B$9:$G$91,2,FALSE),IF(T223="GROUND",VLOOKUP(W223,'Catalogue Aluminium'!$B$9:$G$91,3,FALSE),IF(T223="DUCT",VLOOKUP(W223,'Catalogue Aluminium'!$B$9:$G$91,4,FALSE),IF(T223="TRENCH",VLOOKUP(W223,'Catalogue Aluminium'!$B$9:$G$91,2,FALSE)))))</f>
        <v>338</v>
      </c>
      <c r="AA223" s="266">
        <f>VLOOKUP(W223,'Catalogue Aluminium'!$B$9:$G$91,5,FALSE)</f>
        <v>0.21</v>
      </c>
      <c r="AB223" s="266">
        <f>VLOOKUP(W223,'Catalogue Aluminium'!$B$9:$G$91,6,FALSE)</f>
        <v>7.2700000000000001E-2</v>
      </c>
      <c r="AC223" s="406">
        <f>22+7</f>
        <v>29</v>
      </c>
      <c r="AD223" s="264">
        <f t="shared" si="650"/>
        <v>237</v>
      </c>
      <c r="AE223" s="264">
        <f t="shared" si="638"/>
        <v>38</v>
      </c>
      <c r="AF223" s="264">
        <v>8</v>
      </c>
      <c r="AG223" s="264">
        <f t="shared" si="639"/>
        <v>32</v>
      </c>
      <c r="AH223" s="267"/>
      <c r="AI223" s="265">
        <f>IF(T223="AIR",'Catalogue Aluminium'!$K$9,IF(T223="TRENCH",'Catalogue Aluminium'!$K$12,"NA"))</f>
        <v>0.89</v>
      </c>
      <c r="AJ223" s="263">
        <f>IF(T223="Air",(IF(U223="1C",'Catalogue Aluminium'!$L$9,'Catalogue Aluminium'!$M$9)),IF(T223="DUCT",(IF($U223="1C",'Catalogue Aluminium'!$L$10,'Catalogue Aluminium'!$M$10)),IF(T223="GROUND",(IF($U223="1C",'Catalogue Aluminium'!$L$11,'Catalogue Aluminium'!$M$11)),IF(T223="TRENCH",(IF($U223="1C",'Catalogue Aluminium'!$L$12,'Catalogue Aluminium'!$M$12))))))</f>
        <v>0.66</v>
      </c>
      <c r="AK223" s="265" t="str">
        <f>IF(T223="Air",'Catalogue Aluminium'!$N$9,IF(T223="GROUND",'Catalogue Aluminium'!$N$10,IF(T223="DUCT",'Catalogue Aluminium'!$N$11,IF(T223="TRENCH",'Catalogue Aluminium'!$N$12,"NA"))))</f>
        <v>NA</v>
      </c>
      <c r="AL223" s="265" t="str">
        <f>IF(T223="Air",(IF(U223="1C",'Catalogue Aluminium'!$O$9,'Catalogue Aluminium'!$P$9)),IF(T223="DUCT",(IF($U223="1C",'Catalogue Aluminium'!$O$10,'Catalogue Aluminium'!$P$10)),IF(T223="GROUND",(IF($U223="1C",'Catalogue Aluminium'!$O$11,'Catalogue Aluminium'!$P$11)),IF(T223="TRENCH",(IF($U223="1C",'Catalogue Aluminium'!$O$12,'Catalogue Aluminium'!$P$12))))))</f>
        <v>NA</v>
      </c>
      <c r="AM223" s="265" t="str">
        <f>IF(T223="AIR","NA",IF(T223="TRENCH","NA",IF(T223="DUCT",IF(U223="1C",VLOOKUP(V223,'Catalogue Aluminium'!$Q$9:$S$28,2,FALSE),VLOOKUP(V223,'Catalogue Aluminium'!$Q$9:$S$28,3)),IF(T223="GROUND",IF(U223="1C",VLOOKUP(V223,'Catalogue Aluminium'!$Q$9:$S$28,2,FALSE),VLOOKUP(V223,'Catalogue Aluminium'!$Q$9:$S$28,3))))))</f>
        <v>NA</v>
      </c>
      <c r="AN223" s="268">
        <f t="shared" si="640"/>
        <v>0.58740000000000003</v>
      </c>
      <c r="AO223" s="258">
        <f t="shared" si="641"/>
        <v>198.5412</v>
      </c>
      <c r="AP223" s="259">
        <f t="shared" si="466"/>
        <v>1</v>
      </c>
      <c r="AQ223" s="258" t="str">
        <f t="shared" si="642"/>
        <v>YES</v>
      </c>
      <c r="AR223" s="268">
        <f t="shared" si="643"/>
        <v>0</v>
      </c>
      <c r="AS223" s="349" t="str">
        <f t="shared" si="644"/>
        <v>YES</v>
      </c>
      <c r="AT223" s="350" t="str">
        <f t="shared" si="645"/>
        <v>NA</v>
      </c>
      <c r="AU223" s="264" t="str">
        <f t="shared" si="646"/>
        <v>NA</v>
      </c>
      <c r="AV223" s="269" t="str">
        <f t="shared" si="647"/>
        <v>1R x 0.6/1kV x 3.5C x 185 Sqmm</v>
      </c>
      <c r="AW223" s="269" t="str">
        <f t="shared" si="648"/>
        <v>1R x 0.6/1kV x 3.5C x 185 Sqmm</v>
      </c>
      <c r="AX223" s="264"/>
      <c r="AY223" s="270"/>
    </row>
    <row r="224" spans="1:51" ht="20.149999999999999" customHeight="1">
      <c r="A224" s="243">
        <f>1+A220</f>
        <v>148</v>
      </c>
      <c r="B224" s="373" t="s">
        <v>382</v>
      </c>
      <c r="C224" s="243" t="str">
        <f t="shared" si="632"/>
        <v>EPMCC-1</v>
      </c>
      <c r="D224" s="244" t="s">
        <v>535</v>
      </c>
      <c r="E224" s="351" t="s">
        <v>410</v>
      </c>
      <c r="F224" s="364" t="s">
        <v>28</v>
      </c>
      <c r="G224" s="243" t="s">
        <v>298</v>
      </c>
      <c r="H224" s="421">
        <v>1.45</v>
      </c>
      <c r="I224" s="243" t="s">
        <v>299</v>
      </c>
      <c r="J224" s="243" t="s">
        <v>313</v>
      </c>
      <c r="K224" s="255">
        <v>230</v>
      </c>
      <c r="L224" s="249">
        <v>0.85</v>
      </c>
      <c r="M224" s="256">
        <v>0.95</v>
      </c>
      <c r="N224" s="248">
        <f t="shared" si="633"/>
        <v>7.8072418898909683</v>
      </c>
      <c r="O224" s="248">
        <f t="shared" si="629"/>
        <v>0</v>
      </c>
      <c r="P224" s="249" t="str">
        <f t="shared" si="634"/>
        <v>0.00</v>
      </c>
      <c r="Q224" s="256">
        <v>50</v>
      </c>
      <c r="R224" s="256">
        <v>0</v>
      </c>
      <c r="S224" s="256">
        <f t="shared" si="635"/>
        <v>0</v>
      </c>
      <c r="T224" s="249" t="s">
        <v>131</v>
      </c>
      <c r="U224" s="256" t="s">
        <v>302</v>
      </c>
      <c r="V224" s="249">
        <v>16</v>
      </c>
      <c r="W224" s="249" t="str">
        <f t="shared" si="636"/>
        <v>3C X 16</v>
      </c>
      <c r="X224" s="249" t="str">
        <f t="shared" si="637"/>
        <v>3C X 16</v>
      </c>
      <c r="Y224" s="249" t="s">
        <v>314</v>
      </c>
      <c r="Z224" s="250">
        <f>IF(T224="AIR",VLOOKUP(W224,'Catalogue Aluminium'!$B$9:$G$91,2,FALSE),IF(T224="GROUND",VLOOKUP(W224,'Catalogue Aluminium'!$B$9:$G$91,3,FALSE),IF(T224="DUCT",VLOOKUP(W224,'Catalogue Aluminium'!$B$9:$G$91,4,FALSE),IF(T224="TRENCH",VLOOKUP(W224,'Catalogue Aluminium'!$B$9:$G$91,2,FALSE)))))</f>
        <v>70</v>
      </c>
      <c r="AA224" s="251">
        <f>VLOOKUP(W224,'Catalogue Aluminium'!$B$9:$G$91,5,FALSE)</f>
        <v>2.44</v>
      </c>
      <c r="AB224" s="251">
        <f>VLOOKUP(W224,'Catalogue Aluminium'!$B$9:$G$91,6,FALSE)</f>
        <v>8.1500000000000003E-2</v>
      </c>
      <c r="AC224" s="323">
        <f>32+6</f>
        <v>38</v>
      </c>
      <c r="AD224" s="294">
        <v>80</v>
      </c>
      <c r="AE224" s="294">
        <v>5</v>
      </c>
      <c r="AF224" s="294">
        <v>8</v>
      </c>
      <c r="AG224" s="294">
        <f t="shared" si="639"/>
        <v>14</v>
      </c>
      <c r="AH224" s="253">
        <f t="shared" si="649"/>
        <v>145</v>
      </c>
      <c r="AI224" s="250">
        <f>IF(T224="AIR",'Catalogue Aluminium'!$K$9,IF(T224="TRENCH",'Catalogue Aluminium'!$K$12,"NA"))</f>
        <v>0.89</v>
      </c>
      <c r="AJ224" s="248">
        <f>IF(T224="Air",(IF(U224="1C",'Catalogue Aluminium'!$L$9,'Catalogue Aluminium'!$M$9)),IF(T224="DUCT",(IF($U224="1C",'Catalogue Aluminium'!$L$10,'Catalogue Aluminium'!$M$10)),IF(T224="GROUND",(IF($U224="1C",'Catalogue Aluminium'!$L$11,'Catalogue Aluminium'!$M$11)),IF(T224="TRENCH",(IF($U224="1C",'Catalogue Aluminium'!$L$12,'Catalogue Aluminium'!$M$12))))))</f>
        <v>0.66</v>
      </c>
      <c r="AK224" s="250" t="str">
        <f>IF(T224="Air",'Catalogue Aluminium'!$N$9,IF(T224="GROUND",'Catalogue Aluminium'!$N$10,IF(T224="DUCT",'Catalogue Aluminium'!$N$11,IF(T224="TRENCH",'Catalogue Aluminium'!$N$12,"NA"))))</f>
        <v>NA</v>
      </c>
      <c r="AL224" s="250" t="str">
        <f>IF(T224="Air",(IF(U224="1C",'Catalogue Aluminium'!$O$9,'Catalogue Aluminium'!$P$9)),IF(T224="DUCT",(IF($U224="1C",'Catalogue Aluminium'!$O$10,'Catalogue Aluminium'!$P$10)),IF(T224="GROUND",(IF($U224="1C",'Catalogue Aluminium'!$O$11,'Catalogue Aluminium'!$P$11)),IF(T224="TRENCH",(IF($U224="1C",'Catalogue Aluminium'!$O$12,'Catalogue Aluminium'!$P$12))))))</f>
        <v>NA</v>
      </c>
      <c r="AM224" s="250" t="str">
        <f>IF(T224="AIR","NA",IF(T224="TRENCH","NA",IF(T224="DUCT",IF(U224="1C",VLOOKUP(V224,'Catalogue Aluminium'!$Q$9:$S$28,2,FALSE),VLOOKUP(V224,'Catalogue Aluminium'!$Q$9:$S$28,3)),IF(T224="GROUND",IF(U224="1C",VLOOKUP(V224,'Catalogue Aluminium'!$Q$9:$S$28,2,FALSE),VLOOKUP(V224,'Catalogue Aluminium'!$Q$9:$S$28,3))))))</f>
        <v>NA</v>
      </c>
      <c r="AN224" s="257">
        <f t="shared" si="640"/>
        <v>0.58740000000000003</v>
      </c>
      <c r="AO224" s="256">
        <f t="shared" si="641"/>
        <v>41.118000000000002</v>
      </c>
      <c r="AP224" s="255">
        <f t="shared" si="466"/>
        <v>1</v>
      </c>
      <c r="AQ224" s="256" t="str">
        <f t="shared" si="642"/>
        <v>YES</v>
      </c>
      <c r="AR224" s="257">
        <f t="shared" si="643"/>
        <v>1.8047019954026575</v>
      </c>
      <c r="AS224" s="249" t="str">
        <f t="shared" si="644"/>
        <v>YES</v>
      </c>
      <c r="AT224" s="257" t="str">
        <f t="shared" si="645"/>
        <v>NA</v>
      </c>
      <c r="AU224" s="249" t="str">
        <f t="shared" si="646"/>
        <v>NA</v>
      </c>
      <c r="AV224" s="260" t="str">
        <f t="shared" si="647"/>
        <v>1R x 0.6/1kV x 3C x 16 Sqmm</v>
      </c>
      <c r="AW224" s="260" t="str">
        <f t="shared" si="648"/>
        <v>1R x 0.6/1kV x 3C x 16 Sqmm</v>
      </c>
      <c r="AX224" s="249">
        <f>(IF(K224=400,(IF(U224="1C",(4*AH224*AP224),(AH224*AP224))),IF(K224=230,(AH224*AP224))))</f>
        <v>145</v>
      </c>
      <c r="AY224" s="261"/>
    </row>
    <row r="225" spans="1:51" s="75" customFormat="1" ht="20.149999999999999" hidden="1" customHeight="1">
      <c r="A225" s="262" t="s">
        <v>303</v>
      </c>
      <c r="B225" s="404" t="s">
        <v>382</v>
      </c>
      <c r="C225" s="262" t="str">
        <f t="shared" si="632"/>
        <v>EPMCC-1</v>
      </c>
      <c r="D225" s="290" t="s">
        <v>536</v>
      </c>
      <c r="E225" s="305" t="s">
        <v>310</v>
      </c>
      <c r="F225" s="262" t="s">
        <v>29</v>
      </c>
      <c r="G225" s="262" t="s">
        <v>298</v>
      </c>
      <c r="H225" s="258">
        <v>4</v>
      </c>
      <c r="I225" s="262" t="s">
        <v>299</v>
      </c>
      <c r="J225" s="262" t="s">
        <v>300</v>
      </c>
      <c r="K225" s="259">
        <v>400</v>
      </c>
      <c r="L225" s="264">
        <v>0.85</v>
      </c>
      <c r="M225" s="258">
        <v>0.95</v>
      </c>
      <c r="N225" s="263">
        <f t="shared" si="633"/>
        <v>7.1500582729749258</v>
      </c>
      <c r="O225" s="263">
        <f t="shared" si="629"/>
        <v>0</v>
      </c>
      <c r="P225" s="264" t="str">
        <f t="shared" si="634"/>
        <v>0.00</v>
      </c>
      <c r="Q225" s="258">
        <v>50</v>
      </c>
      <c r="R225" s="258">
        <v>0</v>
      </c>
      <c r="S225" s="258">
        <f t="shared" si="635"/>
        <v>0</v>
      </c>
      <c r="T225" s="264" t="s">
        <v>131</v>
      </c>
      <c r="U225" s="258" t="s">
        <v>377</v>
      </c>
      <c r="V225" s="264">
        <v>16</v>
      </c>
      <c r="W225" s="264" t="str">
        <f t="shared" si="636"/>
        <v>4C X 16</v>
      </c>
      <c r="X225" s="264" t="str">
        <f t="shared" si="637"/>
        <v>4C X 16</v>
      </c>
      <c r="Y225" s="264" t="s">
        <v>314</v>
      </c>
      <c r="Z225" s="265">
        <f>IF(T225="AIR",VLOOKUP(W225,'Catalogue Aluminium'!$B$9:$G$91,2,FALSE),IF(T225="GROUND",VLOOKUP(W225,'Catalogue Aluminium'!$B$9:$G$91,3,FALSE),IF(T225="DUCT",VLOOKUP(W225,'Catalogue Aluminium'!$B$9:$G$91,4,FALSE),IF(T225="TRENCH",VLOOKUP(W225,'Catalogue Aluminium'!$B$9:$G$91,2,FALSE)))))</f>
        <v>70</v>
      </c>
      <c r="AA225" s="266">
        <f>VLOOKUP(W225,'Catalogue Aluminium'!$B$9:$G$91,5,FALSE)</f>
        <v>2.44</v>
      </c>
      <c r="AB225" s="266">
        <f>VLOOKUP(W225,'Catalogue Aluminium'!$B$9:$G$91,6,FALSE)</f>
        <v>8.1500000000000003E-2</v>
      </c>
      <c r="AC225" s="406">
        <f>22+7</f>
        <v>29</v>
      </c>
      <c r="AD225" s="264">
        <f t="shared" si="650"/>
        <v>237</v>
      </c>
      <c r="AE225" s="322">
        <f t="shared" si="638"/>
        <v>38</v>
      </c>
      <c r="AF225" s="264">
        <v>8</v>
      </c>
      <c r="AG225" s="264">
        <f t="shared" si="639"/>
        <v>32</v>
      </c>
      <c r="AH225" s="267"/>
      <c r="AI225" s="265">
        <f>IF(T225="AIR",'Catalogue Aluminium'!$K$9,IF(T225="TRENCH",'Catalogue Aluminium'!$K$12,"NA"))</f>
        <v>0.89</v>
      </c>
      <c r="AJ225" s="263">
        <f>IF(T225="Air",(IF(U225="1C",'Catalogue Aluminium'!$L$9,'Catalogue Aluminium'!$M$9)),IF(T225="DUCT",(IF($U225="1C",'Catalogue Aluminium'!$L$10,'Catalogue Aluminium'!$M$10)),IF(T225="GROUND",(IF($U225="1C",'Catalogue Aluminium'!$L$11,'Catalogue Aluminium'!$M$11)),IF(T225="TRENCH",(IF($U225="1C",'Catalogue Aluminium'!$L$12,'Catalogue Aluminium'!$M$12))))))</f>
        <v>0.66</v>
      </c>
      <c r="AK225" s="265" t="str">
        <f>IF(T225="Air",'Catalogue Aluminium'!$N$9,IF(T225="GROUND",'Catalogue Aluminium'!$N$10,IF(T225="DUCT",'Catalogue Aluminium'!$N$11,IF(T225="TRENCH",'Catalogue Aluminium'!$N$12,"NA"))))</f>
        <v>NA</v>
      </c>
      <c r="AL225" s="265" t="str">
        <f>IF(T225="Air",(IF(U225="1C",'Catalogue Aluminium'!$O$9,'Catalogue Aluminium'!$P$9)),IF(T225="DUCT",(IF($U225="1C",'Catalogue Aluminium'!$O$10,'Catalogue Aluminium'!$P$10)),IF(T225="GROUND",(IF($U225="1C",'Catalogue Aluminium'!$O$11,'Catalogue Aluminium'!$P$11)),IF(T225="TRENCH",(IF($U225="1C",'Catalogue Aluminium'!$O$12,'Catalogue Aluminium'!$P$12))))))</f>
        <v>NA</v>
      </c>
      <c r="AM225" s="265" t="str">
        <f>IF(T225="AIR","NA",IF(T225="TRENCH","NA",IF(T225="DUCT",IF(U225="1C",VLOOKUP(V225,'Catalogue Aluminium'!$Q$9:$S$28,2,FALSE),VLOOKUP(V225,'Catalogue Aluminium'!$Q$9:$S$28,3)),IF(T225="GROUND",IF(U225="1C",VLOOKUP(V225,'Catalogue Aluminium'!$Q$9:$S$28,2,FALSE),VLOOKUP(V225,'Catalogue Aluminium'!$Q$9:$S$28,3))))))</f>
        <v>NA</v>
      </c>
      <c r="AN225" s="268">
        <f t="shared" si="640"/>
        <v>0.58740000000000003</v>
      </c>
      <c r="AO225" s="258">
        <f t="shared" si="641"/>
        <v>41.118000000000002</v>
      </c>
      <c r="AP225" s="259">
        <f t="shared" si="466"/>
        <v>1</v>
      </c>
      <c r="AQ225" s="258" t="str">
        <f t="shared" si="642"/>
        <v>YES</v>
      </c>
      <c r="AR225" s="268">
        <f t="shared" si="643"/>
        <v>0</v>
      </c>
      <c r="AS225" s="349" t="str">
        <f t="shared" si="644"/>
        <v>YES</v>
      </c>
      <c r="AT225" s="350" t="str">
        <f t="shared" si="645"/>
        <v>NA</v>
      </c>
      <c r="AU225" s="264" t="str">
        <f t="shared" si="646"/>
        <v>NA</v>
      </c>
      <c r="AV225" s="269" t="str">
        <f t="shared" si="647"/>
        <v>1R x 0.6/1kV x 4C x 16 Sqmm</v>
      </c>
      <c r="AW225" s="269" t="str">
        <f t="shared" si="648"/>
        <v>1R x 0.6/1kV x 4C x 16 Sqmm</v>
      </c>
      <c r="AX225" s="264"/>
      <c r="AY225" s="270"/>
    </row>
    <row r="226" spans="1:51" s="75" customFormat="1" ht="20.149999999999999" hidden="1" customHeight="1">
      <c r="A226" s="262" t="s">
        <v>303</v>
      </c>
      <c r="B226" s="404" t="s">
        <v>382</v>
      </c>
      <c r="C226" s="262" t="str">
        <f t="shared" si="632"/>
        <v>EPMCC-1</v>
      </c>
      <c r="D226" s="290" t="s">
        <v>537</v>
      </c>
      <c r="E226" s="305" t="s">
        <v>310</v>
      </c>
      <c r="F226" s="262" t="s">
        <v>28</v>
      </c>
      <c r="G226" s="262" t="s">
        <v>298</v>
      </c>
      <c r="H226" s="258">
        <v>2</v>
      </c>
      <c r="I226" s="262" t="s">
        <v>299</v>
      </c>
      <c r="J226" s="262" t="s">
        <v>300</v>
      </c>
      <c r="K226" s="259">
        <v>400</v>
      </c>
      <c r="L226" s="264">
        <v>0.85</v>
      </c>
      <c r="M226" s="258">
        <v>0.95</v>
      </c>
      <c r="N226" s="263">
        <f t="shared" si="633"/>
        <v>3.5750291364874629</v>
      </c>
      <c r="O226" s="263">
        <f t="shared" si="629"/>
        <v>0</v>
      </c>
      <c r="P226" s="264" t="str">
        <f t="shared" si="634"/>
        <v>0.00</v>
      </c>
      <c r="Q226" s="258">
        <v>50</v>
      </c>
      <c r="R226" s="258">
        <v>0</v>
      </c>
      <c r="S226" s="258">
        <f t="shared" si="635"/>
        <v>0</v>
      </c>
      <c r="T226" s="264" t="s">
        <v>131</v>
      </c>
      <c r="U226" s="258" t="s">
        <v>377</v>
      </c>
      <c r="V226" s="371">
        <v>6</v>
      </c>
      <c r="W226" s="264" t="str">
        <f t="shared" si="636"/>
        <v>4C X 6</v>
      </c>
      <c r="X226" s="264" t="str">
        <f t="shared" si="637"/>
        <v>4C X 6</v>
      </c>
      <c r="Y226" s="264" t="s">
        <v>314</v>
      </c>
      <c r="Z226" s="265">
        <f>IF(T226="AIR",VLOOKUP(W226,'Catalogue Aluminium'!$B$9:$G$91,2,FALSE),IF(T226="GROUND",VLOOKUP(W226,'Catalogue Aluminium'!$B$9:$G$91,3,FALSE),IF(T226="DUCT",VLOOKUP(W226,'Catalogue Aluminium'!$B$9:$G$91,4,FALSE),IF(T226="TRENCH",VLOOKUP(W226,'Catalogue Aluminium'!$B$9:$G$91,2,FALSE)))))</f>
        <v>51</v>
      </c>
      <c r="AA226" s="266">
        <f>VLOOKUP(W226,'Catalogue Aluminium'!$B$9:$G$91,5,FALSE)</f>
        <v>3.94</v>
      </c>
      <c r="AB226" s="266">
        <f>VLOOKUP(W226,'Catalogue Aluminium'!$B$9:$G$91,6,FALSE)</f>
        <v>9.0200000000000002E-2</v>
      </c>
      <c r="AC226" s="406">
        <f>28+7</f>
        <v>35</v>
      </c>
      <c r="AD226" s="264">
        <f>11+34+48+35+30+11+24+(15+3+26)</f>
        <v>237</v>
      </c>
      <c r="AE226" s="322">
        <f t="shared" si="638"/>
        <v>38</v>
      </c>
      <c r="AF226" s="264">
        <v>8</v>
      </c>
      <c r="AG226" s="264">
        <f t="shared" si="639"/>
        <v>32</v>
      </c>
      <c r="AH226" s="267"/>
      <c r="AI226" s="265">
        <f>IF(T226="AIR",'Catalogue Aluminium'!$K$9,IF(T226="TRENCH",'Catalogue Aluminium'!$K$12,"NA"))</f>
        <v>0.89</v>
      </c>
      <c r="AJ226" s="263">
        <f>IF(T226="Air",(IF(U226="1C",'Catalogue Aluminium'!$L$9,'Catalogue Aluminium'!$M$9)),IF(T226="DUCT",(IF($U226="1C",'Catalogue Aluminium'!$L$10,'Catalogue Aluminium'!$M$10)),IF(T226="GROUND",(IF($U226="1C",'Catalogue Aluminium'!$L$11,'Catalogue Aluminium'!$M$11)),IF(T226="TRENCH",(IF($U226="1C",'Catalogue Aluminium'!$L$12,'Catalogue Aluminium'!$M$12))))))</f>
        <v>0.66</v>
      </c>
      <c r="AK226" s="265" t="str">
        <f>IF(T226="Air",'Catalogue Aluminium'!$N$9,IF(T226="GROUND",'Catalogue Aluminium'!$N$10,IF(T226="DUCT",'Catalogue Aluminium'!$N$11,IF(T226="TRENCH",'Catalogue Aluminium'!$N$12,"NA"))))</f>
        <v>NA</v>
      </c>
      <c r="AL226" s="265" t="str">
        <f>IF(T226="Air",(IF(U226="1C",'Catalogue Aluminium'!$O$9,'Catalogue Aluminium'!$P$9)),IF(T226="DUCT",(IF($U226="1C",'Catalogue Aluminium'!$O$10,'Catalogue Aluminium'!$P$10)),IF(T226="GROUND",(IF($U226="1C",'Catalogue Aluminium'!$O$11,'Catalogue Aluminium'!$P$11)),IF(T226="TRENCH",(IF($U226="1C",'Catalogue Aluminium'!$O$12,'Catalogue Aluminium'!$P$12))))))</f>
        <v>NA</v>
      </c>
      <c r="AM226" s="265" t="str">
        <f>IF(T226="AIR","NA",IF(T226="TRENCH","NA",IF(T226="DUCT",IF(U226="1C",VLOOKUP(V226,'Catalogue Aluminium'!$Q$9:$S$28,2,FALSE),VLOOKUP(V226,'Catalogue Aluminium'!$Q$9:$S$28,3)),IF(T226="GROUND",IF(U226="1C",VLOOKUP(V226,'Catalogue Aluminium'!$Q$9:$S$28,2,FALSE),VLOOKUP(V226,'Catalogue Aluminium'!$Q$9:$S$28,3))))))</f>
        <v>NA</v>
      </c>
      <c r="AN226" s="268">
        <f t="shared" si="640"/>
        <v>0.58740000000000003</v>
      </c>
      <c r="AO226" s="258">
        <f t="shared" si="641"/>
        <v>29.957400000000003</v>
      </c>
      <c r="AP226" s="259">
        <f t="shared" si="466"/>
        <v>1</v>
      </c>
      <c r="AQ226" s="258" t="str">
        <f t="shared" si="642"/>
        <v>YES</v>
      </c>
      <c r="AR226" s="268">
        <f t="shared" si="643"/>
        <v>0</v>
      </c>
      <c r="AS226" s="349" t="str">
        <f t="shared" si="644"/>
        <v>YES</v>
      </c>
      <c r="AT226" s="350" t="str">
        <f t="shared" si="645"/>
        <v>NA</v>
      </c>
      <c r="AU226" s="264" t="str">
        <f t="shared" si="646"/>
        <v>NA</v>
      </c>
      <c r="AV226" s="269" t="str">
        <f t="shared" si="647"/>
        <v>1R x 0.6/1kV x 4C x 6 Sqmm</v>
      </c>
      <c r="AW226" s="269" t="str">
        <f t="shared" si="648"/>
        <v>1R x 0.6/1kV x 4C x 6 Sqmm</v>
      </c>
      <c r="AX226" s="264"/>
      <c r="AY226" s="270"/>
    </row>
    <row r="227" spans="1:51" s="75" customFormat="1" ht="20.149999999999999" hidden="1" customHeight="1">
      <c r="A227" s="262" t="s">
        <v>303</v>
      </c>
      <c r="B227" s="404" t="s">
        <v>382</v>
      </c>
      <c r="C227" s="262" t="str">
        <f t="shared" si="632"/>
        <v>EPMCC-1</v>
      </c>
      <c r="D227" s="290" t="s">
        <v>538</v>
      </c>
      <c r="E227" s="305" t="s">
        <v>310</v>
      </c>
      <c r="F227" s="262" t="s">
        <v>29</v>
      </c>
      <c r="G227" s="262" t="s">
        <v>311</v>
      </c>
      <c r="H227" s="258">
        <v>15</v>
      </c>
      <c r="I227" s="262" t="s">
        <v>299</v>
      </c>
      <c r="J227" s="262" t="s">
        <v>300</v>
      </c>
      <c r="K227" s="259">
        <v>400</v>
      </c>
      <c r="L227" s="264">
        <v>0.84</v>
      </c>
      <c r="M227" s="258">
        <v>0.92700000000000005</v>
      </c>
      <c r="N227" s="263">
        <f t="shared" si="633"/>
        <v>27.805093501633788</v>
      </c>
      <c r="O227" s="263">
        <f t="shared" si="629"/>
        <v>166.83056100980272</v>
      </c>
      <c r="P227" s="264">
        <f t="shared" si="634"/>
        <v>0.2</v>
      </c>
      <c r="Q227" s="258">
        <v>50</v>
      </c>
      <c r="R227" s="258">
        <v>0</v>
      </c>
      <c r="S227" s="258">
        <f t="shared" si="635"/>
        <v>0</v>
      </c>
      <c r="T227" s="264" t="s">
        <v>131</v>
      </c>
      <c r="U227" s="258" t="s">
        <v>302</v>
      </c>
      <c r="V227" s="264">
        <v>70</v>
      </c>
      <c r="W227" s="264" t="str">
        <f t="shared" si="636"/>
        <v>3C X 70</v>
      </c>
      <c r="X227" s="264" t="str">
        <f t="shared" si="637"/>
        <v>3C X 70+PE</v>
      </c>
      <c r="Y227" s="264" t="s">
        <v>314</v>
      </c>
      <c r="Z227" s="265">
        <f>IF(T227="AIR",VLOOKUP(W227,'Catalogue Aluminium'!$B$9:$G$91,2,FALSE),IF(T227="GROUND",VLOOKUP(W227,'Catalogue Aluminium'!$B$9:$G$91,3,FALSE),IF(T227="DUCT",VLOOKUP(W227,'Catalogue Aluminium'!$B$9:$G$91,4,FALSE),IF(T227="TRENCH",VLOOKUP(W227,'Catalogue Aluminium'!$B$9:$G$91,2,FALSE)))))</f>
        <v>177</v>
      </c>
      <c r="AA227" s="266">
        <f>VLOOKUP(W227,'Catalogue Aluminium'!$B$9:$G$91,5,FALSE)</f>
        <v>0.56699999999999995</v>
      </c>
      <c r="AB227" s="266">
        <f>VLOOKUP(W227,'Catalogue Aluminium'!$B$9:$G$91,6,FALSE)</f>
        <v>7.5200000000000003E-2</v>
      </c>
      <c r="AC227" s="406">
        <f>22+7</f>
        <v>29</v>
      </c>
      <c r="AD227" s="264">
        <f>11+34+48+35+30+11+24+(15+18+3+26)</f>
        <v>255</v>
      </c>
      <c r="AE227" s="322">
        <f t="shared" si="638"/>
        <v>38</v>
      </c>
      <c r="AF227" s="264">
        <v>8</v>
      </c>
      <c r="AG227" s="264">
        <f t="shared" si="639"/>
        <v>33</v>
      </c>
      <c r="AH227" s="267"/>
      <c r="AI227" s="265">
        <f>IF(T227="AIR",'Catalogue Aluminium'!$K$9,IF(T227="TRENCH",'Catalogue Aluminium'!$K$12,"NA"))</f>
        <v>0.89</v>
      </c>
      <c r="AJ227" s="263">
        <f>IF(T227="Air",(IF(U227="1C",'Catalogue Aluminium'!$L$9,'Catalogue Aluminium'!$M$9)),IF(T227="DUCT",(IF($U227="1C",'Catalogue Aluminium'!$L$10,'Catalogue Aluminium'!$M$10)),IF(T227="GROUND",(IF($U227="1C",'Catalogue Aluminium'!$L$11,'Catalogue Aluminium'!$M$11)),IF(T227="TRENCH",(IF($U227="1C",'Catalogue Aluminium'!$L$12,'Catalogue Aluminium'!$M$12))))))</f>
        <v>0.66</v>
      </c>
      <c r="AK227" s="265" t="str">
        <f>IF(T227="Air",'Catalogue Aluminium'!$N$9,IF(T227="GROUND",'Catalogue Aluminium'!$N$10,IF(T227="DUCT",'Catalogue Aluminium'!$N$11,IF(T227="TRENCH",'Catalogue Aluminium'!$N$12,"NA"))))</f>
        <v>NA</v>
      </c>
      <c r="AL227" s="265" t="str">
        <f>IF(T227="Air",(IF(U227="1C",'Catalogue Aluminium'!$O$9,'Catalogue Aluminium'!$P$9)),IF(T227="DUCT",(IF($U227="1C",'Catalogue Aluminium'!$O$10,'Catalogue Aluminium'!$P$10)),IF(T227="GROUND",(IF($U227="1C",'Catalogue Aluminium'!$O$11,'Catalogue Aluminium'!$P$11)),IF(T227="TRENCH",(IF($U227="1C",'Catalogue Aluminium'!$O$12,'Catalogue Aluminium'!$P$12))))))</f>
        <v>NA</v>
      </c>
      <c r="AM227" s="265" t="str">
        <f>IF(T227="AIR","NA",IF(T227="TRENCH","NA",IF(T227="DUCT",IF(U227="1C",VLOOKUP(V227,'Catalogue Aluminium'!$Q$9:$S$28,2,FALSE),VLOOKUP(V227,'Catalogue Aluminium'!$Q$9:$S$28,3)),IF(T227="GROUND",IF(U227="1C",VLOOKUP(V227,'Catalogue Aluminium'!$Q$9:$S$28,2,FALSE),VLOOKUP(V227,'Catalogue Aluminium'!$Q$9:$S$28,3))))))</f>
        <v>NA</v>
      </c>
      <c r="AN227" s="268">
        <f t="shared" si="640"/>
        <v>0.58740000000000003</v>
      </c>
      <c r="AO227" s="258">
        <f t="shared" si="641"/>
        <v>103.96980000000001</v>
      </c>
      <c r="AP227" s="259">
        <f t="shared" si="466"/>
        <v>1</v>
      </c>
      <c r="AQ227" s="258" t="str">
        <f t="shared" si="642"/>
        <v>YES</v>
      </c>
      <c r="AR227" s="268">
        <f t="shared" si="643"/>
        <v>0</v>
      </c>
      <c r="AS227" s="349" t="str">
        <f t="shared" si="644"/>
        <v>YES</v>
      </c>
      <c r="AT227" s="350">
        <f t="shared" si="645"/>
        <v>0</v>
      </c>
      <c r="AU227" s="264" t="str">
        <f t="shared" si="646"/>
        <v>YES</v>
      </c>
      <c r="AV227" s="269" t="str">
        <f t="shared" si="647"/>
        <v>1R x 0.6/1kV x 3C x 70 Sqmm</v>
      </c>
      <c r="AW227" s="269" t="str">
        <f t="shared" si="648"/>
        <v>1R x 0.6/1kV x 3C x 70+PE Sqmm</v>
      </c>
      <c r="AX227" s="264"/>
      <c r="AY227" s="270"/>
    </row>
    <row r="228" spans="1:51" ht="20.149999999999999" customHeight="1">
      <c r="A228" s="243">
        <f>1+A224</f>
        <v>149</v>
      </c>
      <c r="B228" s="599" t="s">
        <v>1047</v>
      </c>
      <c r="C228" s="243" t="str">
        <f t="shared" si="632"/>
        <v>EPMCC-1</v>
      </c>
      <c r="D228" s="272" t="s">
        <v>539</v>
      </c>
      <c r="E228" s="320" t="s">
        <v>310</v>
      </c>
      <c r="F228" s="243" t="s">
        <v>28</v>
      </c>
      <c r="G228" s="243" t="s">
        <v>311</v>
      </c>
      <c r="H228" s="304">
        <v>9.3000000000000007</v>
      </c>
      <c r="I228" s="243" t="s">
        <v>299</v>
      </c>
      <c r="J228" s="243" t="s">
        <v>300</v>
      </c>
      <c r="K228" s="255">
        <v>400</v>
      </c>
      <c r="L228" s="249">
        <v>0.84</v>
      </c>
      <c r="M228" s="256">
        <v>0.92700000000000005</v>
      </c>
      <c r="N228" s="248">
        <f t="shared" si="633"/>
        <v>17.239157971012947</v>
      </c>
      <c r="O228" s="248">
        <f t="shared" si="629"/>
        <v>103.43494782607769</v>
      </c>
      <c r="P228" s="249">
        <f t="shared" si="634"/>
        <v>0.2</v>
      </c>
      <c r="Q228" s="256">
        <v>50</v>
      </c>
      <c r="R228" s="256">
        <v>0</v>
      </c>
      <c r="S228" s="256">
        <f t="shared" si="635"/>
        <v>0</v>
      </c>
      <c r="T228" s="249" t="s">
        <v>131</v>
      </c>
      <c r="U228" s="256" t="s">
        <v>302</v>
      </c>
      <c r="V228" s="249">
        <v>35</v>
      </c>
      <c r="W228" s="249" t="str">
        <f t="shared" si="636"/>
        <v>3C X 35</v>
      </c>
      <c r="X228" s="249" t="str">
        <f t="shared" si="637"/>
        <v>3C X 35+PE</v>
      </c>
      <c r="Y228" s="249" t="s">
        <v>314</v>
      </c>
      <c r="Z228" s="250">
        <f>IF(T228="AIR",VLOOKUP(W228,'Catalogue Aluminium'!$B$9:$G$91,2,FALSE),IF(T228="GROUND",VLOOKUP(W228,'Catalogue Aluminium'!$B$9:$G$91,3,FALSE),IF(T228="DUCT",VLOOKUP(W228,'Catalogue Aluminium'!$B$9:$G$91,4,FALSE),IF(T228="TRENCH",VLOOKUP(W228,'Catalogue Aluminium'!$B$9:$G$91,2,FALSE)))))</f>
        <v>117</v>
      </c>
      <c r="AA228" s="251">
        <f>VLOOKUP(W228,'Catalogue Aluminium'!$B$9:$G$91,5,FALSE)</f>
        <v>1.1100000000000001</v>
      </c>
      <c r="AB228" s="251">
        <f>VLOOKUP(W228,'Catalogue Aluminium'!$B$9:$G$91,6,FALSE)</f>
        <v>7.9399999999999998E-2</v>
      </c>
      <c r="AC228" s="323">
        <f t="shared" ref="AC228" si="652">32+6</f>
        <v>38</v>
      </c>
      <c r="AD228" s="294">
        <f t="shared" ref="AD228" si="653">40+50+38+50+17+(27+47)</f>
        <v>269</v>
      </c>
      <c r="AE228" s="294">
        <f t="shared" si="638"/>
        <v>38</v>
      </c>
      <c r="AF228" s="294">
        <v>8</v>
      </c>
      <c r="AG228" s="294">
        <f t="shared" si="639"/>
        <v>36</v>
      </c>
      <c r="AH228" s="253">
        <f t="shared" si="649"/>
        <v>389</v>
      </c>
      <c r="AI228" s="250">
        <f>IF(T228="AIR",'Catalogue Aluminium'!$K$9,IF(T228="TRENCH",'Catalogue Aluminium'!$K$12,"NA"))</f>
        <v>0.89</v>
      </c>
      <c r="AJ228" s="248">
        <f>IF(T228="Air",(IF(U228="1C",'Catalogue Aluminium'!$L$9,'Catalogue Aluminium'!$M$9)),IF(T228="DUCT",(IF($U228="1C",'Catalogue Aluminium'!$L$10,'Catalogue Aluminium'!$M$10)),IF(T228="GROUND",(IF($U228="1C",'Catalogue Aluminium'!$L$11,'Catalogue Aluminium'!$M$11)),IF(T228="TRENCH",(IF($U228="1C",'Catalogue Aluminium'!$L$12,'Catalogue Aluminium'!$M$12))))))</f>
        <v>0.66</v>
      </c>
      <c r="AK228" s="250" t="str">
        <f>IF(T228="Air",'Catalogue Aluminium'!$N$9,IF(T228="GROUND",'Catalogue Aluminium'!$N$10,IF(T228="DUCT",'Catalogue Aluminium'!$N$11,IF(T228="TRENCH",'Catalogue Aluminium'!$N$12,"NA"))))</f>
        <v>NA</v>
      </c>
      <c r="AL228" s="250" t="str">
        <f>IF(T228="Air",(IF(U228="1C",'Catalogue Aluminium'!$O$9,'Catalogue Aluminium'!$P$9)),IF(T228="DUCT",(IF($U228="1C",'Catalogue Aluminium'!$O$10,'Catalogue Aluminium'!$P$10)),IF(T228="GROUND",(IF($U228="1C",'Catalogue Aluminium'!$O$11,'Catalogue Aluminium'!$P$11)),IF(T228="TRENCH",(IF($U228="1C",'Catalogue Aluminium'!$O$12,'Catalogue Aluminium'!$P$12))))))</f>
        <v>NA</v>
      </c>
      <c r="AM228" s="250" t="str">
        <f>IF(T228="AIR","NA",IF(T228="TRENCH","NA",IF(T228="DUCT",IF(U228="1C",VLOOKUP(V228,'Catalogue Aluminium'!$Q$9:$S$28,2,FALSE),VLOOKUP(V228,'Catalogue Aluminium'!$Q$9:$S$28,3)),IF(T228="GROUND",IF(U228="1C",VLOOKUP(V228,'Catalogue Aluminium'!$Q$9:$S$28,2,FALSE),VLOOKUP(V228,'Catalogue Aluminium'!$Q$9:$S$28,3))))))</f>
        <v>NA</v>
      </c>
      <c r="AN228" s="257">
        <f t="shared" si="640"/>
        <v>0.58740000000000003</v>
      </c>
      <c r="AO228" s="256">
        <f t="shared" si="641"/>
        <v>68.725800000000007</v>
      </c>
      <c r="AP228" s="255">
        <f t="shared" si="466"/>
        <v>1</v>
      </c>
      <c r="AQ228" s="256" t="str">
        <f t="shared" si="642"/>
        <v>YES</v>
      </c>
      <c r="AR228" s="257">
        <f t="shared" si="643"/>
        <v>2.8326000716915041</v>
      </c>
      <c r="AS228" s="249" t="str">
        <f t="shared" si="644"/>
        <v>YES</v>
      </c>
      <c r="AT228" s="257">
        <f t="shared" si="645"/>
        <v>5.2232771819544528</v>
      </c>
      <c r="AU228" s="249" t="str">
        <f t="shared" si="646"/>
        <v>YES</v>
      </c>
      <c r="AV228" s="260" t="str">
        <f t="shared" si="647"/>
        <v>1R x 0.6/1kV x 3C x 35 Sqmm</v>
      </c>
      <c r="AW228" s="260" t="str">
        <f t="shared" si="648"/>
        <v>1R x 0.6/1kV x 3C x 35+PE Sqmm</v>
      </c>
      <c r="AX228" s="249">
        <f>(IF(K228=400,(IF(U228="1C",(4*AH228*AP228),(AH228*AP228))),IF(K228=230,(AH228*AP228))))</f>
        <v>389</v>
      </c>
      <c r="AY228" s="261"/>
    </row>
    <row r="229" spans="1:51" s="75" customFormat="1" ht="20.149999999999999" hidden="1" customHeight="1">
      <c r="A229" s="262" t="s">
        <v>303</v>
      </c>
      <c r="B229" s="404" t="s">
        <v>382</v>
      </c>
      <c r="C229" s="262" t="str">
        <f t="shared" si="632"/>
        <v>EPMCC-1</v>
      </c>
      <c r="D229" s="290" t="s">
        <v>540</v>
      </c>
      <c r="E229" s="305" t="s">
        <v>310</v>
      </c>
      <c r="F229" s="262" t="s">
        <v>29</v>
      </c>
      <c r="G229" s="262" t="s">
        <v>311</v>
      </c>
      <c r="H229" s="258">
        <v>55</v>
      </c>
      <c r="I229" s="262" t="s">
        <v>299</v>
      </c>
      <c r="J229" s="262" t="s">
        <v>300</v>
      </c>
      <c r="K229" s="259">
        <v>400</v>
      </c>
      <c r="L229" s="264">
        <v>0.85</v>
      </c>
      <c r="M229" s="258">
        <v>0.95400000000000007</v>
      </c>
      <c r="N229" s="263">
        <f t="shared" si="633"/>
        <v>97.901086153810226</v>
      </c>
      <c r="O229" s="263">
        <f t="shared" si="629"/>
        <v>587.40651692286133</v>
      </c>
      <c r="P229" s="264">
        <f t="shared" si="634"/>
        <v>0.2</v>
      </c>
      <c r="Q229" s="258">
        <v>50</v>
      </c>
      <c r="R229" s="258">
        <v>0</v>
      </c>
      <c r="S229" s="258">
        <f t="shared" si="635"/>
        <v>0</v>
      </c>
      <c r="T229" s="264" t="s">
        <v>131</v>
      </c>
      <c r="U229" s="258" t="s">
        <v>302</v>
      </c>
      <c r="V229" s="264">
        <v>120</v>
      </c>
      <c r="W229" s="264" t="str">
        <f t="shared" si="636"/>
        <v>3C X 120</v>
      </c>
      <c r="X229" s="264" t="str">
        <f t="shared" si="637"/>
        <v>3C X 120+PE</v>
      </c>
      <c r="Y229" s="264" t="s">
        <v>314</v>
      </c>
      <c r="Z229" s="265">
        <f>IF(T229="AIR",VLOOKUP(W229,'Catalogue Aluminium'!$B$9:$G$91,2,FALSE),IF(T229="GROUND",VLOOKUP(W229,'Catalogue Aluminium'!$B$9:$G$91,3,FALSE),IF(T229="DUCT",VLOOKUP(W229,'Catalogue Aluminium'!$B$9:$G$91,4,FALSE),IF(T229="TRENCH",VLOOKUP(W229,'Catalogue Aluminium'!$B$9:$G$91,2,FALSE)))))</f>
        <v>257</v>
      </c>
      <c r="AA229" s="266">
        <f>VLOOKUP(W229,'Catalogue Aluminium'!$B$9:$G$91,5,FALSE)</f>
        <v>0.32400000000000001</v>
      </c>
      <c r="AB229" s="266">
        <f>VLOOKUP(W229,'Catalogue Aluminium'!$B$9:$G$91,6,FALSE)</f>
        <v>7.2599999999999998E-2</v>
      </c>
      <c r="AC229" s="406">
        <f>22+7</f>
        <v>29</v>
      </c>
      <c r="AD229" s="264">
        <f t="shared" ref="AD229:AD237" si="654">11+34+48+35+30+11+24+(15+18+3+26)</f>
        <v>255</v>
      </c>
      <c r="AE229" s="322">
        <f t="shared" si="638"/>
        <v>38</v>
      </c>
      <c r="AF229" s="264">
        <v>8</v>
      </c>
      <c r="AG229" s="264">
        <f t="shared" si="639"/>
        <v>33</v>
      </c>
      <c r="AH229" s="267"/>
      <c r="AI229" s="265">
        <f>IF(T229="AIR",'Catalogue Aluminium'!$K$9,IF(T229="TRENCH",'Catalogue Aluminium'!$K$12,"NA"))</f>
        <v>0.89</v>
      </c>
      <c r="AJ229" s="263">
        <f>IF(T229="Air",(IF(U229="1C",'Catalogue Aluminium'!$L$9,'Catalogue Aluminium'!$M$9)),IF(T229="DUCT",(IF($U229="1C",'Catalogue Aluminium'!$L$10,'Catalogue Aluminium'!$M$10)),IF(T229="GROUND",(IF($U229="1C",'Catalogue Aluminium'!$L$11,'Catalogue Aluminium'!$M$11)),IF(T229="TRENCH",(IF($U229="1C",'Catalogue Aluminium'!$L$12,'Catalogue Aluminium'!$M$12))))))</f>
        <v>0.66</v>
      </c>
      <c r="AK229" s="265" t="str">
        <f>IF(T229="Air",'Catalogue Aluminium'!$N$9,IF(T229="GROUND",'Catalogue Aluminium'!$N$10,IF(T229="DUCT",'Catalogue Aluminium'!$N$11,IF(T229="TRENCH",'Catalogue Aluminium'!$N$12,"NA"))))</f>
        <v>NA</v>
      </c>
      <c r="AL229" s="265" t="str">
        <f>IF(T229="Air",(IF(U229="1C",'Catalogue Aluminium'!$O$9,'Catalogue Aluminium'!$P$9)),IF(T229="DUCT",(IF($U229="1C",'Catalogue Aluminium'!$O$10,'Catalogue Aluminium'!$P$10)),IF(T229="GROUND",(IF($U229="1C",'Catalogue Aluminium'!$O$11,'Catalogue Aluminium'!$P$11)),IF(T229="TRENCH",(IF($U229="1C",'Catalogue Aluminium'!$O$12,'Catalogue Aluminium'!$P$12))))))</f>
        <v>NA</v>
      </c>
      <c r="AM229" s="265" t="str">
        <f>IF(T229="AIR","NA",IF(T229="TRENCH","NA",IF(T229="DUCT",IF(U229="1C",VLOOKUP(V229,'Catalogue Aluminium'!$Q$9:$S$28,2,FALSE),VLOOKUP(V229,'Catalogue Aluminium'!$Q$9:$S$28,3)),IF(T229="GROUND",IF(U229="1C",VLOOKUP(V229,'Catalogue Aluminium'!$Q$9:$S$28,2,FALSE),VLOOKUP(V229,'Catalogue Aluminium'!$Q$9:$S$28,3))))))</f>
        <v>NA</v>
      </c>
      <c r="AN229" s="268">
        <f t="shared" si="640"/>
        <v>0.58740000000000003</v>
      </c>
      <c r="AO229" s="258">
        <f t="shared" si="641"/>
        <v>150.96180000000001</v>
      </c>
      <c r="AP229" s="348">
        <f t="shared" si="466"/>
        <v>1</v>
      </c>
      <c r="AQ229" s="258" t="str">
        <f t="shared" si="642"/>
        <v>YES</v>
      </c>
      <c r="AR229" s="268">
        <f t="shared" si="643"/>
        <v>0</v>
      </c>
      <c r="AS229" s="349" t="str">
        <f t="shared" si="644"/>
        <v>YES</v>
      </c>
      <c r="AT229" s="350">
        <f t="shared" si="645"/>
        <v>0</v>
      </c>
      <c r="AU229" s="264" t="str">
        <f t="shared" si="646"/>
        <v>YES</v>
      </c>
      <c r="AV229" s="269" t="str">
        <f t="shared" si="647"/>
        <v>1R x 0.6/1kV x 3C x 120 Sqmm</v>
      </c>
      <c r="AW229" s="269" t="str">
        <f t="shared" si="648"/>
        <v>1R x 0.6/1kV x 3C x 120+PE Sqmm</v>
      </c>
      <c r="AX229" s="264"/>
      <c r="AY229" s="270"/>
    </row>
    <row r="230" spans="1:51" s="75" customFormat="1" ht="20.149999999999999" hidden="1" customHeight="1">
      <c r="A230" s="262" t="s">
        <v>303</v>
      </c>
      <c r="B230" s="404" t="s">
        <v>382</v>
      </c>
      <c r="C230" s="262" t="str">
        <f t="shared" si="632"/>
        <v>EPMCC-1</v>
      </c>
      <c r="D230" s="408" t="s">
        <v>541</v>
      </c>
      <c r="E230" s="305" t="s">
        <v>310</v>
      </c>
      <c r="F230" s="262" t="s">
        <v>28</v>
      </c>
      <c r="G230" s="262" t="s">
        <v>311</v>
      </c>
      <c r="H230" s="258">
        <v>55</v>
      </c>
      <c r="I230" s="262" t="s">
        <v>299</v>
      </c>
      <c r="J230" s="262" t="s">
        <v>300</v>
      </c>
      <c r="K230" s="259">
        <v>400</v>
      </c>
      <c r="L230" s="264">
        <v>0.85</v>
      </c>
      <c r="M230" s="258">
        <v>0.95400000000000007</v>
      </c>
      <c r="N230" s="263">
        <f>IF(I230="kVA",IF(J230="3Ph",(H230*1000/(1.732*M230*K230)),(H230*1000/(M230*K230))),IF(I230="kW",IF(J230="3Ph",(H230*1000/(1.732*M230*K230*L230)),(H230*1000/(M230*K230*L230)))))</f>
        <v>97.901086153810226</v>
      </c>
      <c r="O230" s="263">
        <f t="shared" si="629"/>
        <v>587.40651692286133</v>
      </c>
      <c r="P230" s="264">
        <f t="shared" si="634"/>
        <v>0.2</v>
      </c>
      <c r="Q230" s="258">
        <v>50</v>
      </c>
      <c r="R230" s="258">
        <v>0</v>
      </c>
      <c r="S230" s="258">
        <f t="shared" si="635"/>
        <v>0</v>
      </c>
      <c r="T230" s="264" t="s">
        <v>131</v>
      </c>
      <c r="U230" s="258" t="s">
        <v>302</v>
      </c>
      <c r="V230" s="264">
        <v>120</v>
      </c>
      <c r="W230" s="264" t="str">
        <f t="shared" si="636"/>
        <v>3C X 120</v>
      </c>
      <c r="X230" s="264" t="str">
        <f t="shared" si="637"/>
        <v>3C X 120+PE</v>
      </c>
      <c r="Y230" s="264" t="s">
        <v>314</v>
      </c>
      <c r="Z230" s="265">
        <f>IF(T230="AIR",VLOOKUP(W230,'Catalogue Aluminium'!$B$9:$G$91,2,FALSE),IF(T230="GROUND",VLOOKUP(W230,'Catalogue Aluminium'!$B$9:$G$91,3,FALSE),IF(T230="DUCT",VLOOKUP(W230,'Catalogue Aluminium'!$B$9:$G$91,4,FALSE),IF(T230="TRENCH",VLOOKUP(W230,'Catalogue Aluminium'!$B$9:$G$91,2,FALSE)))))</f>
        <v>257</v>
      </c>
      <c r="AA230" s="266">
        <f>VLOOKUP(W230,'Catalogue Aluminium'!$B$9:$G$91,5,FALSE)</f>
        <v>0.32400000000000001</v>
      </c>
      <c r="AB230" s="266">
        <f>VLOOKUP(W230,'Catalogue Aluminium'!$B$9:$G$91,6,FALSE)</f>
        <v>7.2599999999999998E-2</v>
      </c>
      <c r="AC230" s="406">
        <f>28+7</f>
        <v>35</v>
      </c>
      <c r="AD230" s="264">
        <f t="shared" si="654"/>
        <v>255</v>
      </c>
      <c r="AE230" s="322">
        <f t="shared" si="638"/>
        <v>38</v>
      </c>
      <c r="AF230" s="264">
        <v>8</v>
      </c>
      <c r="AG230" s="264">
        <f t="shared" si="639"/>
        <v>34</v>
      </c>
      <c r="AH230" s="267"/>
      <c r="AI230" s="265">
        <f>IF(T230="AIR",'Catalogue Aluminium'!$K$9,IF(T230="TRENCH",'Catalogue Aluminium'!$K$12,"NA"))</f>
        <v>0.89</v>
      </c>
      <c r="AJ230" s="263">
        <f>IF(T230="Air",(IF(U230="1C",'Catalogue Aluminium'!$L$9,'Catalogue Aluminium'!$M$9)),IF(T230="DUCT",(IF($U230="1C",'Catalogue Aluminium'!$L$10,'Catalogue Aluminium'!$M$10)),IF(T230="GROUND",(IF($U230="1C",'Catalogue Aluminium'!$L$11,'Catalogue Aluminium'!$M$11)),IF(T230="TRENCH",(IF($U230="1C",'Catalogue Aluminium'!$L$12,'Catalogue Aluminium'!$M$12))))))</f>
        <v>0.66</v>
      </c>
      <c r="AK230" s="265" t="str">
        <f>IF(T230="Air",'Catalogue Aluminium'!$N$9,IF(T230="GROUND",'Catalogue Aluminium'!$N$10,IF(T230="DUCT",'Catalogue Aluminium'!$N$11,IF(T230="TRENCH",'Catalogue Aluminium'!$N$12,"NA"))))</f>
        <v>NA</v>
      </c>
      <c r="AL230" s="265" t="str">
        <f>IF(T230="Air",(IF(U230="1C",'Catalogue Aluminium'!$O$9,'Catalogue Aluminium'!$P$9)),IF(T230="DUCT",(IF($U230="1C",'Catalogue Aluminium'!$O$10,'Catalogue Aluminium'!$P$10)),IF(T230="GROUND",(IF($U230="1C",'Catalogue Aluminium'!$O$11,'Catalogue Aluminium'!$P$11)),IF(T230="TRENCH",(IF($U230="1C",'Catalogue Aluminium'!$O$12,'Catalogue Aluminium'!$P$12))))))</f>
        <v>NA</v>
      </c>
      <c r="AM230" s="265" t="str">
        <f>IF(T230="AIR","NA",IF(T230="TRENCH","NA",IF(T230="DUCT",IF(U230="1C",VLOOKUP(V230,'Catalogue Aluminium'!$Q$9:$S$28,2,FALSE),VLOOKUP(V230,'Catalogue Aluminium'!$Q$9:$S$28,3)),IF(T230="GROUND",IF(U230="1C",VLOOKUP(V230,'Catalogue Aluminium'!$Q$9:$S$28,2,FALSE),VLOOKUP(V230,'Catalogue Aluminium'!$Q$9:$S$28,3))))))</f>
        <v>NA</v>
      </c>
      <c r="AN230" s="268">
        <f t="shared" si="640"/>
        <v>0.58740000000000003</v>
      </c>
      <c r="AO230" s="258">
        <f t="shared" si="641"/>
        <v>150.96180000000001</v>
      </c>
      <c r="AP230" s="348">
        <f t="shared" si="466"/>
        <v>1</v>
      </c>
      <c r="AQ230" s="258" t="str">
        <f t="shared" si="642"/>
        <v>YES</v>
      </c>
      <c r="AR230" s="268">
        <f t="shared" si="643"/>
        <v>0</v>
      </c>
      <c r="AS230" s="349" t="str">
        <f t="shared" si="644"/>
        <v>YES</v>
      </c>
      <c r="AT230" s="350">
        <f t="shared" si="645"/>
        <v>0</v>
      </c>
      <c r="AU230" s="264" t="str">
        <f t="shared" si="646"/>
        <v>YES</v>
      </c>
      <c r="AV230" s="269" t="str">
        <f t="shared" si="647"/>
        <v>1R x 0.6/1kV x 3C x 120 Sqmm</v>
      </c>
      <c r="AW230" s="269" t="str">
        <f t="shared" si="648"/>
        <v>1R x 0.6/1kV x 3C x 120+PE Sqmm</v>
      </c>
      <c r="AX230" s="264"/>
      <c r="AY230" s="270"/>
    </row>
    <row r="231" spans="1:51" ht="20.149999999999999" customHeight="1">
      <c r="A231" s="243">
        <f>1+A228</f>
        <v>150</v>
      </c>
      <c r="B231" s="600" t="s">
        <v>1048</v>
      </c>
      <c r="C231" s="243" t="str">
        <f t="shared" si="632"/>
        <v>EPMCC-1</v>
      </c>
      <c r="D231" s="118" t="s">
        <v>542</v>
      </c>
      <c r="E231" s="320" t="s">
        <v>310</v>
      </c>
      <c r="F231" s="243" t="s">
        <v>29</v>
      </c>
      <c r="G231" s="243" t="s">
        <v>311</v>
      </c>
      <c r="H231" s="304">
        <v>5.5</v>
      </c>
      <c r="I231" s="243" t="s">
        <v>299</v>
      </c>
      <c r="J231" s="243" t="s">
        <v>300</v>
      </c>
      <c r="K231" s="255">
        <v>400</v>
      </c>
      <c r="L231" s="249">
        <v>0.79</v>
      </c>
      <c r="M231" s="256">
        <v>0.8859999999999999</v>
      </c>
      <c r="N231" s="248">
        <f t="shared" si="633"/>
        <v>11.342113718622269</v>
      </c>
      <c r="O231" s="248">
        <f t="shared" si="629"/>
        <v>68.052682311733605</v>
      </c>
      <c r="P231" s="249">
        <f t="shared" si="634"/>
        <v>0.2</v>
      </c>
      <c r="Q231" s="256">
        <v>50</v>
      </c>
      <c r="R231" s="256">
        <v>0</v>
      </c>
      <c r="S231" s="256">
        <f t="shared" si="635"/>
        <v>0</v>
      </c>
      <c r="T231" s="249" t="s">
        <v>131</v>
      </c>
      <c r="U231" s="256" t="s">
        <v>302</v>
      </c>
      <c r="V231" s="249">
        <v>25</v>
      </c>
      <c r="W231" s="249" t="str">
        <f t="shared" si="636"/>
        <v>3C X 25</v>
      </c>
      <c r="X231" s="249" t="str">
        <f t="shared" si="637"/>
        <v>3C X 25+PE</v>
      </c>
      <c r="Y231" s="249" t="s">
        <v>314</v>
      </c>
      <c r="Z231" s="250">
        <f>IF(T231="AIR",VLOOKUP(W231,'Catalogue Aluminium'!$B$9:$G$91,2,FALSE),IF(T231="GROUND",VLOOKUP(W231,'Catalogue Aluminium'!$B$9:$G$91,3,FALSE),IF(T231="DUCT",VLOOKUP(W231,'Catalogue Aluminium'!$B$9:$G$91,4,FALSE),IF(T231="TRENCH",VLOOKUP(W231,'Catalogue Aluminium'!$B$9:$G$91,2,FALSE)))))</f>
        <v>95</v>
      </c>
      <c r="AA231" s="251">
        <f>VLOOKUP(W231,'Catalogue Aluminium'!$B$9:$G$91,5,FALSE)</f>
        <v>1.54</v>
      </c>
      <c r="AB231" s="251">
        <f>VLOOKUP(W231,'Catalogue Aluminium'!$B$9:$G$91,6,FALSE)</f>
        <v>8.1600000000000006E-2</v>
      </c>
      <c r="AC231" s="323">
        <f>25+8</f>
        <v>33</v>
      </c>
      <c r="AD231" s="294">
        <f>40+50+38+50+17+(27+49)</f>
        <v>271</v>
      </c>
      <c r="AE231" s="294">
        <f t="shared" si="638"/>
        <v>38</v>
      </c>
      <c r="AF231" s="294">
        <v>8</v>
      </c>
      <c r="AG231" s="294">
        <f t="shared" si="639"/>
        <v>35</v>
      </c>
      <c r="AH231" s="253">
        <f t="shared" si="649"/>
        <v>385</v>
      </c>
      <c r="AI231" s="250">
        <f>IF(T231="AIR",'Catalogue Aluminium'!$K$9,IF(T231="TRENCH",'Catalogue Aluminium'!$K$12,"NA"))</f>
        <v>0.89</v>
      </c>
      <c r="AJ231" s="248">
        <f>IF(T231="Air",(IF(U231="1C",'Catalogue Aluminium'!$L$9,'Catalogue Aluminium'!$M$9)),IF(T231="DUCT",(IF($U231="1C",'Catalogue Aluminium'!$L$10,'Catalogue Aluminium'!$M$10)),IF(T231="GROUND",(IF($U231="1C",'Catalogue Aluminium'!$L$11,'Catalogue Aluminium'!$M$11)),IF(T231="TRENCH",(IF($U231="1C",'Catalogue Aluminium'!$L$12,'Catalogue Aluminium'!$M$12))))))</f>
        <v>0.66</v>
      </c>
      <c r="AK231" s="250" t="str">
        <f>IF(T231="Air",'Catalogue Aluminium'!$N$9,IF(T231="GROUND",'Catalogue Aluminium'!$N$10,IF(T231="DUCT",'Catalogue Aluminium'!$N$11,IF(T231="TRENCH",'Catalogue Aluminium'!$N$12,"NA"))))</f>
        <v>NA</v>
      </c>
      <c r="AL231" s="250" t="str">
        <f>IF(T231="Air",(IF(U231="1C",'Catalogue Aluminium'!$O$9,'Catalogue Aluminium'!$P$9)),IF(T231="DUCT",(IF($U231="1C",'Catalogue Aluminium'!$O$10,'Catalogue Aluminium'!$P$10)),IF(T231="GROUND",(IF($U231="1C",'Catalogue Aluminium'!$O$11,'Catalogue Aluminium'!$P$11)),IF(T231="TRENCH",(IF($U231="1C",'Catalogue Aluminium'!$O$12,'Catalogue Aluminium'!$P$12))))))</f>
        <v>NA</v>
      </c>
      <c r="AM231" s="250" t="str">
        <f>IF(T231="AIR","NA",IF(T231="TRENCH","NA",IF(T231="DUCT",IF(U231="1C",VLOOKUP(V231,'Catalogue Aluminium'!$Q$9:$S$28,2,FALSE),VLOOKUP(V231,'Catalogue Aluminium'!$Q$9:$S$28,3)),IF(T231="GROUND",IF(U231="1C",VLOOKUP(V231,'Catalogue Aluminium'!$Q$9:$S$28,2,FALSE),VLOOKUP(V231,'Catalogue Aluminium'!$Q$9:$S$28,3))))))</f>
        <v>NA</v>
      </c>
      <c r="AN231" s="257">
        <f t="shared" si="640"/>
        <v>0.58740000000000003</v>
      </c>
      <c r="AO231" s="256">
        <f t="shared" si="641"/>
        <v>55.803000000000004</v>
      </c>
      <c r="AP231" s="255">
        <f t="shared" si="466"/>
        <v>1</v>
      </c>
      <c r="AQ231" s="256" t="str">
        <f t="shared" si="642"/>
        <v>YES</v>
      </c>
      <c r="AR231" s="257">
        <f t="shared" si="643"/>
        <v>2.3949969667936588</v>
      </c>
      <c r="AS231" s="249" t="str">
        <f t="shared" si="644"/>
        <v>YES</v>
      </c>
      <c r="AT231" s="257">
        <f t="shared" si="645"/>
        <v>4.4013294254611868</v>
      </c>
      <c r="AU231" s="249" t="str">
        <f t="shared" si="646"/>
        <v>YES</v>
      </c>
      <c r="AV231" s="260" t="str">
        <f t="shared" si="647"/>
        <v>1R x 0.6/1kV x 3C x 25 Sqmm</v>
      </c>
      <c r="AW231" s="260" t="str">
        <f t="shared" si="648"/>
        <v>1R x 0.6/1kV x 3C x 25+PE Sqmm</v>
      </c>
      <c r="AX231" s="249">
        <f>(IF(K231=400,(IF(U231="1C",(4*AH231*AP231),(AH231*AP231))),IF(K231=230,(AH231*AP231))))</f>
        <v>385</v>
      </c>
      <c r="AY231" s="261"/>
    </row>
    <row r="232" spans="1:51" s="75" customFormat="1" ht="20.149999999999999" hidden="1" customHeight="1">
      <c r="A232" s="262" t="s">
        <v>303</v>
      </c>
      <c r="B232" s="404" t="s">
        <v>382</v>
      </c>
      <c r="C232" s="262" t="str">
        <f t="shared" si="632"/>
        <v>EPMCC-1</v>
      </c>
      <c r="D232" s="116" t="s">
        <v>453</v>
      </c>
      <c r="E232" s="305" t="s">
        <v>310</v>
      </c>
      <c r="F232" s="262" t="s">
        <v>28</v>
      </c>
      <c r="G232" s="262" t="s">
        <v>298</v>
      </c>
      <c r="H232" s="258">
        <v>25</v>
      </c>
      <c r="I232" s="262" t="s">
        <v>299</v>
      </c>
      <c r="J232" s="262" t="s">
        <v>300</v>
      </c>
      <c r="K232" s="259">
        <v>400</v>
      </c>
      <c r="L232" s="264">
        <v>0.85</v>
      </c>
      <c r="M232" s="258">
        <v>0.95</v>
      </c>
      <c r="N232" s="263">
        <f t="shared" si="633"/>
        <v>44.687864206093288</v>
      </c>
      <c r="O232" s="263">
        <f t="shared" si="629"/>
        <v>0</v>
      </c>
      <c r="P232" s="264" t="str">
        <f t="shared" si="634"/>
        <v>0.00</v>
      </c>
      <c r="Q232" s="258">
        <v>50</v>
      </c>
      <c r="R232" s="258">
        <v>0</v>
      </c>
      <c r="S232" s="258">
        <f t="shared" si="635"/>
        <v>0</v>
      </c>
      <c r="T232" s="264" t="s">
        <v>131</v>
      </c>
      <c r="U232" s="258" t="s">
        <v>390</v>
      </c>
      <c r="V232" s="264">
        <v>120</v>
      </c>
      <c r="W232" s="264" t="str">
        <f t="shared" si="636"/>
        <v>3.5C X 120</v>
      </c>
      <c r="X232" s="264" t="str">
        <f t="shared" si="637"/>
        <v>3.5C X 120</v>
      </c>
      <c r="Y232" s="264" t="s">
        <v>314</v>
      </c>
      <c r="Z232" s="265">
        <f>IF(T232="AIR",VLOOKUP(W232,'Catalogue Aluminium'!$B$9:$G$91,2,FALSE),IF(T232="GROUND",VLOOKUP(W232,'Catalogue Aluminium'!$B$9:$G$91,3,FALSE),IF(T232="DUCT",VLOOKUP(W232,'Catalogue Aluminium'!$B$9:$G$91,4,FALSE),IF(T232="TRENCH",VLOOKUP(W232,'Catalogue Aluminium'!$B$9:$G$91,2,FALSE)))))</f>
        <v>257</v>
      </c>
      <c r="AA232" s="266">
        <f>VLOOKUP(W232,'Catalogue Aluminium'!$B$9:$G$91,5,FALSE)</f>
        <v>0.32400000000000001</v>
      </c>
      <c r="AB232" s="266">
        <f>VLOOKUP(W232,'Catalogue Aluminium'!$B$9:$G$91,6,FALSE)</f>
        <v>7.2599999999999998E-2</v>
      </c>
      <c r="AC232" s="406">
        <f>28+7</f>
        <v>35</v>
      </c>
      <c r="AD232" s="264">
        <f t="shared" si="654"/>
        <v>255</v>
      </c>
      <c r="AE232" s="322">
        <f t="shared" si="638"/>
        <v>38</v>
      </c>
      <c r="AF232" s="264">
        <v>8</v>
      </c>
      <c r="AG232" s="264">
        <f t="shared" si="639"/>
        <v>34</v>
      </c>
      <c r="AH232" s="267"/>
      <c r="AI232" s="265">
        <f>IF(T232="AIR",'Catalogue Aluminium'!$K$9,IF(T232="TRENCH",'Catalogue Aluminium'!$K$12,"NA"))</f>
        <v>0.89</v>
      </c>
      <c r="AJ232" s="263">
        <f>IF(T232="Air",(IF(U232="1C",'Catalogue Aluminium'!$L$9,'Catalogue Aluminium'!$M$9)),IF(T232="DUCT",(IF($U232="1C",'Catalogue Aluminium'!$L$10,'Catalogue Aluminium'!$M$10)),IF(T232="GROUND",(IF($U232="1C",'Catalogue Aluminium'!$L$11,'Catalogue Aluminium'!$M$11)),IF(T232="TRENCH",(IF($U232="1C",'Catalogue Aluminium'!$L$12,'Catalogue Aluminium'!$M$12))))))</f>
        <v>0.66</v>
      </c>
      <c r="AK232" s="265" t="str">
        <f>IF(T232="Air",'Catalogue Aluminium'!$N$9,IF(T232="GROUND",'Catalogue Aluminium'!$N$10,IF(T232="DUCT",'Catalogue Aluminium'!$N$11,IF(T232="TRENCH",'Catalogue Aluminium'!$N$12,"NA"))))</f>
        <v>NA</v>
      </c>
      <c r="AL232" s="265" t="str">
        <f>IF(T232="Air",(IF(U232="1C",'Catalogue Aluminium'!$O$9,'Catalogue Aluminium'!$P$9)),IF(T232="DUCT",(IF($U232="1C",'Catalogue Aluminium'!$O$10,'Catalogue Aluminium'!$P$10)),IF(T232="GROUND",(IF($U232="1C",'Catalogue Aluminium'!$O$11,'Catalogue Aluminium'!$P$11)),IF(T232="TRENCH",(IF($U232="1C",'Catalogue Aluminium'!$O$12,'Catalogue Aluminium'!$P$12))))))</f>
        <v>NA</v>
      </c>
      <c r="AM232" s="265" t="str">
        <f>IF(T232="AIR","NA",IF(T232="TRENCH","NA",IF(T232="DUCT",IF(U232="1C",VLOOKUP(V232,'Catalogue Aluminium'!$Q$9:$S$28,2,FALSE),VLOOKUP(V232,'Catalogue Aluminium'!$Q$9:$S$28,3)),IF(T232="GROUND",IF(U232="1C",VLOOKUP(V232,'Catalogue Aluminium'!$Q$9:$S$28,2,FALSE),VLOOKUP(V232,'Catalogue Aluminium'!$Q$9:$S$28,3))))))</f>
        <v>NA</v>
      </c>
      <c r="AN232" s="268">
        <f t="shared" si="640"/>
        <v>0.58740000000000003</v>
      </c>
      <c r="AO232" s="258">
        <f t="shared" si="641"/>
        <v>150.96180000000001</v>
      </c>
      <c r="AP232" s="259">
        <f t="shared" si="466"/>
        <v>1</v>
      </c>
      <c r="AQ232" s="258" t="str">
        <f t="shared" si="642"/>
        <v>YES</v>
      </c>
      <c r="AR232" s="268">
        <f t="shared" si="643"/>
        <v>0</v>
      </c>
      <c r="AS232" s="349" t="str">
        <f t="shared" si="644"/>
        <v>YES</v>
      </c>
      <c r="AT232" s="350" t="str">
        <f t="shared" si="645"/>
        <v>NA</v>
      </c>
      <c r="AU232" s="264" t="str">
        <f t="shared" si="646"/>
        <v>NA</v>
      </c>
      <c r="AV232" s="269" t="str">
        <f t="shared" si="647"/>
        <v>1R x 0.6/1kV x 3.5C x 120 Sqmm</v>
      </c>
      <c r="AW232" s="269" t="str">
        <f t="shared" si="648"/>
        <v>1R x 0.6/1kV x 3.5C x 120 Sqmm</v>
      </c>
      <c r="AX232" s="264"/>
      <c r="AY232" s="270"/>
    </row>
    <row r="233" spans="1:51" s="75" customFormat="1" ht="20.149999999999999" hidden="1" customHeight="1">
      <c r="A233" s="262" t="s">
        <v>303</v>
      </c>
      <c r="B233" s="404" t="s">
        <v>382</v>
      </c>
      <c r="C233" s="262" t="str">
        <f t="shared" si="632"/>
        <v>EPMCC-1</v>
      </c>
      <c r="D233" s="290" t="s">
        <v>543</v>
      </c>
      <c r="E233" s="305" t="s">
        <v>310</v>
      </c>
      <c r="F233" s="262" t="s">
        <v>29</v>
      </c>
      <c r="G233" s="262" t="s">
        <v>298</v>
      </c>
      <c r="H233" s="258">
        <v>1.5</v>
      </c>
      <c r="I233" s="262" t="s">
        <v>299</v>
      </c>
      <c r="J233" s="262" t="s">
        <v>300</v>
      </c>
      <c r="K233" s="259">
        <v>400</v>
      </c>
      <c r="L233" s="264">
        <v>0.85</v>
      </c>
      <c r="M233" s="258">
        <v>0.95</v>
      </c>
      <c r="N233" s="263">
        <f t="shared" si="633"/>
        <v>2.681271852365597</v>
      </c>
      <c r="O233" s="263">
        <f t="shared" si="629"/>
        <v>0</v>
      </c>
      <c r="P233" s="264" t="str">
        <f t="shared" si="634"/>
        <v>0.00</v>
      </c>
      <c r="Q233" s="258">
        <v>50</v>
      </c>
      <c r="R233" s="258">
        <v>0</v>
      </c>
      <c r="S233" s="258">
        <f t="shared" si="635"/>
        <v>0</v>
      </c>
      <c r="T233" s="264" t="s">
        <v>131</v>
      </c>
      <c r="U233" s="258" t="s">
        <v>377</v>
      </c>
      <c r="V233" s="264">
        <v>4</v>
      </c>
      <c r="W233" s="264" t="str">
        <f t="shared" si="636"/>
        <v>4C X 4</v>
      </c>
      <c r="X233" s="264" t="str">
        <f t="shared" si="637"/>
        <v>4C X 4</v>
      </c>
      <c r="Y233" s="264" t="s">
        <v>314</v>
      </c>
      <c r="Z233" s="265">
        <f>IF(T233="AIR",VLOOKUP(W233,'Catalogue Aluminium'!$B$9:$G$91,2,FALSE),IF(T233="GROUND",VLOOKUP(W233,'Catalogue Aluminium'!$B$9:$G$91,3,FALSE),IF(T233="DUCT",VLOOKUP(W233,'Catalogue Aluminium'!$B$9:$G$91,4,FALSE),IF(T233="TRENCH",VLOOKUP(W233,'Catalogue Aluminium'!$B$9:$G$91,2,FALSE)))))</f>
        <v>38</v>
      </c>
      <c r="AA233" s="266">
        <f>VLOOKUP(W233,'Catalogue Aluminium'!$B$9:$G$91,5,FALSE)</f>
        <v>5.9</v>
      </c>
      <c r="AB233" s="266">
        <f>VLOOKUP(W233,'Catalogue Aluminium'!$B$9:$G$91,6,FALSE)</f>
        <v>9.4700000000000006E-2</v>
      </c>
      <c r="AC233" s="406">
        <f>22+7</f>
        <v>29</v>
      </c>
      <c r="AD233" s="264">
        <f t="shared" si="654"/>
        <v>255</v>
      </c>
      <c r="AE233" s="322">
        <f t="shared" si="638"/>
        <v>38</v>
      </c>
      <c r="AF233" s="264">
        <v>8</v>
      </c>
      <c r="AG233" s="264">
        <f t="shared" si="639"/>
        <v>33</v>
      </c>
      <c r="AH233" s="267"/>
      <c r="AI233" s="265">
        <f>IF(T233="AIR",'Catalogue Aluminium'!$K$9,IF(T233="TRENCH",'Catalogue Aluminium'!$K$12,"NA"))</f>
        <v>0.89</v>
      </c>
      <c r="AJ233" s="263">
        <f>IF(T233="Air",(IF(U233="1C",'Catalogue Aluminium'!$L$9,'Catalogue Aluminium'!$M$9)),IF(T233="DUCT",(IF($U233="1C",'Catalogue Aluminium'!$L$10,'Catalogue Aluminium'!$M$10)),IF(T233="GROUND",(IF($U233="1C",'Catalogue Aluminium'!$L$11,'Catalogue Aluminium'!$M$11)),IF(T233="TRENCH",(IF($U233="1C",'Catalogue Aluminium'!$L$12,'Catalogue Aluminium'!$M$12))))))</f>
        <v>0.66</v>
      </c>
      <c r="AK233" s="265" t="str">
        <f>IF(T233="Air",'Catalogue Aluminium'!$N$9,IF(T233="GROUND",'Catalogue Aluminium'!$N$10,IF(T233="DUCT",'Catalogue Aluminium'!$N$11,IF(T233="TRENCH",'Catalogue Aluminium'!$N$12,"NA"))))</f>
        <v>NA</v>
      </c>
      <c r="AL233" s="265" t="str">
        <f>IF(T233="Air",(IF(U233="1C",'Catalogue Aluminium'!$O$9,'Catalogue Aluminium'!$P$9)),IF(T233="DUCT",(IF($U233="1C",'Catalogue Aluminium'!$O$10,'Catalogue Aluminium'!$P$10)),IF(T233="GROUND",(IF($U233="1C",'Catalogue Aluminium'!$O$11,'Catalogue Aluminium'!$P$11)),IF(T233="TRENCH",(IF($U233="1C",'Catalogue Aluminium'!$O$12,'Catalogue Aluminium'!$P$12))))))</f>
        <v>NA</v>
      </c>
      <c r="AM233" s="265" t="str">
        <f>IF(T233="AIR","NA",IF(T233="TRENCH","NA",IF(T233="DUCT",IF(U233="1C",VLOOKUP(V233,'Catalogue Aluminium'!$Q$9:$S$28,2,FALSE),VLOOKUP(V233,'Catalogue Aluminium'!$Q$9:$S$28,3)),IF(T233="GROUND",IF(U233="1C",VLOOKUP(V233,'Catalogue Aluminium'!$Q$9:$S$28,2,FALSE),VLOOKUP(V233,'Catalogue Aluminium'!$Q$9:$S$28,3))))))</f>
        <v>NA</v>
      </c>
      <c r="AN233" s="268">
        <f t="shared" si="640"/>
        <v>0.58740000000000003</v>
      </c>
      <c r="AO233" s="258">
        <f t="shared" si="641"/>
        <v>22.321200000000001</v>
      </c>
      <c r="AP233" s="259">
        <f t="shared" si="466"/>
        <v>1</v>
      </c>
      <c r="AQ233" s="258" t="str">
        <f t="shared" si="642"/>
        <v>YES</v>
      </c>
      <c r="AR233" s="268">
        <f t="shared" si="643"/>
        <v>0</v>
      </c>
      <c r="AS233" s="349" t="str">
        <f t="shared" si="644"/>
        <v>YES</v>
      </c>
      <c r="AT233" s="350" t="str">
        <f t="shared" si="645"/>
        <v>NA</v>
      </c>
      <c r="AU233" s="264" t="str">
        <f t="shared" si="646"/>
        <v>NA</v>
      </c>
      <c r="AV233" s="269" t="str">
        <f t="shared" si="647"/>
        <v>1R x 0.6/1kV x 4C x 4 Sqmm</v>
      </c>
      <c r="AW233" s="269" t="str">
        <f t="shared" si="648"/>
        <v>1R x 0.6/1kV x 4C x 4 Sqmm</v>
      </c>
      <c r="AX233" s="264"/>
      <c r="AY233" s="270"/>
    </row>
    <row r="234" spans="1:51" s="75" customFormat="1" ht="20.149999999999999" hidden="1" customHeight="1">
      <c r="A234" s="262" t="s">
        <v>303</v>
      </c>
      <c r="B234" s="404" t="s">
        <v>382</v>
      </c>
      <c r="C234" s="262" t="str">
        <f t="shared" si="632"/>
        <v>EPMCC-1</v>
      </c>
      <c r="D234" s="290" t="s">
        <v>544</v>
      </c>
      <c r="E234" s="305" t="s">
        <v>310</v>
      </c>
      <c r="F234" s="262" t="s">
        <v>28</v>
      </c>
      <c r="G234" s="262" t="s">
        <v>298</v>
      </c>
      <c r="H234" s="258">
        <v>40</v>
      </c>
      <c r="I234" s="262" t="s">
        <v>299</v>
      </c>
      <c r="J234" s="262" t="s">
        <v>300</v>
      </c>
      <c r="K234" s="259">
        <v>400</v>
      </c>
      <c r="L234" s="264">
        <v>0.85</v>
      </c>
      <c r="M234" s="258">
        <v>0.95</v>
      </c>
      <c r="N234" s="263">
        <f t="shared" si="633"/>
        <v>71.500582729749254</v>
      </c>
      <c r="O234" s="263">
        <f t="shared" si="629"/>
        <v>0</v>
      </c>
      <c r="P234" s="264" t="str">
        <f t="shared" si="634"/>
        <v>0.00</v>
      </c>
      <c r="Q234" s="258">
        <v>50</v>
      </c>
      <c r="R234" s="258">
        <v>0</v>
      </c>
      <c r="S234" s="258">
        <f t="shared" si="635"/>
        <v>0</v>
      </c>
      <c r="T234" s="264" t="s">
        <v>131</v>
      </c>
      <c r="U234" s="258" t="s">
        <v>390</v>
      </c>
      <c r="V234" s="264">
        <v>240</v>
      </c>
      <c r="W234" s="264" t="str">
        <f t="shared" si="636"/>
        <v>3.5C X 240</v>
      </c>
      <c r="X234" s="264" t="str">
        <f t="shared" si="637"/>
        <v>3.5C X 240</v>
      </c>
      <c r="Y234" s="264" t="s">
        <v>314</v>
      </c>
      <c r="Z234" s="265">
        <f>IF(T234="AIR",VLOOKUP(W234,'Catalogue Aluminium'!$B$9:$G$91,2,FALSE),IF(T234="GROUND",VLOOKUP(W234,'Catalogue Aluminium'!$B$9:$G$91,3,FALSE),IF(T234="DUCT",VLOOKUP(W234,'Catalogue Aluminium'!$B$9:$G$91,4,FALSE),IF(T234="TRENCH",VLOOKUP(W234,'Catalogue Aluminium'!$B$9:$G$91,2,FALSE)))))</f>
        <v>401</v>
      </c>
      <c r="AA234" s="266">
        <f>VLOOKUP(W234,'Catalogue Aluminium'!$B$9:$G$91,5,FALSE)</f>
        <v>0.16</v>
      </c>
      <c r="AB234" s="266">
        <f>VLOOKUP(W234,'Catalogue Aluminium'!$B$9:$G$91,6,FALSE)</f>
        <v>7.1900000000000006E-2</v>
      </c>
      <c r="AC234" s="406">
        <f>28+7</f>
        <v>35</v>
      </c>
      <c r="AD234" s="264">
        <f t="shared" si="654"/>
        <v>255</v>
      </c>
      <c r="AE234" s="264">
        <f t="shared" si="638"/>
        <v>38</v>
      </c>
      <c r="AF234" s="264">
        <v>8</v>
      </c>
      <c r="AG234" s="264">
        <f t="shared" si="639"/>
        <v>34</v>
      </c>
      <c r="AH234" s="267"/>
      <c r="AI234" s="265">
        <f>IF(T234="AIR",'Catalogue Aluminium'!$K$9,IF(T234="TRENCH",'Catalogue Aluminium'!$K$12,"NA"))</f>
        <v>0.89</v>
      </c>
      <c r="AJ234" s="263">
        <f>IF(T234="Air",(IF(U234="1C",'Catalogue Aluminium'!$L$9,'Catalogue Aluminium'!$M$9)),IF(T234="DUCT",(IF($U234="1C",'Catalogue Aluminium'!$L$10,'Catalogue Aluminium'!$M$10)),IF(T234="GROUND",(IF($U234="1C",'Catalogue Aluminium'!$L$11,'Catalogue Aluminium'!$M$11)),IF(T234="TRENCH",(IF($U234="1C",'Catalogue Aluminium'!$L$12,'Catalogue Aluminium'!$M$12))))))</f>
        <v>0.66</v>
      </c>
      <c r="AK234" s="265" t="str">
        <f>IF(T234="Air",'Catalogue Aluminium'!$N$9,IF(T234="GROUND",'Catalogue Aluminium'!$N$10,IF(T234="DUCT",'Catalogue Aluminium'!$N$11,IF(T234="TRENCH",'Catalogue Aluminium'!$N$12,"NA"))))</f>
        <v>NA</v>
      </c>
      <c r="AL234" s="265" t="str">
        <f>IF(T234="Air",(IF(U234="1C",'Catalogue Aluminium'!$O$9,'Catalogue Aluminium'!$P$9)),IF(T234="DUCT",(IF($U234="1C",'Catalogue Aluminium'!$O$10,'Catalogue Aluminium'!$P$10)),IF(T234="GROUND",(IF($U234="1C",'Catalogue Aluminium'!$O$11,'Catalogue Aluminium'!$P$11)),IF(T234="TRENCH",(IF($U234="1C",'Catalogue Aluminium'!$O$12,'Catalogue Aluminium'!$P$12))))))</f>
        <v>NA</v>
      </c>
      <c r="AM234" s="265" t="str">
        <f>IF(T234="AIR","NA",IF(T234="TRENCH","NA",IF(T234="DUCT",IF(U234="1C",VLOOKUP(V234,'Catalogue Aluminium'!$Q$9:$S$28,2,FALSE),VLOOKUP(V234,'Catalogue Aluminium'!$Q$9:$S$28,3)),IF(T234="GROUND",IF(U234="1C",VLOOKUP(V234,'Catalogue Aluminium'!$Q$9:$S$28,2,FALSE),VLOOKUP(V234,'Catalogue Aluminium'!$Q$9:$S$28,3))))))</f>
        <v>NA</v>
      </c>
      <c r="AN234" s="268">
        <f t="shared" si="640"/>
        <v>0.58740000000000003</v>
      </c>
      <c r="AO234" s="258">
        <f t="shared" si="641"/>
        <v>235.54740000000001</v>
      </c>
      <c r="AP234" s="259">
        <f t="shared" si="466"/>
        <v>1</v>
      </c>
      <c r="AQ234" s="258" t="str">
        <f t="shared" si="642"/>
        <v>YES</v>
      </c>
      <c r="AR234" s="268">
        <f t="shared" si="643"/>
        <v>0</v>
      </c>
      <c r="AS234" s="349" t="str">
        <f t="shared" si="644"/>
        <v>YES</v>
      </c>
      <c r="AT234" s="350" t="str">
        <f t="shared" si="645"/>
        <v>NA</v>
      </c>
      <c r="AU234" s="264" t="str">
        <f t="shared" si="646"/>
        <v>NA</v>
      </c>
      <c r="AV234" s="269" t="str">
        <f t="shared" si="647"/>
        <v>1R x 0.6/1kV x 3.5C x 240 Sqmm</v>
      </c>
      <c r="AW234" s="269" t="str">
        <f t="shared" si="648"/>
        <v>1R x 0.6/1kV x 3.5C x 240 Sqmm</v>
      </c>
      <c r="AX234" s="264"/>
      <c r="AY234" s="270"/>
    </row>
    <row r="235" spans="1:51" ht="21.75" customHeight="1">
      <c r="A235" s="243">
        <f>1+A231</f>
        <v>151</v>
      </c>
      <c r="B235" s="373" t="s">
        <v>382</v>
      </c>
      <c r="C235" s="243" t="str">
        <f t="shared" si="632"/>
        <v>EPMCC-1</v>
      </c>
      <c r="D235" s="244" t="s">
        <v>535</v>
      </c>
      <c r="E235" s="351" t="s">
        <v>410</v>
      </c>
      <c r="F235" s="364" t="s">
        <v>29</v>
      </c>
      <c r="G235" s="243" t="s">
        <v>298</v>
      </c>
      <c r="H235" s="421">
        <v>1.45</v>
      </c>
      <c r="I235" s="243" t="s">
        <v>299</v>
      </c>
      <c r="J235" s="243" t="s">
        <v>313</v>
      </c>
      <c r="K235" s="255">
        <v>230</v>
      </c>
      <c r="L235" s="249">
        <v>0.85</v>
      </c>
      <c r="M235" s="256">
        <v>0.95</v>
      </c>
      <c r="N235" s="248">
        <f t="shared" si="633"/>
        <v>7.8072418898909683</v>
      </c>
      <c r="O235" s="248">
        <f t="shared" si="629"/>
        <v>0</v>
      </c>
      <c r="P235" s="249" t="str">
        <f t="shared" si="634"/>
        <v>0.00</v>
      </c>
      <c r="Q235" s="256">
        <v>50</v>
      </c>
      <c r="R235" s="256">
        <v>0</v>
      </c>
      <c r="S235" s="256">
        <f t="shared" si="635"/>
        <v>0</v>
      </c>
      <c r="T235" s="249" t="s">
        <v>131</v>
      </c>
      <c r="U235" s="256" t="s">
        <v>302</v>
      </c>
      <c r="V235" s="249">
        <v>16</v>
      </c>
      <c r="W235" s="249" t="str">
        <f t="shared" si="636"/>
        <v>3C X 16</v>
      </c>
      <c r="X235" s="249" t="str">
        <f t="shared" si="637"/>
        <v>3C X 16</v>
      </c>
      <c r="Y235" s="249" t="s">
        <v>314</v>
      </c>
      <c r="Z235" s="250">
        <f>IF(T235="AIR",VLOOKUP(W235,'Catalogue Aluminium'!$B$9:$G$91,2,FALSE),IF(T235="GROUND",VLOOKUP(W235,'Catalogue Aluminium'!$B$9:$G$91,3,FALSE),IF(T235="DUCT",VLOOKUP(W235,'Catalogue Aluminium'!$B$9:$G$91,4,FALSE),IF(T235="TRENCH",VLOOKUP(W235,'Catalogue Aluminium'!$B$9:$G$91,2,FALSE)))))</f>
        <v>70</v>
      </c>
      <c r="AA235" s="251">
        <f>VLOOKUP(W235,'Catalogue Aluminium'!$B$9:$G$91,5,FALSE)</f>
        <v>2.44</v>
      </c>
      <c r="AB235" s="251">
        <f>VLOOKUP(W235,'Catalogue Aluminium'!$B$9:$G$91,6,FALSE)</f>
        <v>8.1500000000000003E-2</v>
      </c>
      <c r="AC235" s="323">
        <f>24+6</f>
        <v>30</v>
      </c>
      <c r="AD235" s="294">
        <v>80</v>
      </c>
      <c r="AE235" s="294">
        <v>5</v>
      </c>
      <c r="AF235" s="294">
        <v>8</v>
      </c>
      <c r="AG235" s="294">
        <f t="shared" si="639"/>
        <v>13</v>
      </c>
      <c r="AH235" s="253">
        <f t="shared" si="649"/>
        <v>136</v>
      </c>
      <c r="AI235" s="250">
        <f>IF(T235="AIR",'Catalogue Aluminium'!$K$9,IF(T235="TRENCH",'Catalogue Aluminium'!$K$12,"NA"))</f>
        <v>0.89</v>
      </c>
      <c r="AJ235" s="248">
        <f>IF(T235="Air",(IF(U235="1C",'Catalogue Aluminium'!$L$9,'Catalogue Aluminium'!$M$9)),IF(T235="DUCT",(IF($U235="1C",'Catalogue Aluminium'!$L$10,'Catalogue Aluminium'!$M$10)),IF(T235="GROUND",(IF($U235="1C",'Catalogue Aluminium'!$L$11,'Catalogue Aluminium'!$M$11)),IF(T235="TRENCH",(IF($U235="1C",'Catalogue Aluminium'!$L$12,'Catalogue Aluminium'!$M$12))))))</f>
        <v>0.66</v>
      </c>
      <c r="AK235" s="250" t="str">
        <f>IF(T235="Air",'Catalogue Aluminium'!$N$9,IF(T235="GROUND",'Catalogue Aluminium'!$N$10,IF(T235="DUCT",'Catalogue Aluminium'!$N$11,IF(T235="TRENCH",'Catalogue Aluminium'!$N$12,"NA"))))</f>
        <v>NA</v>
      </c>
      <c r="AL235" s="250" t="str">
        <f>IF(T235="Air",(IF(U235="1C",'Catalogue Aluminium'!$O$9,'Catalogue Aluminium'!$P$9)),IF(T235="DUCT",(IF($U235="1C",'Catalogue Aluminium'!$O$10,'Catalogue Aluminium'!$P$10)),IF(T235="GROUND",(IF($U235="1C",'Catalogue Aluminium'!$O$11,'Catalogue Aluminium'!$P$11)),IF(T235="TRENCH",(IF($U235="1C",'Catalogue Aluminium'!$O$12,'Catalogue Aluminium'!$P$12))))))</f>
        <v>NA</v>
      </c>
      <c r="AM235" s="250" t="str">
        <f>IF(T235="AIR","NA",IF(T235="TRENCH","NA",IF(T235="DUCT",IF(U235="1C",VLOOKUP(V235,'Catalogue Aluminium'!$Q$9:$S$28,2,FALSE),VLOOKUP(V235,'Catalogue Aluminium'!$Q$9:$S$28,3)),IF(T235="GROUND",IF(U235="1C",VLOOKUP(V235,'Catalogue Aluminium'!$Q$9:$S$28,2,FALSE),VLOOKUP(V235,'Catalogue Aluminium'!$Q$9:$S$28,3))))))</f>
        <v>NA</v>
      </c>
      <c r="AN235" s="257">
        <f t="shared" si="640"/>
        <v>0.58740000000000003</v>
      </c>
      <c r="AO235" s="256">
        <f t="shared" si="641"/>
        <v>41.118000000000002</v>
      </c>
      <c r="AP235" s="255">
        <f t="shared" si="466"/>
        <v>1</v>
      </c>
      <c r="AQ235" s="256" t="str">
        <f t="shared" si="642"/>
        <v>YES</v>
      </c>
      <c r="AR235" s="257">
        <f t="shared" si="643"/>
        <v>1.6926860094811131</v>
      </c>
      <c r="AS235" s="249" t="str">
        <f t="shared" si="644"/>
        <v>YES</v>
      </c>
      <c r="AT235" s="257" t="str">
        <f t="shared" si="645"/>
        <v>NA</v>
      </c>
      <c r="AU235" s="249" t="str">
        <f t="shared" si="646"/>
        <v>NA</v>
      </c>
      <c r="AV235" s="260" t="str">
        <f t="shared" si="647"/>
        <v>1R x 0.6/1kV x 3C x 16 Sqmm</v>
      </c>
      <c r="AW235" s="260" t="str">
        <f t="shared" si="648"/>
        <v>1R x 0.6/1kV x 3C x 16 Sqmm</v>
      </c>
      <c r="AX235" s="249">
        <f>(IF(K235=400,(IF(U235="1C",(4*AH235*AP235),(AH235*AP235))),IF(K235=230,(AH235*AP235))))</f>
        <v>136</v>
      </c>
      <c r="AY235" s="261"/>
    </row>
    <row r="236" spans="1:51" s="75" customFormat="1" ht="20.149999999999999" hidden="1" customHeight="1">
      <c r="A236" s="262" t="s">
        <v>303</v>
      </c>
      <c r="B236" s="404" t="s">
        <v>382</v>
      </c>
      <c r="C236" s="262" t="str">
        <f t="shared" si="632"/>
        <v>EPMCC-1</v>
      </c>
      <c r="D236" s="290" t="s">
        <v>545</v>
      </c>
      <c r="E236" s="305" t="s">
        <v>310</v>
      </c>
      <c r="F236" s="262" t="s">
        <v>28</v>
      </c>
      <c r="G236" s="262" t="s">
        <v>298</v>
      </c>
      <c r="H236" s="258">
        <v>4</v>
      </c>
      <c r="I236" s="262" t="s">
        <v>299</v>
      </c>
      <c r="J236" s="262" t="s">
        <v>300</v>
      </c>
      <c r="K236" s="259">
        <v>400</v>
      </c>
      <c r="L236" s="264">
        <v>0.85</v>
      </c>
      <c r="M236" s="258">
        <v>0.95</v>
      </c>
      <c r="N236" s="263">
        <f t="shared" si="633"/>
        <v>7.1500582729749258</v>
      </c>
      <c r="O236" s="263">
        <f t="shared" si="629"/>
        <v>0</v>
      </c>
      <c r="P236" s="264" t="str">
        <f t="shared" si="634"/>
        <v>0.00</v>
      </c>
      <c r="Q236" s="258">
        <v>50</v>
      </c>
      <c r="R236" s="258">
        <v>0</v>
      </c>
      <c r="S236" s="258">
        <f t="shared" si="635"/>
        <v>0</v>
      </c>
      <c r="T236" s="264" t="s">
        <v>131</v>
      </c>
      <c r="U236" s="258" t="s">
        <v>377</v>
      </c>
      <c r="V236" s="264">
        <v>16</v>
      </c>
      <c r="W236" s="264" t="str">
        <f t="shared" si="636"/>
        <v>4C X 16</v>
      </c>
      <c r="X236" s="264" t="str">
        <f t="shared" si="637"/>
        <v>4C X 16</v>
      </c>
      <c r="Y236" s="264" t="s">
        <v>314</v>
      </c>
      <c r="Z236" s="265">
        <f>IF(T236="AIR",VLOOKUP(W236,'Catalogue Aluminium'!$B$9:$G$91,2,FALSE),IF(T236="GROUND",VLOOKUP(W236,'Catalogue Aluminium'!$B$9:$G$91,3,FALSE),IF(T236="DUCT",VLOOKUP(W236,'Catalogue Aluminium'!$B$9:$G$91,4,FALSE),IF(T236="TRENCH",VLOOKUP(W236,'Catalogue Aluminium'!$B$9:$G$91,2,FALSE)))))</f>
        <v>70</v>
      </c>
      <c r="AA236" s="266">
        <f>VLOOKUP(W236,'Catalogue Aluminium'!$B$9:$G$91,5,FALSE)</f>
        <v>2.44</v>
      </c>
      <c r="AB236" s="266">
        <f>VLOOKUP(W236,'Catalogue Aluminium'!$B$9:$G$91,6,FALSE)</f>
        <v>8.1500000000000003E-2</v>
      </c>
      <c r="AC236" s="406">
        <f>28+7</f>
        <v>35</v>
      </c>
      <c r="AD236" s="264">
        <f t="shared" si="654"/>
        <v>255</v>
      </c>
      <c r="AE236" s="322">
        <f t="shared" si="638"/>
        <v>38</v>
      </c>
      <c r="AF236" s="264">
        <v>8</v>
      </c>
      <c r="AG236" s="264">
        <f t="shared" si="639"/>
        <v>34</v>
      </c>
      <c r="AH236" s="267"/>
      <c r="AI236" s="265">
        <f>IF(T236="AIR",'Catalogue Aluminium'!$K$9,IF(T236="TRENCH",'Catalogue Aluminium'!$K$12,"NA"))</f>
        <v>0.89</v>
      </c>
      <c r="AJ236" s="263">
        <f>IF(T236="Air",(IF(U236="1C",'Catalogue Aluminium'!$L$9,'Catalogue Aluminium'!$M$9)),IF(T236="DUCT",(IF($U236="1C",'Catalogue Aluminium'!$L$10,'Catalogue Aluminium'!$M$10)),IF(T236="GROUND",(IF($U236="1C",'Catalogue Aluminium'!$L$11,'Catalogue Aluminium'!$M$11)),IF(T236="TRENCH",(IF($U236="1C",'Catalogue Aluminium'!$L$12,'Catalogue Aluminium'!$M$12))))))</f>
        <v>0.66</v>
      </c>
      <c r="AK236" s="265" t="str">
        <f>IF(T236="Air",'Catalogue Aluminium'!$N$9,IF(T236="GROUND",'Catalogue Aluminium'!$N$10,IF(T236="DUCT",'Catalogue Aluminium'!$N$11,IF(T236="TRENCH",'Catalogue Aluminium'!$N$12,"NA"))))</f>
        <v>NA</v>
      </c>
      <c r="AL236" s="265" t="str">
        <f>IF(T236="Air",(IF(U236="1C",'Catalogue Aluminium'!$O$9,'Catalogue Aluminium'!$P$9)),IF(T236="DUCT",(IF($U236="1C",'Catalogue Aluminium'!$O$10,'Catalogue Aluminium'!$P$10)),IF(T236="GROUND",(IF($U236="1C",'Catalogue Aluminium'!$O$11,'Catalogue Aluminium'!$P$11)),IF(T236="TRENCH",(IF($U236="1C",'Catalogue Aluminium'!$O$12,'Catalogue Aluminium'!$P$12))))))</f>
        <v>NA</v>
      </c>
      <c r="AM236" s="265" t="str">
        <f>IF(T236="AIR","NA",IF(T236="TRENCH","NA",IF(T236="DUCT",IF(U236="1C",VLOOKUP(V236,'Catalogue Aluminium'!$Q$9:$S$28,2,FALSE),VLOOKUP(V236,'Catalogue Aluminium'!$Q$9:$S$28,3)),IF(T236="GROUND",IF(U236="1C",VLOOKUP(V236,'Catalogue Aluminium'!$Q$9:$S$28,2,FALSE),VLOOKUP(V236,'Catalogue Aluminium'!$Q$9:$S$28,3))))))</f>
        <v>NA</v>
      </c>
      <c r="AN236" s="268">
        <f t="shared" si="640"/>
        <v>0.58740000000000003</v>
      </c>
      <c r="AO236" s="258">
        <f t="shared" si="641"/>
        <v>41.118000000000002</v>
      </c>
      <c r="AP236" s="259">
        <f t="shared" si="466"/>
        <v>1</v>
      </c>
      <c r="AQ236" s="258" t="str">
        <f t="shared" si="642"/>
        <v>YES</v>
      </c>
      <c r="AR236" s="268">
        <f t="shared" si="643"/>
        <v>0</v>
      </c>
      <c r="AS236" s="349" t="str">
        <f t="shared" si="644"/>
        <v>YES</v>
      </c>
      <c r="AT236" s="350" t="str">
        <f t="shared" si="645"/>
        <v>NA</v>
      </c>
      <c r="AU236" s="264" t="str">
        <f t="shared" si="646"/>
        <v>NA</v>
      </c>
      <c r="AV236" s="269" t="str">
        <f t="shared" si="647"/>
        <v>1R x 0.6/1kV x 4C x 16 Sqmm</v>
      </c>
      <c r="AW236" s="269" t="str">
        <f t="shared" si="648"/>
        <v>1R x 0.6/1kV x 4C x 16 Sqmm</v>
      </c>
      <c r="AX236" s="264"/>
      <c r="AY236" s="270"/>
    </row>
    <row r="237" spans="1:51" s="75" customFormat="1" ht="20.149999999999999" hidden="1" customHeight="1">
      <c r="A237" s="262" t="s">
        <v>303</v>
      </c>
      <c r="B237" s="404" t="s">
        <v>382</v>
      </c>
      <c r="C237" s="262" t="str">
        <f t="shared" si="632"/>
        <v>EPMCC-1</v>
      </c>
      <c r="D237" s="290" t="s">
        <v>546</v>
      </c>
      <c r="E237" s="305" t="s">
        <v>310</v>
      </c>
      <c r="F237" s="262" t="s">
        <v>29</v>
      </c>
      <c r="G237" s="262" t="s">
        <v>298</v>
      </c>
      <c r="H237" s="258">
        <v>2</v>
      </c>
      <c r="I237" s="262" t="s">
        <v>299</v>
      </c>
      <c r="J237" s="262" t="s">
        <v>300</v>
      </c>
      <c r="K237" s="259">
        <v>400</v>
      </c>
      <c r="L237" s="264">
        <v>0.85</v>
      </c>
      <c r="M237" s="258">
        <v>0.95</v>
      </c>
      <c r="N237" s="263">
        <f t="shared" si="633"/>
        <v>3.5750291364874629</v>
      </c>
      <c r="O237" s="263">
        <f t="shared" si="629"/>
        <v>0</v>
      </c>
      <c r="P237" s="264" t="str">
        <f t="shared" si="634"/>
        <v>0.00</v>
      </c>
      <c r="Q237" s="258">
        <v>50</v>
      </c>
      <c r="R237" s="258">
        <v>0</v>
      </c>
      <c r="S237" s="258">
        <f t="shared" si="635"/>
        <v>0</v>
      </c>
      <c r="T237" s="264" t="s">
        <v>131</v>
      </c>
      <c r="U237" s="258" t="s">
        <v>377</v>
      </c>
      <c r="V237" s="371">
        <v>6</v>
      </c>
      <c r="W237" s="264" t="str">
        <f t="shared" si="636"/>
        <v>4C X 6</v>
      </c>
      <c r="X237" s="264" t="str">
        <f t="shared" si="637"/>
        <v>4C X 6</v>
      </c>
      <c r="Y237" s="264" t="s">
        <v>314</v>
      </c>
      <c r="Z237" s="265">
        <f>IF(T237="AIR",VLOOKUP(W237,'Catalogue Aluminium'!$B$9:$G$91,2,FALSE),IF(T237="GROUND",VLOOKUP(W237,'Catalogue Aluminium'!$B$9:$G$91,3,FALSE),IF(T237="DUCT",VLOOKUP(W237,'Catalogue Aluminium'!$B$9:$G$91,4,FALSE),IF(T237="TRENCH",VLOOKUP(W237,'Catalogue Aluminium'!$B$9:$G$91,2,FALSE)))))</f>
        <v>51</v>
      </c>
      <c r="AA237" s="266">
        <f>VLOOKUP(W237,'Catalogue Aluminium'!$B$9:$G$91,5,FALSE)</f>
        <v>3.94</v>
      </c>
      <c r="AB237" s="266">
        <f>VLOOKUP(W237,'Catalogue Aluminium'!$B$9:$G$91,6,FALSE)</f>
        <v>9.0200000000000002E-2</v>
      </c>
      <c r="AC237" s="406">
        <f>22+7</f>
        <v>29</v>
      </c>
      <c r="AD237" s="264">
        <f t="shared" si="654"/>
        <v>255</v>
      </c>
      <c r="AE237" s="322">
        <f t="shared" si="638"/>
        <v>38</v>
      </c>
      <c r="AF237" s="264">
        <v>8</v>
      </c>
      <c r="AG237" s="264">
        <f t="shared" si="639"/>
        <v>33</v>
      </c>
      <c r="AH237" s="267"/>
      <c r="AI237" s="265">
        <f>IF(T237="AIR",'Catalogue Aluminium'!$K$9,IF(T237="TRENCH",'Catalogue Aluminium'!$K$12,"NA"))</f>
        <v>0.89</v>
      </c>
      <c r="AJ237" s="263">
        <f>IF(T237="Air",(IF(U237="1C",'Catalogue Aluminium'!$L$9,'Catalogue Aluminium'!$M$9)),IF(T237="DUCT",(IF($U237="1C",'Catalogue Aluminium'!$L$10,'Catalogue Aluminium'!$M$10)),IF(T237="GROUND",(IF($U237="1C",'Catalogue Aluminium'!$L$11,'Catalogue Aluminium'!$M$11)),IF(T237="TRENCH",(IF($U237="1C",'Catalogue Aluminium'!$L$12,'Catalogue Aluminium'!$M$12))))))</f>
        <v>0.66</v>
      </c>
      <c r="AK237" s="265" t="str">
        <f>IF(T237="Air",'Catalogue Aluminium'!$N$9,IF(T237="GROUND",'Catalogue Aluminium'!$N$10,IF(T237="DUCT",'Catalogue Aluminium'!$N$11,IF(T237="TRENCH",'Catalogue Aluminium'!$N$12,"NA"))))</f>
        <v>NA</v>
      </c>
      <c r="AL237" s="265" t="str">
        <f>IF(T237="Air",(IF(U237="1C",'Catalogue Aluminium'!$O$9,'Catalogue Aluminium'!$P$9)),IF(T237="DUCT",(IF($U237="1C",'Catalogue Aluminium'!$O$10,'Catalogue Aluminium'!$P$10)),IF(T237="GROUND",(IF($U237="1C",'Catalogue Aluminium'!$O$11,'Catalogue Aluminium'!$P$11)),IF(T237="TRENCH",(IF($U237="1C",'Catalogue Aluminium'!$O$12,'Catalogue Aluminium'!$P$12))))))</f>
        <v>NA</v>
      </c>
      <c r="AM237" s="265" t="str">
        <f>IF(T237="AIR","NA",IF(T237="TRENCH","NA",IF(T237="DUCT",IF(U237="1C",VLOOKUP(V237,'Catalogue Aluminium'!$Q$9:$S$28,2,FALSE),VLOOKUP(V237,'Catalogue Aluminium'!$Q$9:$S$28,3)),IF(T237="GROUND",IF(U237="1C",VLOOKUP(V237,'Catalogue Aluminium'!$Q$9:$S$28,2,FALSE),VLOOKUP(V237,'Catalogue Aluminium'!$Q$9:$S$28,3))))))</f>
        <v>NA</v>
      </c>
      <c r="AN237" s="268">
        <f t="shared" si="640"/>
        <v>0.58740000000000003</v>
      </c>
      <c r="AO237" s="258">
        <f t="shared" si="641"/>
        <v>29.957400000000003</v>
      </c>
      <c r="AP237" s="259">
        <f t="shared" ref="AP237:AP289" si="655">CEILING(((N237)/AO237),1)</f>
        <v>1</v>
      </c>
      <c r="AQ237" s="258" t="str">
        <f t="shared" si="642"/>
        <v>YES</v>
      </c>
      <c r="AR237" s="268">
        <f t="shared" si="643"/>
        <v>0</v>
      </c>
      <c r="AS237" s="349" t="str">
        <f t="shared" si="644"/>
        <v>YES</v>
      </c>
      <c r="AT237" s="350" t="str">
        <f t="shared" si="645"/>
        <v>NA</v>
      </c>
      <c r="AU237" s="264" t="str">
        <f t="shared" si="646"/>
        <v>NA</v>
      </c>
      <c r="AV237" s="269" t="str">
        <f t="shared" si="647"/>
        <v>1R x 0.6/1kV x 4C x 6 Sqmm</v>
      </c>
      <c r="AW237" s="269" t="str">
        <f t="shared" si="648"/>
        <v>1R x 0.6/1kV x 4C x 6 Sqmm</v>
      </c>
      <c r="AX237" s="264"/>
      <c r="AY237" s="270"/>
    </row>
    <row r="238" spans="1:51" ht="20.149999999999999" customHeight="1">
      <c r="A238" s="243">
        <f>1+A235</f>
        <v>152</v>
      </c>
      <c r="B238" s="599" t="s">
        <v>1049</v>
      </c>
      <c r="C238" s="243" t="s">
        <v>491</v>
      </c>
      <c r="D238" s="272" t="s">
        <v>547</v>
      </c>
      <c r="E238" s="320" t="s">
        <v>310</v>
      </c>
      <c r="F238" s="243" t="s">
        <v>28</v>
      </c>
      <c r="G238" s="243" t="s">
        <v>298</v>
      </c>
      <c r="H238" s="421">
        <v>22</v>
      </c>
      <c r="I238" s="243" t="s">
        <v>299</v>
      </c>
      <c r="J238" s="243" t="s">
        <v>300</v>
      </c>
      <c r="K238" s="255">
        <v>400</v>
      </c>
      <c r="L238" s="249">
        <v>0.85</v>
      </c>
      <c r="M238" s="256">
        <v>0.95</v>
      </c>
      <c r="N238" s="248">
        <f t="shared" si="633"/>
        <v>39.325320501362093</v>
      </c>
      <c r="O238" s="248">
        <f t="shared" si="629"/>
        <v>0</v>
      </c>
      <c r="P238" s="249" t="str">
        <f t="shared" si="634"/>
        <v>0.00</v>
      </c>
      <c r="Q238" s="256">
        <v>65</v>
      </c>
      <c r="R238" s="256">
        <v>0</v>
      </c>
      <c r="S238" s="256">
        <f t="shared" si="635"/>
        <v>0</v>
      </c>
      <c r="T238" s="249" t="s">
        <v>131</v>
      </c>
      <c r="U238" s="256" t="s">
        <v>390</v>
      </c>
      <c r="V238" s="249">
        <v>50</v>
      </c>
      <c r="W238" s="249" t="str">
        <f t="shared" si="636"/>
        <v>3.5C X 50</v>
      </c>
      <c r="X238" s="249" t="str">
        <f t="shared" si="637"/>
        <v>3.5C X 50</v>
      </c>
      <c r="Y238" s="249" t="s">
        <v>314</v>
      </c>
      <c r="Z238" s="250">
        <f>IF(T238="AIR",VLOOKUP(W238,'Catalogue Aluminium'!$B$9:$G$91,2,FALSE),IF(T238="GROUND",VLOOKUP(W238,'Catalogue Aluminium'!$B$9:$G$91,3,FALSE),IF(T238="DUCT",VLOOKUP(W238,'Catalogue Aluminium'!$B$9:$G$91,4,FALSE),IF(T238="TRENCH",VLOOKUP(W238,'Catalogue Aluminium'!$B$9:$G$91,2,FALSE)))))</f>
        <v>141</v>
      </c>
      <c r="AA238" s="251">
        <f>VLOOKUP(W238,'Catalogue Aluminium'!$B$9:$G$91,5,FALSE)</f>
        <v>0.82</v>
      </c>
      <c r="AB238" s="251">
        <f>VLOOKUP(W238,'Catalogue Aluminium'!$B$9:$G$91,6,FALSE)</f>
        <v>7.9200000000000007E-2</v>
      </c>
      <c r="AC238" s="323">
        <f t="shared" ref="AC238:AC245" si="656">32+6</f>
        <v>38</v>
      </c>
      <c r="AD238" s="294">
        <f>40+50+38+50+17+(27+46)</f>
        <v>268</v>
      </c>
      <c r="AE238" s="294">
        <f t="shared" si="638"/>
        <v>38</v>
      </c>
      <c r="AF238" s="294">
        <v>8</v>
      </c>
      <c r="AG238" s="294">
        <f t="shared" si="639"/>
        <v>36</v>
      </c>
      <c r="AH238" s="253">
        <f t="shared" si="649"/>
        <v>388</v>
      </c>
      <c r="AI238" s="250">
        <f>IF(T238="AIR",'Catalogue Aluminium'!$K$9,IF(T238="TRENCH",'Catalogue Aluminium'!$K$12,"NA"))</f>
        <v>0.89</v>
      </c>
      <c r="AJ238" s="248">
        <f>IF(T238="Air",(IF(U238="1C",'Catalogue Aluminium'!$L$9,'Catalogue Aluminium'!$M$9)),IF(T238="DUCT",(IF($U238="1C",'Catalogue Aluminium'!$L$10,'Catalogue Aluminium'!$M$10)),IF(T238="GROUND",(IF($U238="1C",'Catalogue Aluminium'!$L$11,'Catalogue Aluminium'!$M$11)),IF(T238="TRENCH",(IF($U238="1C",'Catalogue Aluminium'!$L$12,'Catalogue Aluminium'!$M$12))))))</f>
        <v>0.66</v>
      </c>
      <c r="AK238" s="250" t="str">
        <f>IF(T238="Air",'Catalogue Aluminium'!$N$9,IF(T238="GROUND",'Catalogue Aluminium'!$N$10,IF(T238="DUCT",'Catalogue Aluminium'!$N$11,IF(T238="TRENCH",'Catalogue Aluminium'!$N$12,"NA"))))</f>
        <v>NA</v>
      </c>
      <c r="AL238" s="250" t="str">
        <f>IF(T238="Air",(IF(U238="1C",'Catalogue Aluminium'!$O$9,'Catalogue Aluminium'!$P$9)),IF(T238="DUCT",(IF($U238="1C",'Catalogue Aluminium'!$O$10,'Catalogue Aluminium'!$P$10)),IF(T238="GROUND",(IF($U238="1C",'Catalogue Aluminium'!$O$11,'Catalogue Aluminium'!$P$11)),IF(T238="TRENCH",(IF($U238="1C",'Catalogue Aluminium'!$O$12,'Catalogue Aluminium'!$P$12))))))</f>
        <v>NA</v>
      </c>
      <c r="AM238" s="250" t="str">
        <f>IF(T238="AIR","NA",IF(T238="TRENCH","NA",IF(T238="DUCT",IF(U238="1C",VLOOKUP(V238,'Catalogue Aluminium'!$Q$9:$S$28,2,FALSE),VLOOKUP(V238,'Catalogue Aluminium'!$Q$9:$S$28,3)),IF(T238="GROUND",IF(U238="1C",VLOOKUP(V238,'Catalogue Aluminium'!$Q$9:$S$28,2,FALSE),VLOOKUP(V238,'Catalogue Aluminium'!$Q$9:$S$28,3))))))</f>
        <v>NA</v>
      </c>
      <c r="AN238" s="257">
        <f t="shared" si="640"/>
        <v>0.58740000000000003</v>
      </c>
      <c r="AO238" s="256">
        <f t="shared" si="641"/>
        <v>82.823400000000007</v>
      </c>
      <c r="AP238" s="255">
        <v>2</v>
      </c>
      <c r="AQ238" s="256" t="str">
        <f t="shared" si="642"/>
        <v>YES</v>
      </c>
      <c r="AR238" s="257">
        <f t="shared" si="643"/>
        <v>2.4403672771536433</v>
      </c>
      <c r="AS238" s="249" t="str">
        <f t="shared" si="644"/>
        <v>YES</v>
      </c>
      <c r="AT238" s="257" t="str">
        <f t="shared" si="645"/>
        <v>NA</v>
      </c>
      <c r="AU238" s="249" t="str">
        <f t="shared" si="646"/>
        <v>NA</v>
      </c>
      <c r="AV238" s="260" t="str">
        <f t="shared" si="647"/>
        <v>2R x 0.6/1kV x 3.5C x 50 Sqmm</v>
      </c>
      <c r="AW238" s="260" t="str">
        <f t="shared" si="648"/>
        <v>2R x 0.6/1kV x 3.5C x 50 Sqmm</v>
      </c>
      <c r="AX238" s="249">
        <f t="shared" ref="AX238:AX245" si="657">(IF(K238=400,(IF(U238="1C",(4*AH238*AP238),(AH238*AP238))),IF(K238=230,(AH238*AP238))))</f>
        <v>776</v>
      </c>
      <c r="AY238" s="261"/>
    </row>
    <row r="239" spans="1:51" ht="27" customHeight="1">
      <c r="A239" s="243">
        <f t="shared" ref="A239:A245" si="658">1+A238</f>
        <v>153</v>
      </c>
      <c r="B239" s="373"/>
      <c r="C239" s="243" t="s">
        <v>491</v>
      </c>
      <c r="D239" s="546" t="s">
        <v>1042</v>
      </c>
      <c r="E239" s="351" t="s">
        <v>410</v>
      </c>
      <c r="F239" s="364" t="s">
        <v>28</v>
      </c>
      <c r="G239" s="243" t="s">
        <v>298</v>
      </c>
      <c r="H239" s="421">
        <v>1.8</v>
      </c>
      <c r="I239" s="243" t="s">
        <v>299</v>
      </c>
      <c r="J239" s="243" t="s">
        <v>313</v>
      </c>
      <c r="K239" s="255">
        <v>230</v>
      </c>
      <c r="L239" s="249">
        <v>0.85</v>
      </c>
      <c r="M239" s="256">
        <v>0.95</v>
      </c>
      <c r="N239" s="248">
        <f t="shared" si="633"/>
        <v>9.6917485529680985</v>
      </c>
      <c r="O239" s="248">
        <f t="shared" si="629"/>
        <v>0</v>
      </c>
      <c r="P239" s="249" t="str">
        <f t="shared" si="634"/>
        <v>0.00</v>
      </c>
      <c r="Q239" s="256">
        <v>65</v>
      </c>
      <c r="R239" s="256">
        <v>0</v>
      </c>
      <c r="S239" s="256">
        <f t="shared" si="635"/>
        <v>0</v>
      </c>
      <c r="T239" s="249" t="s">
        <v>131</v>
      </c>
      <c r="U239" s="256" t="s">
        <v>302</v>
      </c>
      <c r="V239" s="249">
        <v>16</v>
      </c>
      <c r="W239" s="249" t="str">
        <f t="shared" si="636"/>
        <v>3C X 16</v>
      </c>
      <c r="X239" s="249" t="str">
        <f t="shared" si="637"/>
        <v>3C X 16</v>
      </c>
      <c r="Y239" s="249" t="s">
        <v>314</v>
      </c>
      <c r="Z239" s="250">
        <f>IF(T239="AIR",VLOOKUP(W239,'Catalogue Aluminium'!$B$9:$G$91,2,FALSE),IF(T239="GROUND",VLOOKUP(W239,'Catalogue Aluminium'!$B$9:$G$91,3,FALSE),IF(T239="DUCT",VLOOKUP(W239,'Catalogue Aluminium'!$B$9:$G$91,4,FALSE),IF(T239="TRENCH",VLOOKUP(W239,'Catalogue Aluminium'!$B$9:$G$91,2,FALSE)))))</f>
        <v>70</v>
      </c>
      <c r="AA239" s="251">
        <f>VLOOKUP(W239,'Catalogue Aluminium'!$B$9:$G$91,5,FALSE)</f>
        <v>2.44</v>
      </c>
      <c r="AB239" s="251">
        <f>VLOOKUP(W239,'Catalogue Aluminium'!$B$9:$G$91,6,FALSE)</f>
        <v>8.1500000000000003E-2</v>
      </c>
      <c r="AC239" s="323">
        <f t="shared" si="656"/>
        <v>38</v>
      </c>
      <c r="AD239" s="294">
        <v>80</v>
      </c>
      <c r="AE239" s="294">
        <v>5</v>
      </c>
      <c r="AF239" s="294">
        <v>8</v>
      </c>
      <c r="AG239" s="294">
        <f t="shared" si="639"/>
        <v>14</v>
      </c>
      <c r="AH239" s="253">
        <f t="shared" si="649"/>
        <v>145</v>
      </c>
      <c r="AI239" s="250">
        <f>IF(T239="AIR",'Catalogue Aluminium'!$K$9,IF(T239="TRENCH",'Catalogue Aluminium'!$K$12,"NA"))</f>
        <v>0.89</v>
      </c>
      <c r="AJ239" s="248">
        <f>IF(T239="Air",(IF(U239="1C",'Catalogue Aluminium'!$L$9,'Catalogue Aluminium'!$M$9)),IF(T239="DUCT",(IF($U239="1C",'Catalogue Aluminium'!$L$10,'Catalogue Aluminium'!$M$10)),IF(T239="GROUND",(IF($U239="1C",'Catalogue Aluminium'!$L$11,'Catalogue Aluminium'!$M$11)),IF(T239="TRENCH",(IF($U239="1C",'Catalogue Aluminium'!$L$12,'Catalogue Aluminium'!$M$12))))))</f>
        <v>0.66</v>
      </c>
      <c r="AK239" s="250" t="str">
        <f>IF(T239="Air",'Catalogue Aluminium'!$N$9,IF(T239="GROUND",'Catalogue Aluminium'!$N$10,IF(T239="DUCT",'Catalogue Aluminium'!$N$11,IF(T239="TRENCH",'Catalogue Aluminium'!$N$12,"NA"))))</f>
        <v>NA</v>
      </c>
      <c r="AL239" s="250" t="str">
        <f>IF(T239="Air",(IF(U239="1C",'Catalogue Aluminium'!$O$9,'Catalogue Aluminium'!$P$9)),IF(T239="DUCT",(IF($U239="1C",'Catalogue Aluminium'!$O$10,'Catalogue Aluminium'!$P$10)),IF(T239="GROUND",(IF($U239="1C",'Catalogue Aluminium'!$O$11,'Catalogue Aluminium'!$P$11)),IF(T239="TRENCH",(IF($U239="1C",'Catalogue Aluminium'!$O$12,'Catalogue Aluminium'!$P$12))))))</f>
        <v>NA</v>
      </c>
      <c r="AM239" s="250" t="str">
        <f>IF(T239="AIR","NA",IF(T239="TRENCH","NA",IF(T239="DUCT",IF(U239="1C",VLOOKUP(V239,'Catalogue Aluminium'!$Q$9:$S$28,2,FALSE),VLOOKUP(V239,'Catalogue Aluminium'!$Q$9:$S$28,3)),IF(T239="GROUND",IF(U239="1C",VLOOKUP(V239,'Catalogue Aluminium'!$Q$9:$S$28,2,FALSE),VLOOKUP(V239,'Catalogue Aluminium'!$Q$9:$S$28,3))))))</f>
        <v>NA</v>
      </c>
      <c r="AN239" s="257">
        <f t="shared" si="640"/>
        <v>0.58740000000000003</v>
      </c>
      <c r="AO239" s="256">
        <f t="shared" si="641"/>
        <v>41.118000000000002</v>
      </c>
      <c r="AP239" s="255">
        <f t="shared" si="655"/>
        <v>1</v>
      </c>
      <c r="AQ239" s="256" t="str">
        <f t="shared" si="642"/>
        <v>YES</v>
      </c>
      <c r="AR239" s="257">
        <f t="shared" si="643"/>
        <v>2.2403197184308845</v>
      </c>
      <c r="AS239" s="249" t="str">
        <f t="shared" si="644"/>
        <v>YES</v>
      </c>
      <c r="AT239" s="257" t="str">
        <f t="shared" si="645"/>
        <v>NA</v>
      </c>
      <c r="AU239" s="249" t="str">
        <f t="shared" si="646"/>
        <v>NA</v>
      </c>
      <c r="AV239" s="260" t="str">
        <f t="shared" si="647"/>
        <v>1R x 0.6/1kV x 3C x 16 Sqmm</v>
      </c>
      <c r="AW239" s="260" t="str">
        <f t="shared" si="648"/>
        <v>1R x 0.6/1kV x 3C x 16 Sqmm</v>
      </c>
      <c r="AX239" s="249">
        <f t="shared" si="657"/>
        <v>145</v>
      </c>
      <c r="AY239" s="261"/>
    </row>
    <row r="240" spans="1:51" ht="20.149999999999999" customHeight="1">
      <c r="A240" s="243">
        <f t="shared" si="658"/>
        <v>154</v>
      </c>
      <c r="B240" s="373"/>
      <c r="C240" s="243" t="s">
        <v>491</v>
      </c>
      <c r="D240" s="272" t="s">
        <v>548</v>
      </c>
      <c r="E240" s="351" t="s">
        <v>410</v>
      </c>
      <c r="F240" s="364" t="s">
        <v>28</v>
      </c>
      <c r="G240" s="243" t="s">
        <v>298</v>
      </c>
      <c r="H240" s="421">
        <v>0.18</v>
      </c>
      <c r="I240" s="243" t="s">
        <v>299</v>
      </c>
      <c r="J240" s="243" t="s">
        <v>313</v>
      </c>
      <c r="K240" s="255">
        <v>230</v>
      </c>
      <c r="L240" s="249">
        <v>0.85</v>
      </c>
      <c r="M240" s="256">
        <v>0.95</v>
      </c>
      <c r="N240" s="248">
        <f t="shared" si="633"/>
        <v>0.9691748552968098</v>
      </c>
      <c r="O240" s="248">
        <f t="shared" si="629"/>
        <v>0</v>
      </c>
      <c r="P240" s="249" t="str">
        <f t="shared" si="634"/>
        <v>0.00</v>
      </c>
      <c r="Q240" s="256">
        <v>65</v>
      </c>
      <c r="R240" s="256">
        <v>0</v>
      </c>
      <c r="S240" s="256">
        <f t="shared" si="635"/>
        <v>0</v>
      </c>
      <c r="T240" s="249" t="s">
        <v>131</v>
      </c>
      <c r="U240" s="256" t="s">
        <v>302</v>
      </c>
      <c r="V240" s="249">
        <v>4</v>
      </c>
      <c r="W240" s="249" t="str">
        <f t="shared" si="636"/>
        <v>3C X 4</v>
      </c>
      <c r="X240" s="249" t="str">
        <f t="shared" si="637"/>
        <v>3C X 4</v>
      </c>
      <c r="Y240" s="249" t="s">
        <v>314</v>
      </c>
      <c r="Z240" s="250">
        <f>IF(T240="AIR",VLOOKUP(W240,'Catalogue Aluminium'!$B$9:$G$91,2,FALSE),IF(T240="GROUND",VLOOKUP(W240,'Catalogue Aluminium'!$B$9:$G$91,3,FALSE),IF(T240="DUCT",VLOOKUP(W240,'Catalogue Aluminium'!$B$9:$G$91,4,FALSE),IF(T240="TRENCH",VLOOKUP(W240,'Catalogue Aluminium'!$B$9:$G$91,2,FALSE)))))</f>
        <v>38</v>
      </c>
      <c r="AA240" s="251">
        <f>VLOOKUP(W240,'Catalogue Aluminium'!$B$9:$G$91,5,FALSE)</f>
        <v>5.9</v>
      </c>
      <c r="AB240" s="251">
        <f>VLOOKUP(W240,'Catalogue Aluminium'!$B$9:$G$91,6,FALSE)</f>
        <v>9.4700000000000006E-2</v>
      </c>
      <c r="AC240" s="323">
        <f t="shared" si="656"/>
        <v>38</v>
      </c>
      <c r="AD240" s="294">
        <v>80</v>
      </c>
      <c r="AE240" s="294">
        <v>5</v>
      </c>
      <c r="AF240" s="294">
        <v>8</v>
      </c>
      <c r="AG240" s="294">
        <f t="shared" si="639"/>
        <v>14</v>
      </c>
      <c r="AH240" s="253">
        <f t="shared" si="649"/>
        <v>145</v>
      </c>
      <c r="AI240" s="250">
        <f>IF(T240="AIR",'Catalogue Aluminium'!$K$9,IF(T240="TRENCH",'Catalogue Aluminium'!$K$12,"NA"))</f>
        <v>0.89</v>
      </c>
      <c r="AJ240" s="248">
        <f>IF(T240="Air",(IF(U240="1C",'Catalogue Aluminium'!$L$9,'Catalogue Aluminium'!$M$9)),IF(T240="DUCT",(IF($U240="1C",'Catalogue Aluminium'!$L$10,'Catalogue Aluminium'!$M$10)),IF(T240="GROUND",(IF($U240="1C",'Catalogue Aluminium'!$L$11,'Catalogue Aluminium'!$M$11)),IF(T240="TRENCH",(IF($U240="1C",'Catalogue Aluminium'!$L$12,'Catalogue Aluminium'!$M$12))))))</f>
        <v>0.66</v>
      </c>
      <c r="AK240" s="250" t="str">
        <f>IF(T240="Air",'Catalogue Aluminium'!$N$9,IF(T240="GROUND",'Catalogue Aluminium'!$N$10,IF(T240="DUCT",'Catalogue Aluminium'!$N$11,IF(T240="TRENCH",'Catalogue Aluminium'!$N$12,"NA"))))</f>
        <v>NA</v>
      </c>
      <c r="AL240" s="250" t="str">
        <f>IF(T240="Air",(IF(U240="1C",'Catalogue Aluminium'!$O$9,'Catalogue Aluminium'!$P$9)),IF(T240="DUCT",(IF($U240="1C",'Catalogue Aluminium'!$O$10,'Catalogue Aluminium'!$P$10)),IF(T240="GROUND",(IF($U240="1C",'Catalogue Aluminium'!$O$11,'Catalogue Aluminium'!$P$11)),IF(T240="TRENCH",(IF($U240="1C",'Catalogue Aluminium'!$O$12,'Catalogue Aluminium'!$P$12))))))</f>
        <v>NA</v>
      </c>
      <c r="AM240" s="250" t="str">
        <f>IF(T240="AIR","NA",IF(T240="TRENCH","NA",IF(T240="DUCT",IF(U240="1C",VLOOKUP(V240,'Catalogue Aluminium'!$Q$9:$S$28,2,FALSE),VLOOKUP(V240,'Catalogue Aluminium'!$Q$9:$S$28,3)),IF(T240="GROUND",IF(U240="1C",VLOOKUP(V240,'Catalogue Aluminium'!$Q$9:$S$28,2,FALSE),VLOOKUP(V240,'Catalogue Aluminium'!$Q$9:$S$28,3))))))</f>
        <v>NA</v>
      </c>
      <c r="AN240" s="257">
        <f t="shared" si="640"/>
        <v>0.58740000000000003</v>
      </c>
      <c r="AO240" s="256">
        <f t="shared" si="641"/>
        <v>22.321200000000001</v>
      </c>
      <c r="AP240" s="255">
        <f t="shared" si="655"/>
        <v>1</v>
      </c>
      <c r="AQ240" s="256" t="str">
        <f t="shared" si="642"/>
        <v>YES</v>
      </c>
      <c r="AR240" s="257">
        <f t="shared" si="643"/>
        <v>0.53600968128050719</v>
      </c>
      <c r="AS240" s="249" t="str">
        <f t="shared" si="644"/>
        <v>YES</v>
      </c>
      <c r="AT240" s="257" t="str">
        <f t="shared" si="645"/>
        <v>NA</v>
      </c>
      <c r="AU240" s="249" t="str">
        <f t="shared" si="646"/>
        <v>NA</v>
      </c>
      <c r="AV240" s="260" t="str">
        <f t="shared" si="647"/>
        <v>1R x 0.6/1kV x 3C x 4 Sqmm</v>
      </c>
      <c r="AW240" s="260" t="str">
        <f t="shared" si="648"/>
        <v>1R x 0.6/1kV x 3C x 4 Sqmm</v>
      </c>
      <c r="AX240" s="249">
        <f t="shared" si="657"/>
        <v>145</v>
      </c>
      <c r="AY240" s="261"/>
    </row>
    <row r="241" spans="1:51" ht="29.25" customHeight="1">
      <c r="A241" s="243">
        <f t="shared" si="658"/>
        <v>155</v>
      </c>
      <c r="B241" s="373"/>
      <c r="C241" s="243" t="s">
        <v>491</v>
      </c>
      <c r="D241" s="546" t="s">
        <v>1043</v>
      </c>
      <c r="E241" s="351" t="s">
        <v>410</v>
      </c>
      <c r="F241" s="364" t="s">
        <v>28</v>
      </c>
      <c r="G241" s="243" t="s">
        <v>298</v>
      </c>
      <c r="H241" s="421">
        <v>0.81</v>
      </c>
      <c r="I241" s="243" t="s">
        <v>299</v>
      </c>
      <c r="J241" s="243" t="s">
        <v>313</v>
      </c>
      <c r="K241" s="255">
        <v>230</v>
      </c>
      <c r="L241" s="249">
        <v>0.85</v>
      </c>
      <c r="M241" s="256">
        <v>0.95</v>
      </c>
      <c r="N241" s="248">
        <f t="shared" si="633"/>
        <v>4.3612868488356442</v>
      </c>
      <c r="O241" s="248">
        <f t="shared" ref="O241:O274" si="659">IF(G241="MOTOR",(6*N241),IF(G241="VFD",(1*N241),0))</f>
        <v>0</v>
      </c>
      <c r="P241" s="249" t="str">
        <f t="shared" si="634"/>
        <v>0.00</v>
      </c>
      <c r="Q241" s="256">
        <v>65</v>
      </c>
      <c r="R241" s="256">
        <v>0</v>
      </c>
      <c r="S241" s="256">
        <f t="shared" si="635"/>
        <v>0</v>
      </c>
      <c r="T241" s="249" t="s">
        <v>131</v>
      </c>
      <c r="U241" s="256" t="s">
        <v>302</v>
      </c>
      <c r="V241" s="249">
        <v>4</v>
      </c>
      <c r="W241" s="249" t="str">
        <f t="shared" si="636"/>
        <v>3C X 4</v>
      </c>
      <c r="X241" s="249" t="str">
        <f t="shared" si="637"/>
        <v>3C X 4</v>
      </c>
      <c r="Y241" s="249" t="s">
        <v>314</v>
      </c>
      <c r="Z241" s="250">
        <f>IF(T241="AIR",VLOOKUP(W241,'Catalogue Aluminium'!$B$9:$G$91,2,FALSE),IF(T241="GROUND",VLOOKUP(W241,'Catalogue Aluminium'!$B$9:$G$91,3,FALSE),IF(T241="DUCT",VLOOKUP(W241,'Catalogue Aluminium'!$B$9:$G$91,4,FALSE),IF(T241="TRENCH",VLOOKUP(W241,'Catalogue Aluminium'!$B$9:$G$91,2,FALSE)))))</f>
        <v>38</v>
      </c>
      <c r="AA241" s="251">
        <f>VLOOKUP(W241,'Catalogue Aluminium'!$B$9:$G$91,5,FALSE)</f>
        <v>5.9</v>
      </c>
      <c r="AB241" s="251">
        <f>VLOOKUP(W241,'Catalogue Aluminium'!$B$9:$G$91,6,FALSE)</f>
        <v>9.4700000000000006E-2</v>
      </c>
      <c r="AC241" s="323">
        <f t="shared" si="656"/>
        <v>38</v>
      </c>
      <c r="AD241" s="294">
        <v>80</v>
      </c>
      <c r="AE241" s="294">
        <v>5</v>
      </c>
      <c r="AF241" s="294">
        <v>8</v>
      </c>
      <c r="AG241" s="294">
        <f t="shared" si="639"/>
        <v>14</v>
      </c>
      <c r="AH241" s="253">
        <f t="shared" si="649"/>
        <v>145</v>
      </c>
      <c r="AI241" s="250">
        <f>IF(T241="AIR",'Catalogue Aluminium'!$K$9,IF(T241="TRENCH",'Catalogue Aluminium'!$K$12,"NA"))</f>
        <v>0.89</v>
      </c>
      <c r="AJ241" s="248">
        <f>IF(T241="Air",(IF(U241="1C",'Catalogue Aluminium'!$L$9,'Catalogue Aluminium'!$M$9)),IF(T241="DUCT",(IF($U241="1C",'Catalogue Aluminium'!$L$10,'Catalogue Aluminium'!$M$10)),IF(T241="GROUND",(IF($U241="1C",'Catalogue Aluminium'!$L$11,'Catalogue Aluminium'!$M$11)),IF(T241="TRENCH",(IF($U241="1C",'Catalogue Aluminium'!$L$12,'Catalogue Aluminium'!$M$12))))))</f>
        <v>0.66</v>
      </c>
      <c r="AK241" s="250" t="str">
        <f>IF(T241="Air",'Catalogue Aluminium'!$N$9,IF(T241="GROUND",'Catalogue Aluminium'!$N$10,IF(T241="DUCT",'Catalogue Aluminium'!$N$11,IF(T241="TRENCH",'Catalogue Aluminium'!$N$12,"NA"))))</f>
        <v>NA</v>
      </c>
      <c r="AL241" s="250" t="str">
        <f>IF(T241="Air",(IF(U241="1C",'Catalogue Aluminium'!$O$9,'Catalogue Aluminium'!$P$9)),IF(T241="DUCT",(IF($U241="1C",'Catalogue Aluminium'!$O$10,'Catalogue Aluminium'!$P$10)),IF(T241="GROUND",(IF($U241="1C",'Catalogue Aluminium'!$O$11,'Catalogue Aluminium'!$P$11)),IF(T241="TRENCH",(IF($U241="1C",'Catalogue Aluminium'!$O$12,'Catalogue Aluminium'!$P$12))))))</f>
        <v>NA</v>
      </c>
      <c r="AM241" s="250" t="str">
        <f>IF(T241="AIR","NA",IF(T241="TRENCH","NA",IF(T241="DUCT",IF(U241="1C",VLOOKUP(V241,'Catalogue Aluminium'!$Q$9:$S$28,2,FALSE),VLOOKUP(V241,'Catalogue Aluminium'!$Q$9:$S$28,3)),IF(T241="GROUND",IF(U241="1C",VLOOKUP(V241,'Catalogue Aluminium'!$Q$9:$S$28,2,FALSE),VLOOKUP(V241,'Catalogue Aluminium'!$Q$9:$S$28,3))))))</f>
        <v>NA</v>
      </c>
      <c r="AN241" s="257">
        <f t="shared" si="640"/>
        <v>0.58740000000000003</v>
      </c>
      <c r="AO241" s="256">
        <f t="shared" si="641"/>
        <v>22.321200000000001</v>
      </c>
      <c r="AP241" s="255">
        <f t="shared" si="655"/>
        <v>1</v>
      </c>
      <c r="AQ241" s="256" t="str">
        <f t="shared" si="642"/>
        <v>YES</v>
      </c>
      <c r="AR241" s="257">
        <f t="shared" si="643"/>
        <v>2.4120435657622825</v>
      </c>
      <c r="AS241" s="249" t="str">
        <f t="shared" si="644"/>
        <v>YES</v>
      </c>
      <c r="AT241" s="257" t="str">
        <f t="shared" si="645"/>
        <v>NA</v>
      </c>
      <c r="AU241" s="249" t="str">
        <f t="shared" si="646"/>
        <v>NA</v>
      </c>
      <c r="AV241" s="260" t="str">
        <f t="shared" si="647"/>
        <v>1R x 0.6/1kV x 3C x 4 Sqmm</v>
      </c>
      <c r="AW241" s="260" t="str">
        <f t="shared" si="648"/>
        <v>1R x 0.6/1kV x 3C x 4 Sqmm</v>
      </c>
      <c r="AX241" s="249">
        <f t="shared" si="657"/>
        <v>145</v>
      </c>
      <c r="AY241" s="261"/>
    </row>
    <row r="242" spans="1:51" ht="20.149999999999999" customHeight="1">
      <c r="A242" s="243">
        <f t="shared" si="658"/>
        <v>156</v>
      </c>
      <c r="B242" s="599" t="s">
        <v>1050</v>
      </c>
      <c r="C242" s="243" t="s">
        <v>491</v>
      </c>
      <c r="D242" s="272" t="s">
        <v>547</v>
      </c>
      <c r="E242" s="320" t="s">
        <v>310</v>
      </c>
      <c r="F242" s="243" t="s">
        <v>28</v>
      </c>
      <c r="G242" s="243" t="s">
        <v>298</v>
      </c>
      <c r="H242" s="421">
        <v>22</v>
      </c>
      <c r="I242" s="243" t="s">
        <v>299</v>
      </c>
      <c r="J242" s="243" t="s">
        <v>300</v>
      </c>
      <c r="K242" s="255">
        <v>400</v>
      </c>
      <c r="L242" s="249">
        <v>0.85</v>
      </c>
      <c r="M242" s="256">
        <v>0.95</v>
      </c>
      <c r="N242" s="248">
        <f t="shared" si="633"/>
        <v>39.325320501362093</v>
      </c>
      <c r="O242" s="248">
        <f t="shared" si="659"/>
        <v>0</v>
      </c>
      <c r="P242" s="249" t="str">
        <f t="shared" si="634"/>
        <v>0.00</v>
      </c>
      <c r="Q242" s="256">
        <v>65</v>
      </c>
      <c r="R242" s="256">
        <v>0</v>
      </c>
      <c r="S242" s="256">
        <f t="shared" si="635"/>
        <v>0</v>
      </c>
      <c r="T242" s="249" t="s">
        <v>131</v>
      </c>
      <c r="U242" s="256" t="s">
        <v>390</v>
      </c>
      <c r="V242" s="249">
        <v>50</v>
      </c>
      <c r="W242" s="249" t="str">
        <f t="shared" si="636"/>
        <v>3.5C X 50</v>
      </c>
      <c r="X242" s="249" t="str">
        <f t="shared" si="637"/>
        <v>3.5C X 50</v>
      </c>
      <c r="Y242" s="249" t="s">
        <v>314</v>
      </c>
      <c r="Z242" s="250">
        <f>IF(T242="AIR",VLOOKUP(W242,'Catalogue Aluminium'!$B$9:$G$91,2,FALSE),IF(T242="GROUND",VLOOKUP(W242,'Catalogue Aluminium'!$B$9:$G$91,3,FALSE),IF(T242="DUCT",VLOOKUP(W242,'Catalogue Aluminium'!$B$9:$G$91,4,FALSE),IF(T242="TRENCH",VLOOKUP(W242,'Catalogue Aluminium'!$B$9:$G$91,2,FALSE)))))</f>
        <v>141</v>
      </c>
      <c r="AA242" s="251">
        <f>VLOOKUP(W242,'Catalogue Aluminium'!$B$9:$G$91,5,FALSE)</f>
        <v>0.82</v>
      </c>
      <c r="AB242" s="251">
        <f>VLOOKUP(W242,'Catalogue Aluminium'!$B$9:$G$91,6,FALSE)</f>
        <v>7.9200000000000007E-2</v>
      </c>
      <c r="AC242" s="323">
        <f t="shared" si="656"/>
        <v>38</v>
      </c>
      <c r="AD242" s="294">
        <f t="shared" ref="AD242" si="660">40+50+38+50+17+(27+46)</f>
        <v>268</v>
      </c>
      <c r="AE242" s="294">
        <f t="shared" ref="AE242" si="661">11+8+8+11</f>
        <v>38</v>
      </c>
      <c r="AF242" s="294">
        <v>8</v>
      </c>
      <c r="AG242" s="294">
        <f t="shared" si="639"/>
        <v>36</v>
      </c>
      <c r="AH242" s="253">
        <f t="shared" si="649"/>
        <v>388</v>
      </c>
      <c r="AI242" s="250">
        <f>IF(T242="AIR",'Catalogue Aluminium'!$K$9,IF(T242="TRENCH",'Catalogue Aluminium'!$K$12,"NA"))</f>
        <v>0.89</v>
      </c>
      <c r="AJ242" s="248">
        <f>IF(T242="Air",(IF(U242="1C",'Catalogue Aluminium'!$L$9,'Catalogue Aluminium'!$M$9)),IF(T242="DUCT",(IF($U242="1C",'Catalogue Aluminium'!$L$10,'Catalogue Aluminium'!$M$10)),IF(T242="GROUND",(IF($U242="1C",'Catalogue Aluminium'!$L$11,'Catalogue Aluminium'!$M$11)),IF(T242="TRENCH",(IF($U242="1C",'Catalogue Aluminium'!$L$12,'Catalogue Aluminium'!$M$12))))))</f>
        <v>0.66</v>
      </c>
      <c r="AK242" s="250" t="str">
        <f>IF(T242="Air",'Catalogue Aluminium'!$N$9,IF(T242="GROUND",'Catalogue Aluminium'!$N$10,IF(T242="DUCT",'Catalogue Aluminium'!$N$11,IF(T242="TRENCH",'Catalogue Aluminium'!$N$12,"NA"))))</f>
        <v>NA</v>
      </c>
      <c r="AL242" s="250" t="str">
        <f>IF(T242="Air",(IF(U242="1C",'Catalogue Aluminium'!$O$9,'Catalogue Aluminium'!$P$9)),IF(T242="DUCT",(IF($U242="1C",'Catalogue Aluminium'!$O$10,'Catalogue Aluminium'!$P$10)),IF(T242="GROUND",(IF($U242="1C",'Catalogue Aluminium'!$O$11,'Catalogue Aluminium'!$P$11)),IF(T242="TRENCH",(IF($U242="1C",'Catalogue Aluminium'!$O$12,'Catalogue Aluminium'!$P$12))))))</f>
        <v>NA</v>
      </c>
      <c r="AM242" s="250" t="str">
        <f>IF(T242="AIR","NA",IF(T242="TRENCH","NA",IF(T242="DUCT",IF(U242="1C",VLOOKUP(V242,'Catalogue Aluminium'!$Q$9:$S$28,2,FALSE),VLOOKUP(V242,'Catalogue Aluminium'!$Q$9:$S$28,3)),IF(T242="GROUND",IF(U242="1C",VLOOKUP(V242,'Catalogue Aluminium'!$Q$9:$S$28,2,FALSE),VLOOKUP(V242,'Catalogue Aluminium'!$Q$9:$S$28,3))))))</f>
        <v>NA</v>
      </c>
      <c r="AN242" s="257">
        <f t="shared" si="640"/>
        <v>0.58740000000000003</v>
      </c>
      <c r="AO242" s="256">
        <f t="shared" si="641"/>
        <v>82.823400000000007</v>
      </c>
      <c r="AP242" s="255">
        <v>2</v>
      </c>
      <c r="AQ242" s="256" t="str">
        <f t="shared" si="642"/>
        <v>YES</v>
      </c>
      <c r="AR242" s="257">
        <f t="shared" si="643"/>
        <v>2.4403672771536433</v>
      </c>
      <c r="AS242" s="249" t="str">
        <f t="shared" si="644"/>
        <v>YES</v>
      </c>
      <c r="AT242" s="257" t="str">
        <f t="shared" si="645"/>
        <v>NA</v>
      </c>
      <c r="AU242" s="249" t="str">
        <f t="shared" si="646"/>
        <v>NA</v>
      </c>
      <c r="AV242" s="260" t="str">
        <f t="shared" si="647"/>
        <v>2R x 0.6/1kV x 3.5C x 50 Sqmm</v>
      </c>
      <c r="AW242" s="260" t="str">
        <f t="shared" si="648"/>
        <v>2R x 0.6/1kV x 3.5C x 50 Sqmm</v>
      </c>
      <c r="AX242" s="249">
        <f t="shared" si="657"/>
        <v>776</v>
      </c>
      <c r="AY242" s="261"/>
    </row>
    <row r="243" spans="1:51" ht="31.5" customHeight="1">
      <c r="A243" s="243">
        <f t="shared" si="658"/>
        <v>157</v>
      </c>
      <c r="B243" s="373"/>
      <c r="C243" s="243" t="s">
        <v>491</v>
      </c>
      <c r="D243" s="546" t="s">
        <v>1042</v>
      </c>
      <c r="E243" s="351" t="s">
        <v>410</v>
      </c>
      <c r="F243" s="364" t="s">
        <v>28</v>
      </c>
      <c r="G243" s="243" t="s">
        <v>298</v>
      </c>
      <c r="H243" s="421">
        <v>1.8</v>
      </c>
      <c r="I243" s="243" t="s">
        <v>299</v>
      </c>
      <c r="J243" s="243" t="s">
        <v>313</v>
      </c>
      <c r="K243" s="255">
        <v>230</v>
      </c>
      <c r="L243" s="249">
        <v>0.85</v>
      </c>
      <c r="M243" s="256">
        <v>0.95</v>
      </c>
      <c r="N243" s="248">
        <f t="shared" si="633"/>
        <v>9.6917485529680985</v>
      </c>
      <c r="O243" s="248">
        <f t="shared" si="659"/>
        <v>0</v>
      </c>
      <c r="P243" s="249" t="str">
        <f t="shared" si="634"/>
        <v>0.00</v>
      </c>
      <c r="Q243" s="256">
        <v>65</v>
      </c>
      <c r="R243" s="256">
        <v>0</v>
      </c>
      <c r="S243" s="256">
        <f t="shared" si="635"/>
        <v>0</v>
      </c>
      <c r="T243" s="249" t="s">
        <v>131</v>
      </c>
      <c r="U243" s="256" t="s">
        <v>302</v>
      </c>
      <c r="V243" s="249">
        <v>16</v>
      </c>
      <c r="W243" s="249" t="str">
        <f t="shared" si="636"/>
        <v>3C X 16</v>
      </c>
      <c r="X243" s="249" t="str">
        <f t="shared" si="637"/>
        <v>3C X 16</v>
      </c>
      <c r="Y243" s="249" t="s">
        <v>314</v>
      </c>
      <c r="Z243" s="250">
        <f>IF(T243="AIR",VLOOKUP(W243,'Catalogue Aluminium'!$B$9:$G$91,2,FALSE),IF(T243="GROUND",VLOOKUP(W243,'Catalogue Aluminium'!$B$9:$G$91,3,FALSE),IF(T243="DUCT",VLOOKUP(W243,'Catalogue Aluminium'!$B$9:$G$91,4,FALSE),IF(T243="TRENCH",VLOOKUP(W243,'Catalogue Aluminium'!$B$9:$G$91,2,FALSE)))))</f>
        <v>70</v>
      </c>
      <c r="AA243" s="251">
        <f>VLOOKUP(W243,'Catalogue Aluminium'!$B$9:$G$91,5,FALSE)</f>
        <v>2.44</v>
      </c>
      <c r="AB243" s="251">
        <f>VLOOKUP(W243,'Catalogue Aluminium'!$B$9:$G$91,6,FALSE)</f>
        <v>8.1500000000000003E-2</v>
      </c>
      <c r="AC243" s="323">
        <f t="shared" si="656"/>
        <v>38</v>
      </c>
      <c r="AD243" s="294">
        <v>80</v>
      </c>
      <c r="AE243" s="294">
        <v>5</v>
      </c>
      <c r="AF243" s="294">
        <v>8</v>
      </c>
      <c r="AG243" s="294">
        <f t="shared" si="639"/>
        <v>14</v>
      </c>
      <c r="AH243" s="253">
        <f t="shared" si="649"/>
        <v>145</v>
      </c>
      <c r="AI243" s="250">
        <f>IF(T243="AIR",'Catalogue Aluminium'!$K$9,IF(T243="TRENCH",'Catalogue Aluminium'!$K$12,"NA"))</f>
        <v>0.89</v>
      </c>
      <c r="AJ243" s="248">
        <f>IF(T243="Air",(IF(U243="1C",'Catalogue Aluminium'!$L$9,'Catalogue Aluminium'!$M$9)),IF(T243="DUCT",(IF($U243="1C",'Catalogue Aluminium'!$L$10,'Catalogue Aluminium'!$M$10)),IF(T243="GROUND",(IF($U243="1C",'Catalogue Aluminium'!$L$11,'Catalogue Aluminium'!$M$11)),IF(T243="TRENCH",(IF($U243="1C",'Catalogue Aluminium'!$L$12,'Catalogue Aluminium'!$M$12))))))</f>
        <v>0.66</v>
      </c>
      <c r="AK243" s="250" t="str">
        <f>IF(T243="Air",'Catalogue Aluminium'!$N$9,IF(T243="GROUND",'Catalogue Aluminium'!$N$10,IF(T243="DUCT",'Catalogue Aluminium'!$N$11,IF(T243="TRENCH",'Catalogue Aluminium'!$N$12,"NA"))))</f>
        <v>NA</v>
      </c>
      <c r="AL243" s="250" t="str">
        <f>IF(T243="Air",(IF(U243="1C",'Catalogue Aluminium'!$O$9,'Catalogue Aluminium'!$P$9)),IF(T243="DUCT",(IF($U243="1C",'Catalogue Aluminium'!$O$10,'Catalogue Aluminium'!$P$10)),IF(T243="GROUND",(IF($U243="1C",'Catalogue Aluminium'!$O$11,'Catalogue Aluminium'!$P$11)),IF(T243="TRENCH",(IF($U243="1C",'Catalogue Aluminium'!$O$12,'Catalogue Aluminium'!$P$12))))))</f>
        <v>NA</v>
      </c>
      <c r="AM243" s="250" t="str">
        <f>IF(T243="AIR","NA",IF(T243="TRENCH","NA",IF(T243="DUCT",IF(U243="1C",VLOOKUP(V243,'Catalogue Aluminium'!$Q$9:$S$28,2,FALSE),VLOOKUP(V243,'Catalogue Aluminium'!$Q$9:$S$28,3)),IF(T243="GROUND",IF(U243="1C",VLOOKUP(V243,'Catalogue Aluminium'!$Q$9:$S$28,2,FALSE),VLOOKUP(V243,'Catalogue Aluminium'!$Q$9:$S$28,3))))))</f>
        <v>NA</v>
      </c>
      <c r="AN243" s="257">
        <f t="shared" si="640"/>
        <v>0.58740000000000003</v>
      </c>
      <c r="AO243" s="256">
        <f t="shared" si="641"/>
        <v>41.118000000000002</v>
      </c>
      <c r="AP243" s="255">
        <f t="shared" si="655"/>
        <v>1</v>
      </c>
      <c r="AQ243" s="256" t="str">
        <f t="shared" si="642"/>
        <v>YES</v>
      </c>
      <c r="AR243" s="257">
        <f t="shared" si="643"/>
        <v>2.2403197184308845</v>
      </c>
      <c r="AS243" s="249" t="str">
        <f t="shared" si="644"/>
        <v>YES</v>
      </c>
      <c r="AT243" s="257" t="str">
        <f t="shared" si="645"/>
        <v>NA</v>
      </c>
      <c r="AU243" s="249" t="str">
        <f t="shared" si="646"/>
        <v>NA</v>
      </c>
      <c r="AV243" s="260" t="str">
        <f t="shared" si="647"/>
        <v>1R x 0.6/1kV x 3C x 16 Sqmm</v>
      </c>
      <c r="AW243" s="260" t="str">
        <f t="shared" si="648"/>
        <v>1R x 0.6/1kV x 3C x 16 Sqmm</v>
      </c>
      <c r="AX243" s="249">
        <f t="shared" si="657"/>
        <v>145</v>
      </c>
      <c r="AY243" s="261"/>
    </row>
    <row r="244" spans="1:51" ht="20.149999999999999" customHeight="1">
      <c r="A244" s="243">
        <f t="shared" si="658"/>
        <v>158</v>
      </c>
      <c r="B244" s="373"/>
      <c r="C244" s="243" t="s">
        <v>491</v>
      </c>
      <c r="D244" s="272" t="s">
        <v>549</v>
      </c>
      <c r="E244" s="351" t="s">
        <v>410</v>
      </c>
      <c r="F244" s="364" t="s">
        <v>28</v>
      </c>
      <c r="G244" s="243" t="s">
        <v>298</v>
      </c>
      <c r="H244" s="421">
        <v>0.18</v>
      </c>
      <c r="I244" s="243" t="s">
        <v>299</v>
      </c>
      <c r="J244" s="243" t="s">
        <v>313</v>
      </c>
      <c r="K244" s="255">
        <v>230</v>
      </c>
      <c r="L244" s="249">
        <v>0.85</v>
      </c>
      <c r="M244" s="256">
        <v>0.95</v>
      </c>
      <c r="N244" s="248">
        <f t="shared" si="633"/>
        <v>0.9691748552968098</v>
      </c>
      <c r="O244" s="248">
        <f t="shared" si="659"/>
        <v>0</v>
      </c>
      <c r="P244" s="249" t="str">
        <f t="shared" si="634"/>
        <v>0.00</v>
      </c>
      <c r="Q244" s="256">
        <v>65</v>
      </c>
      <c r="R244" s="256">
        <v>0</v>
      </c>
      <c r="S244" s="256">
        <f t="shared" si="635"/>
        <v>0</v>
      </c>
      <c r="T244" s="249" t="s">
        <v>131</v>
      </c>
      <c r="U244" s="256" t="s">
        <v>302</v>
      </c>
      <c r="V244" s="249">
        <v>4</v>
      </c>
      <c r="W244" s="249" t="str">
        <f t="shared" si="636"/>
        <v>3C X 4</v>
      </c>
      <c r="X244" s="249" t="str">
        <f t="shared" si="637"/>
        <v>3C X 4</v>
      </c>
      <c r="Y244" s="249" t="s">
        <v>314</v>
      </c>
      <c r="Z244" s="250">
        <f>IF(T244="AIR",VLOOKUP(W244,'Catalogue Aluminium'!$B$9:$G$91,2,FALSE),IF(T244="GROUND",VLOOKUP(W244,'Catalogue Aluminium'!$B$9:$G$91,3,FALSE),IF(T244="DUCT",VLOOKUP(W244,'Catalogue Aluminium'!$B$9:$G$91,4,FALSE),IF(T244="TRENCH",VLOOKUP(W244,'Catalogue Aluminium'!$B$9:$G$91,2,FALSE)))))</f>
        <v>38</v>
      </c>
      <c r="AA244" s="251">
        <f>VLOOKUP(W244,'Catalogue Aluminium'!$B$9:$G$91,5,FALSE)</f>
        <v>5.9</v>
      </c>
      <c r="AB244" s="251">
        <f>VLOOKUP(W244,'Catalogue Aluminium'!$B$9:$G$91,6,FALSE)</f>
        <v>9.4700000000000006E-2</v>
      </c>
      <c r="AC244" s="323">
        <f t="shared" si="656"/>
        <v>38</v>
      </c>
      <c r="AD244" s="294">
        <v>80</v>
      </c>
      <c r="AE244" s="294">
        <v>5</v>
      </c>
      <c r="AF244" s="294">
        <v>8</v>
      </c>
      <c r="AG244" s="294">
        <f t="shared" si="639"/>
        <v>14</v>
      </c>
      <c r="AH244" s="253">
        <f t="shared" si="649"/>
        <v>145</v>
      </c>
      <c r="AI244" s="250">
        <f>IF(T244="AIR",'Catalogue Aluminium'!$K$9,IF(T244="TRENCH",'Catalogue Aluminium'!$K$12,"NA"))</f>
        <v>0.89</v>
      </c>
      <c r="AJ244" s="248">
        <f>IF(T244="Air",(IF(U244="1C",'Catalogue Aluminium'!$L$9,'Catalogue Aluminium'!$M$9)),IF(T244="DUCT",(IF($U244="1C",'Catalogue Aluminium'!$L$10,'Catalogue Aluminium'!$M$10)),IF(T244="GROUND",(IF($U244="1C",'Catalogue Aluminium'!$L$11,'Catalogue Aluminium'!$M$11)),IF(T244="TRENCH",(IF($U244="1C",'Catalogue Aluminium'!$L$12,'Catalogue Aluminium'!$M$12))))))</f>
        <v>0.66</v>
      </c>
      <c r="AK244" s="250" t="str">
        <f>IF(T244="Air",'Catalogue Aluminium'!$N$9,IF(T244="GROUND",'Catalogue Aluminium'!$N$10,IF(T244="DUCT",'Catalogue Aluminium'!$N$11,IF(T244="TRENCH",'Catalogue Aluminium'!$N$12,"NA"))))</f>
        <v>NA</v>
      </c>
      <c r="AL244" s="250" t="str">
        <f>IF(T244="Air",(IF(U244="1C",'Catalogue Aluminium'!$O$9,'Catalogue Aluminium'!$P$9)),IF(T244="DUCT",(IF($U244="1C",'Catalogue Aluminium'!$O$10,'Catalogue Aluminium'!$P$10)),IF(T244="GROUND",(IF($U244="1C",'Catalogue Aluminium'!$O$11,'Catalogue Aluminium'!$P$11)),IF(T244="TRENCH",(IF($U244="1C",'Catalogue Aluminium'!$O$12,'Catalogue Aluminium'!$P$12))))))</f>
        <v>NA</v>
      </c>
      <c r="AM244" s="250" t="str">
        <f>IF(T244="AIR","NA",IF(T244="TRENCH","NA",IF(T244="DUCT",IF(U244="1C",VLOOKUP(V244,'Catalogue Aluminium'!$Q$9:$S$28,2,FALSE),VLOOKUP(V244,'Catalogue Aluminium'!$Q$9:$S$28,3)),IF(T244="GROUND",IF(U244="1C",VLOOKUP(V244,'Catalogue Aluminium'!$Q$9:$S$28,2,FALSE),VLOOKUP(V244,'Catalogue Aluminium'!$Q$9:$S$28,3))))))</f>
        <v>NA</v>
      </c>
      <c r="AN244" s="257">
        <f t="shared" si="640"/>
        <v>0.58740000000000003</v>
      </c>
      <c r="AO244" s="256">
        <f t="shared" si="641"/>
        <v>22.321200000000001</v>
      </c>
      <c r="AP244" s="255">
        <f t="shared" si="655"/>
        <v>1</v>
      </c>
      <c r="AQ244" s="256" t="str">
        <f t="shared" si="642"/>
        <v>YES</v>
      </c>
      <c r="AR244" s="257">
        <f t="shared" si="643"/>
        <v>0.53600968128050719</v>
      </c>
      <c r="AS244" s="249" t="str">
        <f t="shared" si="644"/>
        <v>YES</v>
      </c>
      <c r="AT244" s="257" t="str">
        <f t="shared" si="645"/>
        <v>NA</v>
      </c>
      <c r="AU244" s="249" t="str">
        <f t="shared" si="646"/>
        <v>NA</v>
      </c>
      <c r="AV244" s="260" t="str">
        <f t="shared" si="647"/>
        <v>1R x 0.6/1kV x 3C x 4 Sqmm</v>
      </c>
      <c r="AW244" s="260" t="str">
        <f t="shared" si="648"/>
        <v>1R x 0.6/1kV x 3C x 4 Sqmm</v>
      </c>
      <c r="AX244" s="249">
        <f t="shared" si="657"/>
        <v>145</v>
      </c>
      <c r="AY244" s="261"/>
    </row>
    <row r="245" spans="1:51" ht="20.149999999999999" customHeight="1">
      <c r="A245" s="243">
        <f t="shared" si="658"/>
        <v>159</v>
      </c>
      <c r="B245" s="373"/>
      <c r="C245" s="243" t="s">
        <v>491</v>
      </c>
      <c r="D245" s="546" t="s">
        <v>1044</v>
      </c>
      <c r="E245" s="351" t="s">
        <v>410</v>
      </c>
      <c r="F245" s="364" t="s">
        <v>28</v>
      </c>
      <c r="G245" s="243" t="s">
        <v>298</v>
      </c>
      <c r="H245" s="421">
        <v>0.81</v>
      </c>
      <c r="I245" s="243" t="s">
        <v>299</v>
      </c>
      <c r="J245" s="243" t="s">
        <v>313</v>
      </c>
      <c r="K245" s="255">
        <v>230</v>
      </c>
      <c r="L245" s="249">
        <v>0.85</v>
      </c>
      <c r="M245" s="256">
        <v>0.95</v>
      </c>
      <c r="N245" s="248">
        <f t="shared" si="633"/>
        <v>4.3612868488356442</v>
      </c>
      <c r="O245" s="248">
        <f t="shared" si="659"/>
        <v>0</v>
      </c>
      <c r="P245" s="249" t="str">
        <f t="shared" si="634"/>
        <v>0.00</v>
      </c>
      <c r="Q245" s="256">
        <v>65</v>
      </c>
      <c r="R245" s="256">
        <v>0</v>
      </c>
      <c r="S245" s="256">
        <f t="shared" si="635"/>
        <v>0</v>
      </c>
      <c r="T245" s="249" t="s">
        <v>131</v>
      </c>
      <c r="U245" s="256" t="s">
        <v>302</v>
      </c>
      <c r="V245" s="249">
        <v>4</v>
      </c>
      <c r="W245" s="249" t="str">
        <f t="shared" si="636"/>
        <v>3C X 4</v>
      </c>
      <c r="X245" s="249" t="str">
        <f t="shared" si="637"/>
        <v>3C X 4</v>
      </c>
      <c r="Y245" s="249" t="s">
        <v>314</v>
      </c>
      <c r="Z245" s="250">
        <f>IF(T245="AIR",VLOOKUP(W245,'Catalogue Aluminium'!$B$9:$G$91,2,FALSE),IF(T245="GROUND",VLOOKUP(W245,'Catalogue Aluminium'!$B$9:$G$91,3,FALSE),IF(T245="DUCT",VLOOKUP(W245,'Catalogue Aluminium'!$B$9:$G$91,4,FALSE),IF(T245="TRENCH",VLOOKUP(W245,'Catalogue Aluminium'!$B$9:$G$91,2,FALSE)))))</f>
        <v>38</v>
      </c>
      <c r="AA245" s="251">
        <f>VLOOKUP(W245,'Catalogue Aluminium'!$B$9:$G$91,5,FALSE)</f>
        <v>5.9</v>
      </c>
      <c r="AB245" s="251">
        <f>VLOOKUP(W245,'Catalogue Aluminium'!$B$9:$G$91,6,FALSE)</f>
        <v>9.4700000000000006E-2</v>
      </c>
      <c r="AC245" s="323">
        <f t="shared" si="656"/>
        <v>38</v>
      </c>
      <c r="AD245" s="294">
        <v>80</v>
      </c>
      <c r="AE245" s="294">
        <v>5</v>
      </c>
      <c r="AF245" s="294">
        <v>8</v>
      </c>
      <c r="AG245" s="294">
        <f t="shared" si="639"/>
        <v>14</v>
      </c>
      <c r="AH245" s="253">
        <f t="shared" si="649"/>
        <v>145</v>
      </c>
      <c r="AI245" s="250">
        <f>IF(T245="AIR",'Catalogue Aluminium'!$K$9,IF(T245="TRENCH",'Catalogue Aluminium'!$K$12,"NA"))</f>
        <v>0.89</v>
      </c>
      <c r="AJ245" s="248">
        <f>IF(T245="Air",(IF(U245="1C",'Catalogue Aluminium'!$L$9,'Catalogue Aluminium'!$M$9)),IF(T245="DUCT",(IF($U245="1C",'Catalogue Aluminium'!$L$10,'Catalogue Aluminium'!$M$10)),IF(T245="GROUND",(IF($U245="1C",'Catalogue Aluminium'!$L$11,'Catalogue Aluminium'!$M$11)),IF(T245="TRENCH",(IF($U245="1C",'Catalogue Aluminium'!$L$12,'Catalogue Aluminium'!$M$12))))))</f>
        <v>0.66</v>
      </c>
      <c r="AK245" s="250" t="str">
        <f>IF(T245="Air",'Catalogue Aluminium'!$N$9,IF(T245="GROUND",'Catalogue Aluminium'!$N$10,IF(T245="DUCT",'Catalogue Aluminium'!$N$11,IF(T245="TRENCH",'Catalogue Aluminium'!$N$12,"NA"))))</f>
        <v>NA</v>
      </c>
      <c r="AL245" s="250" t="str">
        <f>IF(T245="Air",(IF(U245="1C",'Catalogue Aluminium'!$O$9,'Catalogue Aluminium'!$P$9)),IF(T245="DUCT",(IF($U245="1C",'Catalogue Aluminium'!$O$10,'Catalogue Aluminium'!$P$10)),IF(T245="GROUND",(IF($U245="1C",'Catalogue Aluminium'!$O$11,'Catalogue Aluminium'!$P$11)),IF(T245="TRENCH",(IF($U245="1C",'Catalogue Aluminium'!$O$12,'Catalogue Aluminium'!$P$12))))))</f>
        <v>NA</v>
      </c>
      <c r="AM245" s="250" t="str">
        <f>IF(T245="AIR","NA",IF(T245="TRENCH","NA",IF(T245="DUCT",IF(U245="1C",VLOOKUP(V245,'Catalogue Aluminium'!$Q$9:$S$28,2,FALSE),VLOOKUP(V245,'Catalogue Aluminium'!$Q$9:$S$28,3)),IF(T245="GROUND",IF(U245="1C",VLOOKUP(V245,'Catalogue Aluminium'!$Q$9:$S$28,2,FALSE),VLOOKUP(V245,'Catalogue Aluminium'!$Q$9:$S$28,3))))))</f>
        <v>NA</v>
      </c>
      <c r="AN245" s="257">
        <f t="shared" si="640"/>
        <v>0.58740000000000003</v>
      </c>
      <c r="AO245" s="256">
        <f t="shared" si="641"/>
        <v>22.321200000000001</v>
      </c>
      <c r="AP245" s="255">
        <f t="shared" si="655"/>
        <v>1</v>
      </c>
      <c r="AQ245" s="256" t="str">
        <f t="shared" si="642"/>
        <v>YES</v>
      </c>
      <c r="AR245" s="257">
        <f t="shared" si="643"/>
        <v>2.4120435657622825</v>
      </c>
      <c r="AS245" s="249" t="str">
        <f t="shared" si="644"/>
        <v>YES</v>
      </c>
      <c r="AT245" s="257" t="str">
        <f t="shared" si="645"/>
        <v>NA</v>
      </c>
      <c r="AU245" s="249" t="str">
        <f t="shared" si="646"/>
        <v>NA</v>
      </c>
      <c r="AV245" s="260" t="str">
        <f t="shared" si="647"/>
        <v>1R x 0.6/1kV x 3C x 4 Sqmm</v>
      </c>
      <c r="AW245" s="260" t="str">
        <f t="shared" si="648"/>
        <v>1R x 0.6/1kV x 3C x 4 Sqmm</v>
      </c>
      <c r="AX245" s="249">
        <f t="shared" si="657"/>
        <v>145</v>
      </c>
      <c r="AY245" s="261"/>
    </row>
    <row r="246" spans="1:51" s="70" customFormat="1" ht="20.149999999999999" customHeight="1">
      <c r="A246" s="273"/>
      <c r="B246" s="273"/>
      <c r="C246" s="273"/>
      <c r="D246" s="357" t="s">
        <v>550</v>
      </c>
      <c r="E246" s="358"/>
      <c r="F246" s="359"/>
      <c r="G246" s="273"/>
      <c r="H246" s="281"/>
      <c r="I246" s="273"/>
      <c r="J246" s="273"/>
      <c r="K246" s="280"/>
      <c r="L246" s="275"/>
      <c r="M246" s="281"/>
      <c r="N246" s="274"/>
      <c r="O246" s="274"/>
      <c r="P246" s="275"/>
      <c r="Q246" s="281"/>
      <c r="R246" s="281"/>
      <c r="S246" s="281"/>
      <c r="T246" s="275"/>
      <c r="U246" s="281"/>
      <c r="V246" s="275"/>
      <c r="W246" s="275"/>
      <c r="X246" s="275"/>
      <c r="Y246" s="275"/>
      <c r="Z246" s="276"/>
      <c r="AA246" s="277"/>
      <c r="AB246" s="277"/>
      <c r="AC246" s="277"/>
      <c r="AD246" s="277"/>
      <c r="AE246" s="277"/>
      <c r="AF246" s="277"/>
      <c r="AG246" s="277"/>
      <c r="AH246" s="277"/>
      <c r="AI246" s="276"/>
      <c r="AJ246" s="274"/>
      <c r="AK246" s="276"/>
      <c r="AL246" s="276"/>
      <c r="AM246" s="276"/>
      <c r="AN246" s="282"/>
      <c r="AO246" s="281"/>
      <c r="AP246" s="280"/>
      <c r="AQ246" s="281"/>
      <c r="AR246" s="282"/>
      <c r="AS246" s="275"/>
      <c r="AT246" s="282"/>
      <c r="AU246" s="282"/>
      <c r="AV246" s="283"/>
      <c r="AW246" s="283"/>
      <c r="AX246" s="275"/>
      <c r="AY246" s="284"/>
    </row>
    <row r="247" spans="1:51" ht="20.149999999999999" customHeight="1">
      <c r="A247" s="243">
        <f>1+A245</f>
        <v>160</v>
      </c>
      <c r="B247" s="599" t="s">
        <v>1051</v>
      </c>
      <c r="C247" s="243" t="str">
        <f t="shared" ref="C247:C264" si="662">$D$164</f>
        <v>EPMCC-1</v>
      </c>
      <c r="D247" s="272" t="s">
        <v>551</v>
      </c>
      <c r="E247" s="320" t="s">
        <v>310</v>
      </c>
      <c r="F247" s="243" t="s">
        <v>28</v>
      </c>
      <c r="G247" s="243" t="s">
        <v>311</v>
      </c>
      <c r="H247" s="304">
        <v>5.5</v>
      </c>
      <c r="I247" s="243" t="s">
        <v>299</v>
      </c>
      <c r="J247" s="243" t="s">
        <v>300</v>
      </c>
      <c r="K247" s="255">
        <v>400</v>
      </c>
      <c r="L247" s="249">
        <v>0.84</v>
      </c>
      <c r="M247" s="256">
        <v>0.92700000000000005</v>
      </c>
      <c r="N247" s="248">
        <f t="shared" ref="N247:N274" si="663">IF(I247="kVA",IF(J247="3Ph",(H247*1000/(1.732*M247*K247)),(H247*1000/(M247*K247))),IF(I247="kW",IF(J247="3Ph",(H247*1000/(1.732*M247*K247*L247)),(H247*1000/(M247*K247*L247)))))</f>
        <v>10.195200950599055</v>
      </c>
      <c r="O247" s="248">
        <f t="shared" si="659"/>
        <v>61.171205703594332</v>
      </c>
      <c r="P247" s="249">
        <f t="shared" ref="P247:P274" si="664">IF(G247="MOTOR",0.2,"0.00")</f>
        <v>0.2</v>
      </c>
      <c r="Q247" s="256">
        <v>50</v>
      </c>
      <c r="R247" s="256">
        <v>0</v>
      </c>
      <c r="S247" s="256">
        <f t="shared" ref="S247:S274" si="665">(Q247*1000*SQRT(R247)/143)</f>
        <v>0</v>
      </c>
      <c r="T247" s="249" t="s">
        <v>131</v>
      </c>
      <c r="U247" s="256" t="s">
        <v>302</v>
      </c>
      <c r="V247" s="249">
        <v>25</v>
      </c>
      <c r="W247" s="249" t="str">
        <f t="shared" ref="W247:W274" si="666">CONCATENATE(U247," X ",V247)</f>
        <v>3C X 25</v>
      </c>
      <c r="X247" s="249" t="str">
        <f t="shared" ref="X247:X274" si="667">(IF(J247="1Ph",W247,IF(J247="3Ph",(IF(G247="MOTOR",(CONCATENATE(W247,"+PE")),W247)))))</f>
        <v>3C X 25+PE</v>
      </c>
      <c r="Y247" s="249" t="s">
        <v>314</v>
      </c>
      <c r="Z247" s="250">
        <f>IF(T247="AIR",VLOOKUP(W247,'Catalogue Aluminium'!$B$9:$G$91,2,FALSE),IF(T247="GROUND",VLOOKUP(W247,'Catalogue Aluminium'!$B$9:$G$91,3,FALSE),IF(T247="DUCT",VLOOKUP(W247,'Catalogue Aluminium'!$B$9:$G$91,4,FALSE),IF(T247="TRENCH",VLOOKUP(W247,'Catalogue Aluminium'!$B$9:$G$91,2,FALSE)))))</f>
        <v>95</v>
      </c>
      <c r="AA247" s="251">
        <f>VLOOKUP(W247,'Catalogue Aluminium'!$B$9:$G$91,5,FALSE)</f>
        <v>1.54</v>
      </c>
      <c r="AB247" s="251">
        <f>VLOOKUP(W247,'Catalogue Aluminium'!$B$9:$G$91,6,FALSE)</f>
        <v>8.1600000000000006E-2</v>
      </c>
      <c r="AC247" s="323">
        <f t="shared" ref="AC247" si="668">32+6</f>
        <v>38</v>
      </c>
      <c r="AD247" s="294">
        <f>40+50+38+50+17+(27+25)</f>
        <v>247</v>
      </c>
      <c r="AE247" s="294">
        <f t="shared" ref="AE247:AE278" si="669">11+8+8+11</f>
        <v>38</v>
      </c>
      <c r="AF247" s="294">
        <v>8</v>
      </c>
      <c r="AG247" s="294">
        <f t="shared" ref="AG247:AG274" si="670">ROUNDUP((SUM(AC247:AF247)*0.1),0)</f>
        <v>34</v>
      </c>
      <c r="AH247" s="253">
        <f t="shared" ref="AH247:AH274" si="671">SUM(AC247:AG247)</f>
        <v>365</v>
      </c>
      <c r="AI247" s="250">
        <f>IF(T247="AIR",'Catalogue Aluminium'!$K$9,IF(T247="TRENCH",'Catalogue Aluminium'!$K$12,"NA"))</f>
        <v>0.89</v>
      </c>
      <c r="AJ247" s="248">
        <f>IF(T247="Air",(IF(U247="1C",'Catalogue Aluminium'!$L$9,'Catalogue Aluminium'!$M$9)),IF(T247="DUCT",(IF($U247="1C",'Catalogue Aluminium'!$L$10,'Catalogue Aluminium'!$M$10)),IF(T247="GROUND",(IF($U247="1C",'Catalogue Aluminium'!$L$11,'Catalogue Aluminium'!$M$11)),IF(T247="TRENCH",(IF($U247="1C",'Catalogue Aluminium'!$L$12,'Catalogue Aluminium'!$M$12))))))</f>
        <v>0.66</v>
      </c>
      <c r="AK247" s="250" t="str">
        <f>IF(T247="Air",'Catalogue Aluminium'!$N$9,IF(T247="GROUND",'Catalogue Aluminium'!$N$10,IF(T247="DUCT",'Catalogue Aluminium'!$N$11,IF(T247="TRENCH",'Catalogue Aluminium'!$N$12,"NA"))))</f>
        <v>NA</v>
      </c>
      <c r="AL247" s="250" t="str">
        <f>IF(T247="Air",(IF(U247="1C",'Catalogue Aluminium'!$O$9,'Catalogue Aluminium'!$P$9)),IF(T247="DUCT",(IF($U247="1C",'Catalogue Aluminium'!$O$10,'Catalogue Aluminium'!$P$10)),IF(T247="GROUND",(IF($U247="1C",'Catalogue Aluminium'!$O$11,'Catalogue Aluminium'!$P$11)),IF(T247="TRENCH",(IF($U247="1C",'Catalogue Aluminium'!$O$12,'Catalogue Aluminium'!$P$12))))))</f>
        <v>NA</v>
      </c>
      <c r="AM247" s="250" t="str">
        <f>IF(T247="AIR","NA",IF(T247="TRENCH","NA",IF(T247="DUCT",IF(U247="1C",VLOOKUP(V247,'Catalogue Aluminium'!$Q$9:$S$28,2,FALSE),VLOOKUP(V247,'Catalogue Aluminium'!$Q$9:$S$28,3)),IF(T247="GROUND",IF(U247="1C",VLOOKUP(V247,'Catalogue Aluminium'!$Q$9:$S$28,2,FALSE),VLOOKUP(V247,'Catalogue Aluminium'!$Q$9:$S$28,3))))))</f>
        <v>NA</v>
      </c>
      <c r="AN247" s="257">
        <f t="shared" ref="AN247:AN274" si="672">IF(T247="AIR",AI247*AJ247,IF(T247="TRENCH",AI247*AJ247,IF(T247="DUCT",AJ247*AK247*AL247*AM247,IF(T247="GROUND",AJ247*AK247*AL247*AM247))))</f>
        <v>0.58740000000000003</v>
      </c>
      <c r="AO247" s="256">
        <f t="shared" ref="AO247:AO274" si="673">Z247*AN247</f>
        <v>55.803000000000004</v>
      </c>
      <c r="AP247" s="255">
        <f t="shared" si="655"/>
        <v>1</v>
      </c>
      <c r="AQ247" s="256" t="str">
        <f t="shared" ref="AQ247:AQ274" si="674">IF(AO247*AP247&gt;=N247,"YES","NO")</f>
        <v>YES</v>
      </c>
      <c r="AR247" s="257">
        <f t="shared" ref="AR247:AR274" si="675">SQRT(3)*AH247*N247*((AA247*L247)+(AB247*SIN(ACOS(L247))))*100/(AP247*K247*1000)</f>
        <v>2.1557820202172246</v>
      </c>
      <c r="AS247" s="249" t="str">
        <f t="shared" ref="AS247:AS274" si="676">IF(G247="INCOMER",(IF(AR247&lt;=2,"YES","NO")),IF(G247="POWER",(IF(AR247&lt;=2.5,"YES","NO")),IF(G247="MOTOR",(IF(AR247&lt;=3,"YES","NO")))))</f>
        <v>YES</v>
      </c>
      <c r="AT247" s="257">
        <f t="shared" ref="AT247:AT274" si="677">IF(G247="MOTOR",(SQRT(3)*AH247*O247*((AA247*P247)+(AB247*SIN(ACOS(P247))))*100/(AP247*K247*1000)),"NA")</f>
        <v>3.7507472822502677</v>
      </c>
      <c r="AU247" s="249" t="str">
        <f t="shared" ref="AU247:AU274" si="678">IF(G247="MOTOR",IF(AT247&lt;=15,"YES","NO"),"NA")</f>
        <v>YES</v>
      </c>
      <c r="AV247" s="260" t="str">
        <f t="shared" ref="AV247:AV274" si="679">IF(U247="1C",CONCATENATE(AP247,"R x ",Y247,"kV x ",U247," x ",V247," Sqmm/Phase"),CONCATENATE(AP247,"R x ",0.6,"/1kV x ",U247," x ",V247," Sqmm"))</f>
        <v>1R x 0.6/1kV x 3C x 25 Sqmm</v>
      </c>
      <c r="AW247" s="260" t="str">
        <f t="shared" ref="AW247:AW274" si="680">IF(U247="1C",CONCATENATE(AP247,"R x ",Y247,"kV x ",U247," x ",V247," Sqmm/Phase"),CONCATENATE(AP247,"R x ",0.6,"/1kV x ",U247," x ",V247,(IF(G247="MOTOR","+PE",""))," Sqmm"))</f>
        <v>1R x 0.6/1kV x 3C x 25+PE Sqmm</v>
      </c>
      <c r="AX247" s="249">
        <f>(IF(K247=400,(IF(U247="1C",(4*AH247*AP247),(AH247*AP247))),IF(K247=230,(AH247*AP247))))</f>
        <v>365</v>
      </c>
      <c r="AY247" s="261"/>
    </row>
    <row r="248" spans="1:51" s="75" customFormat="1" ht="20.149999999999999" hidden="1" customHeight="1">
      <c r="A248" s="262" t="s">
        <v>303</v>
      </c>
      <c r="B248" s="404" t="s">
        <v>382</v>
      </c>
      <c r="C248" s="262" t="str">
        <f t="shared" si="662"/>
        <v>EPMCC-1</v>
      </c>
      <c r="D248" s="290" t="s">
        <v>552</v>
      </c>
      <c r="E248" s="305" t="s">
        <v>310</v>
      </c>
      <c r="F248" s="262" t="s">
        <v>29</v>
      </c>
      <c r="G248" s="262" t="s">
        <v>311</v>
      </c>
      <c r="H248" s="258">
        <v>15</v>
      </c>
      <c r="I248" s="262" t="s">
        <v>299</v>
      </c>
      <c r="J248" s="262" t="s">
        <v>300</v>
      </c>
      <c r="K248" s="259">
        <v>400</v>
      </c>
      <c r="L248" s="264">
        <v>0.84</v>
      </c>
      <c r="M248" s="258">
        <v>0.92700000000000005</v>
      </c>
      <c r="N248" s="263">
        <f t="shared" si="663"/>
        <v>27.805093501633788</v>
      </c>
      <c r="O248" s="263">
        <f t="shared" si="659"/>
        <v>166.83056100980272</v>
      </c>
      <c r="P248" s="264">
        <f t="shared" si="664"/>
        <v>0.2</v>
      </c>
      <c r="Q248" s="258">
        <v>50</v>
      </c>
      <c r="R248" s="258">
        <v>0</v>
      </c>
      <c r="S248" s="258">
        <f t="shared" si="665"/>
        <v>0</v>
      </c>
      <c r="T248" s="264" t="s">
        <v>131</v>
      </c>
      <c r="U248" s="258" t="s">
        <v>302</v>
      </c>
      <c r="V248" s="264">
        <v>70</v>
      </c>
      <c r="W248" s="264" t="str">
        <f t="shared" si="666"/>
        <v>3C X 70</v>
      </c>
      <c r="X248" s="264" t="str">
        <f t="shared" si="667"/>
        <v>3C X 70+PE</v>
      </c>
      <c r="Y248" s="264" t="s">
        <v>314</v>
      </c>
      <c r="Z248" s="265">
        <f>IF(T248="AIR",VLOOKUP(W248,'Catalogue Aluminium'!$B$9:$G$91,2,FALSE),IF(T248="GROUND",VLOOKUP(W248,'Catalogue Aluminium'!$B$9:$G$91,3,FALSE),IF(T248="DUCT",VLOOKUP(W248,'Catalogue Aluminium'!$B$9:$G$91,4,FALSE),IF(T248="TRENCH",VLOOKUP(W248,'Catalogue Aluminium'!$B$9:$G$91,2,FALSE)))))</f>
        <v>177</v>
      </c>
      <c r="AA248" s="266">
        <f>VLOOKUP(W248,'Catalogue Aluminium'!$B$9:$G$91,5,FALSE)</f>
        <v>0.56699999999999995</v>
      </c>
      <c r="AB248" s="266">
        <f>VLOOKUP(W248,'Catalogue Aluminium'!$B$9:$G$91,6,FALSE)</f>
        <v>7.5200000000000003E-2</v>
      </c>
      <c r="AC248" s="406">
        <f>22+7</f>
        <v>29</v>
      </c>
      <c r="AD248" s="264">
        <f t="shared" ref="AD248:AD256" si="681">11+34+48+35+30+11+24+(15+3+26)</f>
        <v>237</v>
      </c>
      <c r="AE248" s="322">
        <f t="shared" si="669"/>
        <v>38</v>
      </c>
      <c r="AF248" s="264">
        <v>8</v>
      </c>
      <c r="AG248" s="264">
        <f t="shared" si="670"/>
        <v>32</v>
      </c>
      <c r="AH248" s="267"/>
      <c r="AI248" s="265">
        <f>IF(T248="AIR",'Catalogue Aluminium'!$K$9,IF(T248="TRENCH",'Catalogue Aluminium'!$K$12,"NA"))</f>
        <v>0.89</v>
      </c>
      <c r="AJ248" s="263">
        <f>IF(T248="Air",(IF(U248="1C",'Catalogue Aluminium'!$L$9,'Catalogue Aluminium'!$M$9)),IF(T248="DUCT",(IF($U248="1C",'Catalogue Aluminium'!$L$10,'Catalogue Aluminium'!$M$10)),IF(T248="GROUND",(IF($U248="1C",'Catalogue Aluminium'!$L$11,'Catalogue Aluminium'!$M$11)),IF(T248="TRENCH",(IF($U248="1C",'Catalogue Aluminium'!$L$12,'Catalogue Aluminium'!$M$12))))))</f>
        <v>0.66</v>
      </c>
      <c r="AK248" s="265" t="str">
        <f>IF(T248="Air",'Catalogue Aluminium'!$N$9,IF(T248="GROUND",'Catalogue Aluminium'!$N$10,IF(T248="DUCT",'Catalogue Aluminium'!$N$11,IF(T248="TRENCH",'Catalogue Aluminium'!$N$12,"NA"))))</f>
        <v>NA</v>
      </c>
      <c r="AL248" s="265" t="str">
        <f>IF(T248="Air",(IF(U248="1C",'Catalogue Aluminium'!$O$9,'Catalogue Aluminium'!$P$9)),IF(T248="DUCT",(IF($U248="1C",'Catalogue Aluminium'!$O$10,'Catalogue Aluminium'!$P$10)),IF(T248="GROUND",(IF($U248="1C",'Catalogue Aluminium'!$O$11,'Catalogue Aluminium'!$P$11)),IF(T248="TRENCH",(IF($U248="1C",'Catalogue Aluminium'!$O$12,'Catalogue Aluminium'!$P$12))))))</f>
        <v>NA</v>
      </c>
      <c r="AM248" s="265" t="str">
        <f>IF(T248="AIR","NA",IF(T248="TRENCH","NA",IF(T248="DUCT",IF(U248="1C",VLOOKUP(V248,'Catalogue Aluminium'!$Q$9:$S$28,2,FALSE),VLOOKUP(V248,'Catalogue Aluminium'!$Q$9:$S$28,3)),IF(T248="GROUND",IF(U248="1C",VLOOKUP(V248,'Catalogue Aluminium'!$Q$9:$S$28,2,FALSE),VLOOKUP(V248,'Catalogue Aluminium'!$Q$9:$S$28,3))))))</f>
        <v>NA</v>
      </c>
      <c r="AN248" s="268">
        <f t="shared" si="672"/>
        <v>0.58740000000000003</v>
      </c>
      <c r="AO248" s="258">
        <f t="shared" si="673"/>
        <v>103.96980000000001</v>
      </c>
      <c r="AP248" s="259">
        <f t="shared" si="655"/>
        <v>1</v>
      </c>
      <c r="AQ248" s="258" t="str">
        <f t="shared" si="674"/>
        <v>YES</v>
      </c>
      <c r="AR248" s="268">
        <f t="shared" si="675"/>
        <v>0</v>
      </c>
      <c r="AS248" s="349" t="str">
        <f t="shared" si="676"/>
        <v>YES</v>
      </c>
      <c r="AT248" s="350">
        <f t="shared" si="677"/>
        <v>0</v>
      </c>
      <c r="AU248" s="264" t="str">
        <f t="shared" si="678"/>
        <v>YES</v>
      </c>
      <c r="AV248" s="269" t="str">
        <f t="shared" si="679"/>
        <v>1R x 0.6/1kV x 3C x 70 Sqmm</v>
      </c>
      <c r="AW248" s="269" t="str">
        <f t="shared" si="680"/>
        <v>1R x 0.6/1kV x 3C x 70+PE Sqmm</v>
      </c>
      <c r="AX248" s="264"/>
      <c r="AY248" s="270"/>
    </row>
    <row r="249" spans="1:51" ht="36.75" customHeight="1">
      <c r="A249" s="243">
        <f>1+A247</f>
        <v>161</v>
      </c>
      <c r="B249" s="599" t="s">
        <v>1052</v>
      </c>
      <c r="C249" s="243" t="str">
        <f t="shared" si="662"/>
        <v>EPMCC-1</v>
      </c>
      <c r="D249" s="272" t="s">
        <v>553</v>
      </c>
      <c r="E249" s="320" t="s">
        <v>310</v>
      </c>
      <c r="F249" s="243" t="s">
        <v>28</v>
      </c>
      <c r="G249" s="243" t="s">
        <v>311</v>
      </c>
      <c r="H249" s="304">
        <v>30</v>
      </c>
      <c r="I249" s="243" t="s">
        <v>299</v>
      </c>
      <c r="J249" s="243" t="s">
        <v>300</v>
      </c>
      <c r="K249" s="255">
        <v>400</v>
      </c>
      <c r="L249" s="249">
        <v>0.85</v>
      </c>
      <c r="M249" s="256">
        <v>0.95400000000000007</v>
      </c>
      <c r="N249" s="248">
        <f t="shared" si="663"/>
        <v>53.400592447532851</v>
      </c>
      <c r="O249" s="248">
        <f t="shared" si="659"/>
        <v>320.40355468519709</v>
      </c>
      <c r="P249" s="249">
        <f t="shared" si="664"/>
        <v>0.2</v>
      </c>
      <c r="Q249" s="256">
        <v>50</v>
      </c>
      <c r="R249" s="256">
        <v>0</v>
      </c>
      <c r="S249" s="256">
        <f t="shared" si="665"/>
        <v>0</v>
      </c>
      <c r="T249" s="249" t="s">
        <v>131</v>
      </c>
      <c r="U249" s="256" t="s">
        <v>302</v>
      </c>
      <c r="V249" s="249">
        <v>70</v>
      </c>
      <c r="W249" s="249" t="str">
        <f t="shared" si="666"/>
        <v>3C X 70</v>
      </c>
      <c r="X249" s="249" t="str">
        <f t="shared" si="667"/>
        <v>3C X 70+PE</v>
      </c>
      <c r="Y249" s="249" t="s">
        <v>314</v>
      </c>
      <c r="Z249" s="250">
        <f>IF(T249="AIR",VLOOKUP(W249,'Catalogue Aluminium'!$B$9:$G$91,2,FALSE),IF(T249="GROUND",VLOOKUP(W249,'Catalogue Aluminium'!$B$9:$G$91,3,FALSE),IF(T249="DUCT",VLOOKUP(W249,'Catalogue Aluminium'!$B$9:$G$91,4,FALSE),IF(T249="TRENCH",VLOOKUP(W249,'Catalogue Aluminium'!$B$9:$G$91,2,FALSE)))))</f>
        <v>177</v>
      </c>
      <c r="AA249" s="251">
        <f>VLOOKUP(W249,'Catalogue Aluminium'!$B$9:$G$91,5,FALSE)</f>
        <v>0.56699999999999995</v>
      </c>
      <c r="AB249" s="251">
        <f>VLOOKUP(W249,'Catalogue Aluminium'!$B$9:$G$91,6,FALSE)</f>
        <v>7.5200000000000003E-2</v>
      </c>
      <c r="AC249" s="323">
        <f t="shared" ref="AC249:AC250" si="682">32+6</f>
        <v>38</v>
      </c>
      <c r="AD249" s="294">
        <f t="shared" ref="AD249:AD252" si="683">40+50+38+50+17+(27+25)</f>
        <v>247</v>
      </c>
      <c r="AE249" s="294">
        <f t="shared" si="669"/>
        <v>38</v>
      </c>
      <c r="AF249" s="294">
        <v>8</v>
      </c>
      <c r="AG249" s="294">
        <f t="shared" si="670"/>
        <v>34</v>
      </c>
      <c r="AH249" s="253">
        <f t="shared" si="671"/>
        <v>365</v>
      </c>
      <c r="AI249" s="250">
        <f>IF(T249="AIR",'Catalogue Aluminium'!$K$9,IF(T249="TRENCH",'Catalogue Aluminium'!$K$12,"NA"))</f>
        <v>0.89</v>
      </c>
      <c r="AJ249" s="248">
        <f>IF(T249="Air",(IF(U249="1C",'Catalogue Aluminium'!$L$9,'Catalogue Aluminium'!$M$9)),IF(T249="DUCT",(IF($U249="1C",'Catalogue Aluminium'!$L$10,'Catalogue Aluminium'!$M$10)),IF(T249="GROUND",(IF($U249="1C",'Catalogue Aluminium'!$L$11,'Catalogue Aluminium'!$M$11)),IF(T249="TRENCH",(IF($U249="1C",'Catalogue Aluminium'!$L$12,'Catalogue Aluminium'!$M$12))))))</f>
        <v>0.66</v>
      </c>
      <c r="AK249" s="250" t="str">
        <f>IF(T249="Air",'Catalogue Aluminium'!$N$9,IF(T249="GROUND",'Catalogue Aluminium'!$N$10,IF(T249="DUCT",'Catalogue Aluminium'!$N$11,IF(T249="TRENCH",'Catalogue Aluminium'!$N$12,"NA"))))</f>
        <v>NA</v>
      </c>
      <c r="AL249" s="250" t="str">
        <f>IF(T249="Air",(IF(U249="1C",'Catalogue Aluminium'!$O$9,'Catalogue Aluminium'!$P$9)),IF(T249="DUCT",(IF($U249="1C",'Catalogue Aluminium'!$O$10,'Catalogue Aluminium'!$P$10)),IF(T249="GROUND",(IF($U249="1C",'Catalogue Aluminium'!$O$11,'Catalogue Aluminium'!$P$11)),IF(T249="TRENCH",(IF($U249="1C",'Catalogue Aluminium'!$O$12,'Catalogue Aluminium'!$P$12))))))</f>
        <v>NA</v>
      </c>
      <c r="AM249" s="250" t="str">
        <f>IF(T249="AIR","NA",IF(T249="TRENCH","NA",IF(T249="DUCT",IF(U249="1C",VLOOKUP(V249,'Catalogue Aluminium'!$Q$9:$S$28,2,FALSE),VLOOKUP(V249,'Catalogue Aluminium'!$Q$9:$S$28,3)),IF(T249="GROUND",IF(U249="1C",VLOOKUP(V249,'Catalogue Aluminium'!$Q$9:$S$28,2,FALSE),VLOOKUP(V249,'Catalogue Aluminium'!$Q$9:$S$28,3))))))</f>
        <v>NA</v>
      </c>
      <c r="AN249" s="257">
        <f t="shared" si="672"/>
        <v>0.58740000000000003</v>
      </c>
      <c r="AO249" s="256">
        <f t="shared" si="673"/>
        <v>103.96980000000001</v>
      </c>
      <c r="AP249" s="255">
        <v>2</v>
      </c>
      <c r="AQ249" s="256" t="str">
        <f t="shared" si="674"/>
        <v>YES</v>
      </c>
      <c r="AR249" s="257">
        <f t="shared" si="675"/>
        <v>2.2009857758583973</v>
      </c>
      <c r="AS249" s="249" t="str">
        <f t="shared" si="676"/>
        <v>YES</v>
      </c>
      <c r="AT249" s="257">
        <f t="shared" si="677"/>
        <v>4.7368507826218655</v>
      </c>
      <c r="AU249" s="249" t="str">
        <f t="shared" si="678"/>
        <v>YES</v>
      </c>
      <c r="AV249" s="260" t="str">
        <f t="shared" si="679"/>
        <v>2R x 0.6/1kV x 3C x 70 Sqmm</v>
      </c>
      <c r="AW249" s="260" t="str">
        <f t="shared" si="680"/>
        <v>2R x 0.6/1kV x 3C x 70+PE Sqmm</v>
      </c>
      <c r="AX249" s="249">
        <f>(IF(K249=400,(IF(U249="1C",(4*AH249*AP249),(AH249*AP249))),IF(K249=230,(AH249*AP249))))</f>
        <v>730</v>
      </c>
      <c r="AY249" s="261"/>
    </row>
    <row r="250" spans="1:51" ht="36.75" customHeight="1">
      <c r="A250" s="285">
        <f t="shared" ref="A250:A252" si="684">1+A249</f>
        <v>162</v>
      </c>
      <c r="B250" s="355" t="s">
        <v>382</v>
      </c>
      <c r="C250" s="285" t="str">
        <f t="shared" si="662"/>
        <v>EPMCC-1</v>
      </c>
      <c r="D250" s="244" t="s">
        <v>554</v>
      </c>
      <c r="E250" s="321" t="s">
        <v>310</v>
      </c>
      <c r="F250" s="285" t="s">
        <v>28</v>
      </c>
      <c r="G250" s="285" t="s">
        <v>298</v>
      </c>
      <c r="H250" s="291">
        <v>0.2</v>
      </c>
      <c r="I250" s="285" t="s">
        <v>299</v>
      </c>
      <c r="J250" s="285" t="s">
        <v>313</v>
      </c>
      <c r="K250" s="309">
        <v>230</v>
      </c>
      <c r="L250" s="294">
        <v>0.85</v>
      </c>
      <c r="M250" s="304">
        <v>0.95</v>
      </c>
      <c r="N250" s="287">
        <f t="shared" si="663"/>
        <v>1.0768609503297888</v>
      </c>
      <c r="O250" s="287">
        <f t="shared" si="659"/>
        <v>0</v>
      </c>
      <c r="P250" s="294" t="str">
        <f t="shared" si="664"/>
        <v>0.00</v>
      </c>
      <c r="Q250" s="304">
        <v>65</v>
      </c>
      <c r="R250" s="304">
        <v>0</v>
      </c>
      <c r="S250" s="304">
        <f t="shared" si="665"/>
        <v>0</v>
      </c>
      <c r="T250" s="294" t="s">
        <v>131</v>
      </c>
      <c r="U250" s="304" t="s">
        <v>302</v>
      </c>
      <c r="V250" s="294">
        <v>2.5</v>
      </c>
      <c r="W250" s="294" t="str">
        <f t="shared" si="666"/>
        <v>3C X 2.5</v>
      </c>
      <c r="X250" s="294" t="str">
        <f t="shared" ref="X250" si="685">(IF(J250="1Ph",W250,IF(J250="3Ph",(IF(G250="MOTOR",(CONCATENATE(W250,"+PE")),W250)))))</f>
        <v>3C X 2.5</v>
      </c>
      <c r="Y250" s="294" t="s">
        <v>314</v>
      </c>
      <c r="Z250" s="288">
        <f>IF(T250="AIR",VLOOKUP(W250,'Catalogue Aluminium'!$B$9:$G$91,2,FALSE),IF(T250="GROUND",VLOOKUP(W250,'Catalogue Aluminium'!$B$9:$G$91,3,FALSE),IF(T250="DUCT",VLOOKUP(W250,'Catalogue Aluminium'!$B$9:$G$91,4,FALSE),IF(T250="TRENCH",VLOOKUP(W250,'Catalogue Aluminium'!$B$9:$G$91,2,FALSE)))))</f>
        <v>28</v>
      </c>
      <c r="AA250" s="295">
        <f>VLOOKUP(W250,'Catalogue Aluminium'!$B$9:$G$91,5,FALSE)</f>
        <v>9.48</v>
      </c>
      <c r="AB250" s="295">
        <f>VLOOKUP(W250,'Catalogue Aluminium'!$B$9:$G$91,6,FALSE)</f>
        <v>0.1007</v>
      </c>
      <c r="AC250" s="323">
        <f t="shared" si="682"/>
        <v>38</v>
      </c>
      <c r="AD250" s="294">
        <f t="shared" si="683"/>
        <v>247</v>
      </c>
      <c r="AE250" s="294">
        <f t="shared" si="669"/>
        <v>38</v>
      </c>
      <c r="AF250" s="294">
        <v>8</v>
      </c>
      <c r="AG250" s="294">
        <f t="shared" ref="AG250" si="686">ROUNDUP((SUM(AC250:AF250)*0.1),0)</f>
        <v>34</v>
      </c>
      <c r="AH250" s="311">
        <f t="shared" ref="AH250" si="687">SUM(AC250:AG250)</f>
        <v>365</v>
      </c>
      <c r="AI250" s="288">
        <f>IF(T250="AIR",'Catalogue Aluminium'!$K$9,IF(T250="TRENCH",'Catalogue Aluminium'!$K$12,"NA"))</f>
        <v>0.89</v>
      </c>
      <c r="AJ250" s="287">
        <f>IF(T250="Air",(IF(U250="1C",'Catalogue Aluminium'!$L$9,'Catalogue Aluminium'!$M$9)),IF(T250="DUCT",(IF($U250="1C",'Catalogue Aluminium'!$L$10,'Catalogue Aluminium'!$M$10)),IF(T250="GROUND",(IF($U250="1C",'Catalogue Aluminium'!$L$11,'Catalogue Aluminium'!$M$11)),IF(T250="TRENCH",(IF($U250="1C",'Catalogue Aluminium'!$L$12,'Catalogue Aluminium'!$M$12))))))</f>
        <v>0.66</v>
      </c>
      <c r="AK250" s="288" t="str">
        <f>IF(T250="Air",'Catalogue Aluminium'!$N$9,IF(T250="GROUND",'Catalogue Aluminium'!$N$10,IF(T250="DUCT",'Catalogue Aluminium'!$N$11,IF(T250="TRENCH",'Catalogue Aluminium'!$N$12,"NA"))))</f>
        <v>NA</v>
      </c>
      <c r="AL250" s="288" t="str">
        <f>IF(T250="Air",(IF(U250="1C",'Catalogue Aluminium'!$O$9,'Catalogue Aluminium'!$P$9)),IF(T250="DUCT",(IF($U250="1C",'Catalogue Aluminium'!$O$10,'Catalogue Aluminium'!$P$10)),IF(T250="GROUND",(IF($U250="1C",'Catalogue Aluminium'!$O$11,'Catalogue Aluminium'!$P$11)),IF(T250="TRENCH",(IF($U250="1C",'Catalogue Aluminium'!$O$12,'Catalogue Aluminium'!$P$12))))))</f>
        <v>NA</v>
      </c>
      <c r="AM250" s="288" t="str">
        <f>IF(T250="AIR","NA",IF(T250="TRENCH","NA",IF(T250="DUCT",IF(U250="1C",VLOOKUP(V250,'Catalogue Aluminium'!$Q$9:$S$28,2,FALSE),VLOOKUP(V250,'Catalogue Aluminium'!$Q$9:$S$28,3)),IF(T250="GROUND",IF(U250="1C",VLOOKUP(V250,'Catalogue Aluminium'!$Q$9:$S$28,2,FALSE),VLOOKUP(V250,'Catalogue Aluminium'!$Q$9:$S$28,3))))))</f>
        <v>NA</v>
      </c>
      <c r="AN250" s="312">
        <f t="shared" ref="AN250" si="688">IF(T250="AIR",AI250*AJ250,IF(T250="TRENCH",AI250*AJ250,IF(T250="DUCT",AJ250*AK250*AL250*AM250,IF(T250="GROUND",AJ250*AK250*AL250*AM250))))</f>
        <v>0.58740000000000003</v>
      </c>
      <c r="AO250" s="304">
        <f t="shared" ref="AO250" si="689">Z250*AN250</f>
        <v>16.447200000000002</v>
      </c>
      <c r="AP250" s="309">
        <f t="shared" ref="AP250" si="690">CEILING(((N250)/AO250),1)</f>
        <v>1</v>
      </c>
      <c r="AQ250" s="304" t="str">
        <f t="shared" ref="AQ250" si="691">IF(AO250*AP250&gt;=N250,"YES","NO")</f>
        <v>YES</v>
      </c>
      <c r="AR250" s="312">
        <f t="shared" ref="AR250" si="692">SQRT(3)*AH250*N250*((AA250*L250)+(AB250*SIN(ACOS(L250))))*100/(AP250*K250*1000)</f>
        <v>2.4008343895191984</v>
      </c>
      <c r="AS250" s="294" t="str">
        <f t="shared" ref="AS250" si="693">IF(G250="INCOMER",(IF(AR250&lt;=2,"YES","NO")),IF(G250="POWER",(IF(AR250&lt;=2.5,"YES","NO")),IF(G250="MOTOR",(IF(AR250&lt;=3,"YES","NO")))))</f>
        <v>YES</v>
      </c>
      <c r="AT250" s="312" t="str">
        <f t="shared" si="677"/>
        <v>NA</v>
      </c>
      <c r="AU250" s="294" t="str">
        <f t="shared" si="678"/>
        <v>NA</v>
      </c>
      <c r="AV250" s="353" t="str">
        <f t="shared" si="679"/>
        <v>1R x 0.6/1kV x 3C x 2.5 Sqmm</v>
      </c>
      <c r="AW250" s="353" t="str">
        <f t="shared" si="680"/>
        <v>1R x 0.6/1kV x 3C x 2.5 Sqmm</v>
      </c>
      <c r="AX250" s="294">
        <f>(IF(K250=400,(IF(U250="1C",(4*AH250*AP250),(AH250*AP250))),IF(K250=230,(AH250*AP250))))</f>
        <v>365</v>
      </c>
      <c r="AY250" s="354"/>
    </row>
    <row r="251" spans="1:51" ht="26.15" customHeight="1">
      <c r="A251" s="243">
        <f t="shared" si="684"/>
        <v>163</v>
      </c>
      <c r="B251" s="599" t="s">
        <v>1053</v>
      </c>
      <c r="C251" s="243" t="str">
        <f t="shared" si="662"/>
        <v>EPMCC-1</v>
      </c>
      <c r="D251" s="272" t="s">
        <v>555</v>
      </c>
      <c r="E251" s="320" t="s">
        <v>310</v>
      </c>
      <c r="F251" s="243" t="s">
        <v>29</v>
      </c>
      <c r="G251" s="243" t="s">
        <v>311</v>
      </c>
      <c r="H251" s="304">
        <v>30</v>
      </c>
      <c r="I251" s="243" t="s">
        <v>299</v>
      </c>
      <c r="J251" s="243" t="s">
        <v>300</v>
      </c>
      <c r="K251" s="255">
        <v>400</v>
      </c>
      <c r="L251" s="249">
        <v>0.85</v>
      </c>
      <c r="M251" s="256">
        <v>0.95400000000000007</v>
      </c>
      <c r="N251" s="248">
        <f t="shared" si="663"/>
        <v>53.400592447532851</v>
      </c>
      <c r="O251" s="248">
        <f t="shared" si="659"/>
        <v>320.40355468519709</v>
      </c>
      <c r="P251" s="249">
        <f t="shared" si="664"/>
        <v>0.2</v>
      </c>
      <c r="Q251" s="256">
        <v>50</v>
      </c>
      <c r="R251" s="256">
        <v>0</v>
      </c>
      <c r="S251" s="256">
        <f t="shared" si="665"/>
        <v>0</v>
      </c>
      <c r="T251" s="249" t="s">
        <v>131</v>
      </c>
      <c r="U251" s="256" t="s">
        <v>302</v>
      </c>
      <c r="V251" s="249">
        <v>70</v>
      </c>
      <c r="W251" s="249" t="str">
        <f t="shared" si="666"/>
        <v>3C X 70</v>
      </c>
      <c r="X251" s="249" t="str">
        <f t="shared" si="667"/>
        <v>3C X 70+PE</v>
      </c>
      <c r="Y251" s="249" t="s">
        <v>314</v>
      </c>
      <c r="Z251" s="250">
        <f>IF(T251="AIR",VLOOKUP(W251,'Catalogue Aluminium'!$B$9:$G$91,2,FALSE),IF(T251="GROUND",VLOOKUP(W251,'Catalogue Aluminium'!$B$9:$G$91,3,FALSE),IF(T251="DUCT",VLOOKUP(W251,'Catalogue Aluminium'!$B$9:$G$91,4,FALSE),IF(T251="TRENCH",VLOOKUP(W251,'Catalogue Aluminium'!$B$9:$G$91,2,FALSE)))))</f>
        <v>177</v>
      </c>
      <c r="AA251" s="251">
        <f>VLOOKUP(W251,'Catalogue Aluminium'!$B$9:$G$91,5,FALSE)</f>
        <v>0.56699999999999995</v>
      </c>
      <c r="AB251" s="251">
        <f>VLOOKUP(W251,'Catalogue Aluminium'!$B$9:$G$91,6,FALSE)</f>
        <v>7.5200000000000003E-2</v>
      </c>
      <c r="AC251" s="323">
        <f>24+6</f>
        <v>30</v>
      </c>
      <c r="AD251" s="294">
        <f t="shared" si="683"/>
        <v>247</v>
      </c>
      <c r="AE251" s="294">
        <f t="shared" si="669"/>
        <v>38</v>
      </c>
      <c r="AF251" s="294">
        <v>8</v>
      </c>
      <c r="AG251" s="294">
        <f t="shared" si="670"/>
        <v>33</v>
      </c>
      <c r="AH251" s="253">
        <f t="shared" si="671"/>
        <v>356</v>
      </c>
      <c r="AI251" s="250">
        <f>IF(T251="AIR",'Catalogue Aluminium'!$K$9,IF(T251="TRENCH",'Catalogue Aluminium'!$K$12,"NA"))</f>
        <v>0.89</v>
      </c>
      <c r="AJ251" s="248">
        <f>IF(T251="Air",(IF(U251="1C",'Catalogue Aluminium'!$L$9,'Catalogue Aluminium'!$M$9)),IF(T251="DUCT",(IF($U251="1C",'Catalogue Aluminium'!$L$10,'Catalogue Aluminium'!$M$10)),IF(T251="GROUND",(IF($U251="1C",'Catalogue Aluminium'!$L$11,'Catalogue Aluminium'!$M$11)),IF(T251="TRENCH",(IF($U251="1C",'Catalogue Aluminium'!$L$12,'Catalogue Aluminium'!$M$12))))))</f>
        <v>0.66</v>
      </c>
      <c r="AK251" s="250" t="str">
        <f>IF(T251="Air",'Catalogue Aluminium'!$N$9,IF(T251="GROUND",'Catalogue Aluminium'!$N$10,IF(T251="DUCT",'Catalogue Aluminium'!$N$11,IF(T251="TRENCH",'Catalogue Aluminium'!$N$12,"NA"))))</f>
        <v>NA</v>
      </c>
      <c r="AL251" s="250" t="str">
        <f>IF(T251="Air",(IF(U251="1C",'Catalogue Aluminium'!$O$9,'Catalogue Aluminium'!$P$9)),IF(T251="DUCT",(IF($U251="1C",'Catalogue Aluminium'!$O$10,'Catalogue Aluminium'!$P$10)),IF(T251="GROUND",(IF($U251="1C",'Catalogue Aluminium'!$O$11,'Catalogue Aluminium'!$P$11)),IF(T251="TRENCH",(IF($U251="1C",'Catalogue Aluminium'!$O$12,'Catalogue Aluminium'!$P$12))))))</f>
        <v>NA</v>
      </c>
      <c r="AM251" s="250" t="str">
        <f>IF(T251="AIR","NA",IF(T251="TRENCH","NA",IF(T251="DUCT",IF(U251="1C",VLOOKUP(V251,'Catalogue Aluminium'!$Q$9:$S$28,2,FALSE),VLOOKUP(V251,'Catalogue Aluminium'!$Q$9:$S$28,3)),IF(T251="GROUND",IF(U251="1C",VLOOKUP(V251,'Catalogue Aluminium'!$Q$9:$S$28,2,FALSE),VLOOKUP(V251,'Catalogue Aluminium'!$Q$9:$S$28,3))))))</f>
        <v>NA</v>
      </c>
      <c r="AN251" s="257">
        <f t="shared" si="672"/>
        <v>0.58740000000000003</v>
      </c>
      <c r="AO251" s="256">
        <f t="shared" si="673"/>
        <v>103.96980000000001</v>
      </c>
      <c r="AP251" s="255">
        <v>2</v>
      </c>
      <c r="AQ251" s="256" t="str">
        <f t="shared" si="674"/>
        <v>YES</v>
      </c>
      <c r="AR251" s="257">
        <f t="shared" si="675"/>
        <v>2.146714893713944</v>
      </c>
      <c r="AS251" s="249" t="str">
        <f t="shared" si="676"/>
        <v>YES</v>
      </c>
      <c r="AT251" s="257">
        <f t="shared" si="677"/>
        <v>4.6200517222284496</v>
      </c>
      <c r="AU251" s="249" t="str">
        <f t="shared" si="678"/>
        <v>YES</v>
      </c>
      <c r="AV251" s="260" t="str">
        <f t="shared" si="679"/>
        <v>2R x 0.6/1kV x 3C x 70 Sqmm</v>
      </c>
      <c r="AW251" s="260" t="str">
        <f t="shared" si="680"/>
        <v>2R x 0.6/1kV x 3C x 70+PE Sqmm</v>
      </c>
      <c r="AX251" s="249">
        <f>(IF(K251=400,(IF(U251="1C",(4*AH251*AP251),(AH251*AP251))),IF(K251=230,(AH251*AP251))))</f>
        <v>712</v>
      </c>
      <c r="AY251" s="261"/>
    </row>
    <row r="252" spans="1:51" ht="26.15" customHeight="1">
      <c r="A252" s="285">
        <f t="shared" si="684"/>
        <v>164</v>
      </c>
      <c r="B252" s="355" t="s">
        <v>382</v>
      </c>
      <c r="C252" s="285" t="str">
        <f t="shared" si="662"/>
        <v>EPMCC-1</v>
      </c>
      <c r="D252" s="244" t="s">
        <v>556</v>
      </c>
      <c r="E252" s="321" t="s">
        <v>310</v>
      </c>
      <c r="F252" s="285" t="s">
        <v>29</v>
      </c>
      <c r="G252" s="285" t="s">
        <v>298</v>
      </c>
      <c r="H252" s="291">
        <v>0.2</v>
      </c>
      <c r="I252" s="285" t="s">
        <v>299</v>
      </c>
      <c r="J252" s="285" t="s">
        <v>313</v>
      </c>
      <c r="K252" s="309">
        <v>230</v>
      </c>
      <c r="L252" s="294">
        <v>0.85</v>
      </c>
      <c r="M252" s="304">
        <v>0.95</v>
      </c>
      <c r="N252" s="287">
        <f t="shared" si="663"/>
        <v>1.0768609503297888</v>
      </c>
      <c r="O252" s="287">
        <f t="shared" si="659"/>
        <v>0</v>
      </c>
      <c r="P252" s="294" t="str">
        <f t="shared" si="664"/>
        <v>0.00</v>
      </c>
      <c r="Q252" s="304">
        <v>65</v>
      </c>
      <c r="R252" s="304">
        <v>0</v>
      </c>
      <c r="S252" s="304">
        <f t="shared" si="665"/>
        <v>0</v>
      </c>
      <c r="T252" s="294" t="s">
        <v>131</v>
      </c>
      <c r="U252" s="304" t="s">
        <v>302</v>
      </c>
      <c r="V252" s="294">
        <v>2.5</v>
      </c>
      <c r="W252" s="294" t="str">
        <f t="shared" si="666"/>
        <v>3C X 2.5</v>
      </c>
      <c r="X252" s="294" t="str">
        <f t="shared" ref="X252" si="694">(IF(J252="1Ph",W252,IF(J252="3Ph",(IF(G252="MOTOR",(CONCATENATE(W252,"+PE")),W252)))))</f>
        <v>3C X 2.5</v>
      </c>
      <c r="Y252" s="294" t="s">
        <v>314</v>
      </c>
      <c r="Z252" s="288">
        <f>IF(T252="AIR",VLOOKUP(W252,'Catalogue Aluminium'!$B$9:$G$91,2,FALSE),IF(T252="GROUND",VLOOKUP(W252,'Catalogue Aluminium'!$B$9:$G$91,3,FALSE),IF(T252="DUCT",VLOOKUP(W252,'Catalogue Aluminium'!$B$9:$G$91,4,FALSE),IF(T252="TRENCH",VLOOKUP(W252,'Catalogue Aluminium'!$B$9:$G$91,2,FALSE)))))</f>
        <v>28</v>
      </c>
      <c r="AA252" s="295">
        <f>VLOOKUP(W252,'Catalogue Aluminium'!$B$9:$G$91,5,FALSE)</f>
        <v>9.48</v>
      </c>
      <c r="AB252" s="295">
        <f>VLOOKUP(W252,'Catalogue Aluminium'!$B$9:$G$91,6,FALSE)</f>
        <v>0.1007</v>
      </c>
      <c r="AC252" s="323">
        <f>24+6</f>
        <v>30</v>
      </c>
      <c r="AD252" s="294">
        <f t="shared" si="683"/>
        <v>247</v>
      </c>
      <c r="AE252" s="294">
        <f t="shared" si="669"/>
        <v>38</v>
      </c>
      <c r="AF252" s="294">
        <v>8</v>
      </c>
      <c r="AG252" s="294">
        <f t="shared" ref="AG252" si="695">ROUNDUP((SUM(AC252:AF252)*0.1),0)</f>
        <v>33</v>
      </c>
      <c r="AH252" s="311">
        <f t="shared" ref="AH252" si="696">SUM(AC252:AG252)</f>
        <v>356</v>
      </c>
      <c r="AI252" s="288">
        <f>IF(T252="AIR",'Catalogue Aluminium'!$K$9,IF(T252="TRENCH",'Catalogue Aluminium'!$K$12,"NA"))</f>
        <v>0.89</v>
      </c>
      <c r="AJ252" s="287">
        <f>IF(T252="Air",(IF(U252="1C",'Catalogue Aluminium'!$L$9,'Catalogue Aluminium'!$M$9)),IF(T252="DUCT",(IF($U252="1C",'Catalogue Aluminium'!$L$10,'Catalogue Aluminium'!$M$10)),IF(T252="GROUND",(IF($U252="1C",'Catalogue Aluminium'!$L$11,'Catalogue Aluminium'!$M$11)),IF(T252="TRENCH",(IF($U252="1C",'Catalogue Aluminium'!$L$12,'Catalogue Aluminium'!$M$12))))))</f>
        <v>0.66</v>
      </c>
      <c r="AK252" s="288" t="str">
        <f>IF(T252="Air",'Catalogue Aluminium'!$N$9,IF(T252="GROUND",'Catalogue Aluminium'!$N$10,IF(T252="DUCT",'Catalogue Aluminium'!$N$11,IF(T252="TRENCH",'Catalogue Aluminium'!$N$12,"NA"))))</f>
        <v>NA</v>
      </c>
      <c r="AL252" s="288" t="str">
        <f>IF(T252="Air",(IF(U252="1C",'Catalogue Aluminium'!$O$9,'Catalogue Aluminium'!$P$9)),IF(T252="DUCT",(IF($U252="1C",'Catalogue Aluminium'!$O$10,'Catalogue Aluminium'!$P$10)),IF(T252="GROUND",(IF($U252="1C",'Catalogue Aluminium'!$O$11,'Catalogue Aluminium'!$P$11)),IF(T252="TRENCH",(IF($U252="1C",'Catalogue Aluminium'!$O$12,'Catalogue Aluminium'!$P$12))))))</f>
        <v>NA</v>
      </c>
      <c r="AM252" s="288" t="str">
        <f>IF(T252="AIR","NA",IF(T252="TRENCH","NA",IF(T252="DUCT",IF(U252="1C",VLOOKUP(V252,'Catalogue Aluminium'!$Q$9:$S$28,2,FALSE),VLOOKUP(V252,'Catalogue Aluminium'!$Q$9:$S$28,3)),IF(T252="GROUND",IF(U252="1C",VLOOKUP(V252,'Catalogue Aluminium'!$Q$9:$S$28,2,FALSE),VLOOKUP(V252,'Catalogue Aluminium'!$Q$9:$S$28,3))))))</f>
        <v>NA</v>
      </c>
      <c r="AN252" s="312">
        <f t="shared" ref="AN252" si="697">IF(T252="AIR",AI252*AJ252,IF(T252="TRENCH",AI252*AJ252,IF(T252="DUCT",AJ252*AK252*AL252*AM252,IF(T252="GROUND",AJ252*AK252*AL252*AM252))))</f>
        <v>0.58740000000000003</v>
      </c>
      <c r="AO252" s="304">
        <f t="shared" ref="AO252" si="698">Z252*AN252</f>
        <v>16.447200000000002</v>
      </c>
      <c r="AP252" s="309">
        <f t="shared" ref="AP252" si="699">CEILING(((N252)/AO252),1)</f>
        <v>1</v>
      </c>
      <c r="AQ252" s="304" t="str">
        <f t="shared" ref="AQ252" si="700">IF(AO252*AP252&gt;=N252,"YES","NO")</f>
        <v>YES</v>
      </c>
      <c r="AR252" s="312">
        <f t="shared" ref="AR252" si="701">SQRT(3)*AH252*N252*((AA252*L252)+(AB252*SIN(ACOS(L252))))*100/(AP252*K252*1000)</f>
        <v>2.341635733339273</v>
      </c>
      <c r="AS252" s="294" t="str">
        <f t="shared" ref="AS252" si="702">IF(G252="INCOMER",(IF(AR252&lt;=2,"YES","NO")),IF(G252="POWER",(IF(AR252&lt;=2.5,"YES","NO")),IF(G252="MOTOR",(IF(AR252&lt;=3,"YES","NO")))))</f>
        <v>YES</v>
      </c>
      <c r="AT252" s="312" t="str">
        <f t="shared" si="677"/>
        <v>NA</v>
      </c>
      <c r="AU252" s="294" t="str">
        <f t="shared" si="678"/>
        <v>NA</v>
      </c>
      <c r="AV252" s="353" t="str">
        <f t="shared" si="679"/>
        <v>1R x 0.6/1kV x 3C x 2.5 Sqmm</v>
      </c>
      <c r="AW252" s="353" t="str">
        <f t="shared" si="680"/>
        <v>1R x 0.6/1kV x 3C x 2.5 Sqmm</v>
      </c>
      <c r="AX252" s="294">
        <f>(IF(K252=400,(IF(U252="1C",(4*AH252*AP252),(AH252*AP252))),IF(K252=230,(AH252*AP252))))</f>
        <v>356</v>
      </c>
      <c r="AY252" s="354"/>
    </row>
    <row r="253" spans="1:51" ht="20.149999999999999" customHeight="1">
      <c r="A253" s="243">
        <f>1+A252</f>
        <v>165</v>
      </c>
      <c r="B253" s="599" t="s">
        <v>1054</v>
      </c>
      <c r="C253" s="243" t="str">
        <f t="shared" si="662"/>
        <v>EPMCC-1</v>
      </c>
      <c r="D253" s="272" t="s">
        <v>557</v>
      </c>
      <c r="E253" s="320" t="s">
        <v>310</v>
      </c>
      <c r="F253" s="243" t="s">
        <v>28</v>
      </c>
      <c r="G253" s="243" t="s">
        <v>311</v>
      </c>
      <c r="H253" s="304">
        <v>5.5</v>
      </c>
      <c r="I253" s="243" t="s">
        <v>299</v>
      </c>
      <c r="J253" s="243" t="s">
        <v>300</v>
      </c>
      <c r="K253" s="255">
        <v>400</v>
      </c>
      <c r="L253" s="249">
        <v>0.79</v>
      </c>
      <c r="M253" s="256">
        <v>0.8859999999999999</v>
      </c>
      <c r="N253" s="248">
        <f t="shared" si="663"/>
        <v>11.342113718622269</v>
      </c>
      <c r="O253" s="248">
        <f t="shared" si="659"/>
        <v>68.052682311733605</v>
      </c>
      <c r="P253" s="249">
        <f t="shared" si="664"/>
        <v>0.2</v>
      </c>
      <c r="Q253" s="256">
        <v>50</v>
      </c>
      <c r="R253" s="256">
        <v>0</v>
      </c>
      <c r="S253" s="256">
        <f t="shared" si="665"/>
        <v>0</v>
      </c>
      <c r="T253" s="249" t="s">
        <v>131</v>
      </c>
      <c r="U253" s="256" t="s">
        <v>302</v>
      </c>
      <c r="V253" s="249">
        <v>25</v>
      </c>
      <c r="W253" s="249" t="str">
        <f t="shared" si="666"/>
        <v>3C X 25</v>
      </c>
      <c r="X253" s="249" t="str">
        <f t="shared" si="667"/>
        <v>3C X 25+PE</v>
      </c>
      <c r="Y253" s="249" t="s">
        <v>314</v>
      </c>
      <c r="Z253" s="250">
        <f>IF(T253="AIR",VLOOKUP(W253,'Catalogue Aluminium'!$B$9:$G$91,2,FALSE),IF(T253="GROUND",VLOOKUP(W253,'Catalogue Aluminium'!$B$9:$G$91,3,FALSE),IF(T253="DUCT",VLOOKUP(W253,'Catalogue Aluminium'!$B$9:$G$91,4,FALSE),IF(T253="TRENCH",VLOOKUP(W253,'Catalogue Aluminium'!$B$9:$G$91,2,FALSE)))))</f>
        <v>95</v>
      </c>
      <c r="AA253" s="251">
        <f>VLOOKUP(W253,'Catalogue Aluminium'!$B$9:$G$91,5,FALSE)</f>
        <v>1.54</v>
      </c>
      <c r="AB253" s="251">
        <f>VLOOKUP(W253,'Catalogue Aluminium'!$B$9:$G$91,6,FALSE)</f>
        <v>8.1600000000000006E-2</v>
      </c>
      <c r="AC253" s="323">
        <f t="shared" ref="AC253" si="703">32+6</f>
        <v>38</v>
      </c>
      <c r="AD253" s="294">
        <f>40+50+38+50+17+(27+35)</f>
        <v>257</v>
      </c>
      <c r="AE253" s="294">
        <f t="shared" si="669"/>
        <v>38</v>
      </c>
      <c r="AF253" s="294">
        <v>8</v>
      </c>
      <c r="AG253" s="294">
        <f t="shared" si="670"/>
        <v>35</v>
      </c>
      <c r="AH253" s="253">
        <f t="shared" si="671"/>
        <v>376</v>
      </c>
      <c r="AI253" s="250">
        <f>IF(T253="AIR",'Catalogue Aluminium'!$K$9,IF(T253="TRENCH",'Catalogue Aluminium'!$K$12,"NA"))</f>
        <v>0.89</v>
      </c>
      <c r="AJ253" s="248">
        <f>IF(T253="Air",(IF(U253="1C",'Catalogue Aluminium'!$L$9,'Catalogue Aluminium'!$M$9)),IF(T253="DUCT",(IF($U253="1C",'Catalogue Aluminium'!$L$10,'Catalogue Aluminium'!$M$10)),IF(T253="GROUND",(IF($U253="1C",'Catalogue Aluminium'!$L$11,'Catalogue Aluminium'!$M$11)),IF(T253="TRENCH",(IF($U253="1C",'Catalogue Aluminium'!$L$12,'Catalogue Aluminium'!$M$12))))))</f>
        <v>0.66</v>
      </c>
      <c r="AK253" s="250" t="str">
        <f>IF(T253="Air",'Catalogue Aluminium'!$N$9,IF(T253="GROUND",'Catalogue Aluminium'!$N$10,IF(T253="DUCT",'Catalogue Aluminium'!$N$11,IF(T253="TRENCH",'Catalogue Aluminium'!$N$12,"NA"))))</f>
        <v>NA</v>
      </c>
      <c r="AL253" s="250" t="str">
        <f>IF(T253="Air",(IF(U253="1C",'Catalogue Aluminium'!$O$9,'Catalogue Aluminium'!$P$9)),IF(T253="DUCT",(IF($U253="1C",'Catalogue Aluminium'!$O$10,'Catalogue Aluminium'!$P$10)),IF(T253="GROUND",(IF($U253="1C",'Catalogue Aluminium'!$O$11,'Catalogue Aluminium'!$P$11)),IF(T253="TRENCH",(IF($U253="1C",'Catalogue Aluminium'!$O$12,'Catalogue Aluminium'!$P$12))))))</f>
        <v>NA</v>
      </c>
      <c r="AM253" s="250" t="str">
        <f>IF(T253="AIR","NA",IF(T253="TRENCH","NA",IF(T253="DUCT",IF(U253="1C",VLOOKUP(V253,'Catalogue Aluminium'!$Q$9:$S$28,2,FALSE),VLOOKUP(V253,'Catalogue Aluminium'!$Q$9:$S$28,3)),IF(T253="GROUND",IF(U253="1C",VLOOKUP(V253,'Catalogue Aluminium'!$Q$9:$S$28,2,FALSE),VLOOKUP(V253,'Catalogue Aluminium'!$Q$9:$S$28,3))))))</f>
        <v>NA</v>
      </c>
      <c r="AN253" s="257">
        <f t="shared" si="672"/>
        <v>0.58740000000000003</v>
      </c>
      <c r="AO253" s="256">
        <f t="shared" si="673"/>
        <v>55.803000000000004</v>
      </c>
      <c r="AP253" s="255">
        <f t="shared" si="655"/>
        <v>1</v>
      </c>
      <c r="AQ253" s="256" t="str">
        <f t="shared" si="674"/>
        <v>YES</v>
      </c>
      <c r="AR253" s="257">
        <f t="shared" si="675"/>
        <v>2.3390100247127679</v>
      </c>
      <c r="AS253" s="249" t="str">
        <f t="shared" si="676"/>
        <v>YES</v>
      </c>
      <c r="AT253" s="257">
        <f t="shared" si="677"/>
        <v>4.2984412051257292</v>
      </c>
      <c r="AU253" s="249" t="str">
        <f t="shared" si="678"/>
        <v>YES</v>
      </c>
      <c r="AV253" s="260" t="str">
        <f t="shared" si="679"/>
        <v>1R x 0.6/1kV x 3C x 25 Sqmm</v>
      </c>
      <c r="AW253" s="260" t="str">
        <f t="shared" si="680"/>
        <v>1R x 0.6/1kV x 3C x 25+PE Sqmm</v>
      </c>
      <c r="AX253" s="249">
        <f>(IF(K253=400,(IF(U253="1C",(4*AH253*AP253),(AH253*AP253))),IF(K253=230,(AH253*AP253))))</f>
        <v>376</v>
      </c>
      <c r="AY253" s="261"/>
    </row>
    <row r="254" spans="1:51" s="75" customFormat="1" ht="20.149999999999999" hidden="1" customHeight="1">
      <c r="A254" s="262" t="s">
        <v>303</v>
      </c>
      <c r="B254" s="404" t="s">
        <v>382</v>
      </c>
      <c r="C254" s="262" t="str">
        <f t="shared" si="662"/>
        <v>EPMCC-1</v>
      </c>
      <c r="D254" s="290" t="s">
        <v>456</v>
      </c>
      <c r="E254" s="305" t="s">
        <v>310</v>
      </c>
      <c r="F254" s="262" t="s">
        <v>29</v>
      </c>
      <c r="G254" s="262" t="s">
        <v>298</v>
      </c>
      <c r="H254" s="258">
        <v>25</v>
      </c>
      <c r="I254" s="262" t="s">
        <v>299</v>
      </c>
      <c r="J254" s="262" t="s">
        <v>300</v>
      </c>
      <c r="K254" s="259">
        <v>400</v>
      </c>
      <c r="L254" s="264">
        <v>0.85</v>
      </c>
      <c r="M254" s="258">
        <v>0.95</v>
      </c>
      <c r="N254" s="263">
        <f t="shared" si="663"/>
        <v>44.687864206093288</v>
      </c>
      <c r="O254" s="263">
        <f t="shared" si="659"/>
        <v>0</v>
      </c>
      <c r="P254" s="264" t="str">
        <f t="shared" si="664"/>
        <v>0.00</v>
      </c>
      <c r="Q254" s="258">
        <v>50</v>
      </c>
      <c r="R254" s="258">
        <v>0</v>
      </c>
      <c r="S254" s="258">
        <f t="shared" si="665"/>
        <v>0</v>
      </c>
      <c r="T254" s="264" t="s">
        <v>131</v>
      </c>
      <c r="U254" s="258" t="s">
        <v>390</v>
      </c>
      <c r="V254" s="264">
        <v>120</v>
      </c>
      <c r="W254" s="264" t="str">
        <f t="shared" si="666"/>
        <v>3.5C X 120</v>
      </c>
      <c r="X254" s="264" t="str">
        <f t="shared" si="667"/>
        <v>3.5C X 120</v>
      </c>
      <c r="Y254" s="264" t="s">
        <v>314</v>
      </c>
      <c r="Z254" s="265">
        <f>IF(T254="AIR",VLOOKUP(W254,'Catalogue Aluminium'!$B$9:$G$91,2,FALSE),IF(T254="GROUND",VLOOKUP(W254,'Catalogue Aluminium'!$B$9:$G$91,3,FALSE),IF(T254="DUCT",VLOOKUP(W254,'Catalogue Aluminium'!$B$9:$G$91,4,FALSE),IF(T254="TRENCH",VLOOKUP(W254,'Catalogue Aluminium'!$B$9:$G$91,2,FALSE)))))</f>
        <v>257</v>
      </c>
      <c r="AA254" s="266">
        <f>VLOOKUP(W254,'Catalogue Aluminium'!$B$9:$G$91,5,FALSE)</f>
        <v>0.32400000000000001</v>
      </c>
      <c r="AB254" s="266">
        <f>VLOOKUP(W254,'Catalogue Aluminium'!$B$9:$G$91,6,FALSE)</f>
        <v>7.2599999999999998E-2</v>
      </c>
      <c r="AC254" s="406">
        <f>22+7</f>
        <v>29</v>
      </c>
      <c r="AD254" s="264">
        <f t="shared" si="681"/>
        <v>237</v>
      </c>
      <c r="AE254" s="322">
        <f t="shared" si="669"/>
        <v>38</v>
      </c>
      <c r="AF254" s="264">
        <v>8</v>
      </c>
      <c r="AG254" s="264">
        <f t="shared" si="670"/>
        <v>32</v>
      </c>
      <c r="AH254" s="267"/>
      <c r="AI254" s="265">
        <f>IF(T254="AIR",'Catalogue Aluminium'!$K$9,IF(T254="TRENCH",'Catalogue Aluminium'!$K$12,"NA"))</f>
        <v>0.89</v>
      </c>
      <c r="AJ254" s="263">
        <f>IF(T254="Air",(IF(U254="1C",'Catalogue Aluminium'!$L$9,'Catalogue Aluminium'!$M$9)),IF(T254="DUCT",(IF($U254="1C",'Catalogue Aluminium'!$L$10,'Catalogue Aluminium'!$M$10)),IF(T254="GROUND",(IF($U254="1C",'Catalogue Aluminium'!$L$11,'Catalogue Aluminium'!$M$11)),IF(T254="TRENCH",(IF($U254="1C",'Catalogue Aluminium'!$L$12,'Catalogue Aluminium'!$M$12))))))</f>
        <v>0.66</v>
      </c>
      <c r="AK254" s="265" t="str">
        <f>IF(T254="Air",'Catalogue Aluminium'!$N$9,IF(T254="GROUND",'Catalogue Aluminium'!$N$10,IF(T254="DUCT",'Catalogue Aluminium'!$N$11,IF(T254="TRENCH",'Catalogue Aluminium'!$N$12,"NA"))))</f>
        <v>NA</v>
      </c>
      <c r="AL254" s="265" t="str">
        <f>IF(T254="Air",(IF(U254="1C",'Catalogue Aluminium'!$O$9,'Catalogue Aluminium'!$P$9)),IF(T254="DUCT",(IF($U254="1C",'Catalogue Aluminium'!$O$10,'Catalogue Aluminium'!$P$10)),IF(T254="GROUND",(IF($U254="1C",'Catalogue Aluminium'!$O$11,'Catalogue Aluminium'!$P$11)),IF(T254="TRENCH",(IF($U254="1C",'Catalogue Aluminium'!$O$12,'Catalogue Aluminium'!$P$12))))))</f>
        <v>NA</v>
      </c>
      <c r="AM254" s="265" t="str">
        <f>IF(T254="AIR","NA",IF(T254="TRENCH","NA",IF(T254="DUCT",IF(U254="1C",VLOOKUP(V254,'Catalogue Aluminium'!$Q$9:$S$28,2,FALSE),VLOOKUP(V254,'Catalogue Aluminium'!$Q$9:$S$28,3)),IF(T254="GROUND",IF(U254="1C",VLOOKUP(V254,'Catalogue Aluminium'!$Q$9:$S$28,2,FALSE),VLOOKUP(V254,'Catalogue Aluminium'!$Q$9:$S$28,3))))))</f>
        <v>NA</v>
      </c>
      <c r="AN254" s="268">
        <f t="shared" si="672"/>
        <v>0.58740000000000003</v>
      </c>
      <c r="AO254" s="258">
        <f t="shared" si="673"/>
        <v>150.96180000000001</v>
      </c>
      <c r="AP254" s="259">
        <f t="shared" si="655"/>
        <v>1</v>
      </c>
      <c r="AQ254" s="258" t="str">
        <f t="shared" si="674"/>
        <v>YES</v>
      </c>
      <c r="AR254" s="268">
        <f t="shared" si="675"/>
        <v>0</v>
      </c>
      <c r="AS254" s="349" t="str">
        <f t="shared" si="676"/>
        <v>YES</v>
      </c>
      <c r="AT254" s="350" t="str">
        <f t="shared" si="677"/>
        <v>NA</v>
      </c>
      <c r="AU254" s="264" t="str">
        <f t="shared" si="678"/>
        <v>NA</v>
      </c>
      <c r="AV254" s="269" t="str">
        <f t="shared" si="679"/>
        <v>1R x 0.6/1kV x 3.5C x 120 Sqmm</v>
      </c>
      <c r="AW254" s="269" t="str">
        <f t="shared" si="680"/>
        <v>1R x 0.6/1kV x 3.5C x 120 Sqmm</v>
      </c>
      <c r="AX254" s="264"/>
      <c r="AY254" s="270"/>
    </row>
    <row r="255" spans="1:51" s="75" customFormat="1" ht="20.149999999999999" hidden="1" customHeight="1">
      <c r="A255" s="262" t="s">
        <v>303</v>
      </c>
      <c r="B255" s="404" t="s">
        <v>382</v>
      </c>
      <c r="C255" s="262" t="str">
        <f t="shared" si="662"/>
        <v>EPMCC-1</v>
      </c>
      <c r="D255" s="290" t="s">
        <v>558</v>
      </c>
      <c r="E255" s="305" t="s">
        <v>310</v>
      </c>
      <c r="F255" s="262" t="s">
        <v>28</v>
      </c>
      <c r="G255" s="262" t="s">
        <v>298</v>
      </c>
      <c r="H255" s="258">
        <v>1.5</v>
      </c>
      <c r="I255" s="262" t="s">
        <v>299</v>
      </c>
      <c r="J255" s="262" t="s">
        <v>300</v>
      </c>
      <c r="K255" s="259">
        <v>400</v>
      </c>
      <c r="L255" s="264">
        <v>0.85</v>
      </c>
      <c r="M255" s="258">
        <v>0.95</v>
      </c>
      <c r="N255" s="263">
        <f t="shared" si="663"/>
        <v>2.681271852365597</v>
      </c>
      <c r="O255" s="263">
        <f t="shared" si="659"/>
        <v>0</v>
      </c>
      <c r="P255" s="264" t="str">
        <f t="shared" si="664"/>
        <v>0.00</v>
      </c>
      <c r="Q255" s="258">
        <v>50</v>
      </c>
      <c r="R255" s="258">
        <v>0</v>
      </c>
      <c r="S255" s="258">
        <f t="shared" si="665"/>
        <v>0</v>
      </c>
      <c r="T255" s="264" t="s">
        <v>131</v>
      </c>
      <c r="U255" s="258" t="s">
        <v>377</v>
      </c>
      <c r="V255" s="264">
        <v>4</v>
      </c>
      <c r="W255" s="264" t="str">
        <f t="shared" si="666"/>
        <v>4C X 4</v>
      </c>
      <c r="X255" s="264" t="str">
        <f t="shared" si="667"/>
        <v>4C X 4</v>
      </c>
      <c r="Y255" s="264" t="s">
        <v>314</v>
      </c>
      <c r="Z255" s="265">
        <f>IF(T255="AIR",VLOOKUP(W255,'Catalogue Aluminium'!$B$9:$G$91,2,FALSE),IF(T255="GROUND",VLOOKUP(W255,'Catalogue Aluminium'!$B$9:$G$91,3,FALSE),IF(T255="DUCT",VLOOKUP(W255,'Catalogue Aluminium'!$B$9:$G$91,4,FALSE),IF(T255="TRENCH",VLOOKUP(W255,'Catalogue Aluminium'!$B$9:$G$91,2,FALSE)))))</f>
        <v>38</v>
      </c>
      <c r="AA255" s="266">
        <f>VLOOKUP(W255,'Catalogue Aluminium'!$B$9:$G$91,5,FALSE)</f>
        <v>5.9</v>
      </c>
      <c r="AB255" s="266">
        <f>VLOOKUP(W255,'Catalogue Aluminium'!$B$9:$G$91,6,FALSE)</f>
        <v>9.4700000000000006E-2</v>
      </c>
      <c r="AC255" s="406">
        <f>28+7</f>
        <v>35</v>
      </c>
      <c r="AD255" s="264">
        <f t="shared" si="681"/>
        <v>237</v>
      </c>
      <c r="AE255" s="322">
        <f t="shared" si="669"/>
        <v>38</v>
      </c>
      <c r="AF255" s="264">
        <v>8</v>
      </c>
      <c r="AG255" s="264">
        <f t="shared" si="670"/>
        <v>32</v>
      </c>
      <c r="AH255" s="267"/>
      <c r="AI255" s="265">
        <f>IF(T255="AIR",'Catalogue Aluminium'!$K$9,IF(T255="TRENCH",'Catalogue Aluminium'!$K$12,"NA"))</f>
        <v>0.89</v>
      </c>
      <c r="AJ255" s="263">
        <f>IF(T255="Air",(IF(U255="1C",'Catalogue Aluminium'!$L$9,'Catalogue Aluminium'!$M$9)),IF(T255="DUCT",(IF($U255="1C",'Catalogue Aluminium'!$L$10,'Catalogue Aluminium'!$M$10)),IF(T255="GROUND",(IF($U255="1C",'Catalogue Aluminium'!$L$11,'Catalogue Aluminium'!$M$11)),IF(T255="TRENCH",(IF($U255="1C",'Catalogue Aluminium'!$L$12,'Catalogue Aluminium'!$M$12))))))</f>
        <v>0.66</v>
      </c>
      <c r="AK255" s="265" t="str">
        <f>IF(T255="Air",'Catalogue Aluminium'!$N$9,IF(T255="GROUND",'Catalogue Aluminium'!$N$10,IF(T255="DUCT",'Catalogue Aluminium'!$N$11,IF(T255="TRENCH",'Catalogue Aluminium'!$N$12,"NA"))))</f>
        <v>NA</v>
      </c>
      <c r="AL255" s="265" t="str">
        <f>IF(T255="Air",(IF(U255="1C",'Catalogue Aluminium'!$O$9,'Catalogue Aluminium'!$P$9)),IF(T255="DUCT",(IF($U255="1C",'Catalogue Aluminium'!$O$10,'Catalogue Aluminium'!$P$10)),IF(T255="GROUND",(IF($U255="1C",'Catalogue Aluminium'!$O$11,'Catalogue Aluminium'!$P$11)),IF(T255="TRENCH",(IF($U255="1C",'Catalogue Aluminium'!$O$12,'Catalogue Aluminium'!$P$12))))))</f>
        <v>NA</v>
      </c>
      <c r="AM255" s="265" t="str">
        <f>IF(T255="AIR","NA",IF(T255="TRENCH","NA",IF(T255="DUCT",IF(U255="1C",VLOOKUP(V255,'Catalogue Aluminium'!$Q$9:$S$28,2,FALSE),VLOOKUP(V255,'Catalogue Aluminium'!$Q$9:$S$28,3)),IF(T255="GROUND",IF(U255="1C",VLOOKUP(V255,'Catalogue Aluminium'!$Q$9:$S$28,2,FALSE),VLOOKUP(V255,'Catalogue Aluminium'!$Q$9:$S$28,3))))))</f>
        <v>NA</v>
      </c>
      <c r="AN255" s="268">
        <f t="shared" si="672"/>
        <v>0.58740000000000003</v>
      </c>
      <c r="AO255" s="258">
        <f t="shared" si="673"/>
        <v>22.321200000000001</v>
      </c>
      <c r="AP255" s="259">
        <f t="shared" si="655"/>
        <v>1</v>
      </c>
      <c r="AQ255" s="258" t="str">
        <f t="shared" si="674"/>
        <v>YES</v>
      </c>
      <c r="AR255" s="268">
        <f t="shared" si="675"/>
        <v>0</v>
      </c>
      <c r="AS255" s="349" t="str">
        <f t="shared" si="676"/>
        <v>YES</v>
      </c>
      <c r="AT255" s="350" t="str">
        <f t="shared" si="677"/>
        <v>NA</v>
      </c>
      <c r="AU255" s="264" t="str">
        <f t="shared" si="678"/>
        <v>NA</v>
      </c>
      <c r="AV255" s="269" t="str">
        <f t="shared" si="679"/>
        <v>1R x 0.6/1kV x 4C x 4 Sqmm</v>
      </c>
      <c r="AW255" s="269" t="str">
        <f t="shared" si="680"/>
        <v>1R x 0.6/1kV x 4C x 4 Sqmm</v>
      </c>
      <c r="AX255" s="264"/>
      <c r="AY255" s="270"/>
    </row>
    <row r="256" spans="1:51" s="75" customFormat="1" ht="20.149999999999999" hidden="1" customHeight="1">
      <c r="A256" s="262" t="s">
        <v>303</v>
      </c>
      <c r="B256" s="404" t="s">
        <v>382</v>
      </c>
      <c r="C256" s="262" t="str">
        <f t="shared" si="662"/>
        <v>EPMCC-1</v>
      </c>
      <c r="D256" s="290" t="s">
        <v>559</v>
      </c>
      <c r="E256" s="305" t="s">
        <v>310</v>
      </c>
      <c r="F256" s="262" t="s">
        <v>29</v>
      </c>
      <c r="G256" s="262" t="s">
        <v>298</v>
      </c>
      <c r="H256" s="258">
        <v>40</v>
      </c>
      <c r="I256" s="262" t="s">
        <v>299</v>
      </c>
      <c r="J256" s="262" t="s">
        <v>300</v>
      </c>
      <c r="K256" s="259">
        <v>400</v>
      </c>
      <c r="L256" s="264">
        <v>0.85</v>
      </c>
      <c r="M256" s="258">
        <v>0.95</v>
      </c>
      <c r="N256" s="263">
        <f t="shared" si="663"/>
        <v>71.500582729749254</v>
      </c>
      <c r="O256" s="263">
        <f t="shared" si="659"/>
        <v>0</v>
      </c>
      <c r="P256" s="264" t="str">
        <f t="shared" si="664"/>
        <v>0.00</v>
      </c>
      <c r="Q256" s="258">
        <v>50</v>
      </c>
      <c r="R256" s="258">
        <v>0</v>
      </c>
      <c r="S256" s="258">
        <f t="shared" si="665"/>
        <v>0</v>
      </c>
      <c r="T256" s="264" t="s">
        <v>131</v>
      </c>
      <c r="U256" s="258" t="s">
        <v>390</v>
      </c>
      <c r="V256" s="264">
        <v>240</v>
      </c>
      <c r="W256" s="264" t="str">
        <f t="shared" si="666"/>
        <v>3.5C X 240</v>
      </c>
      <c r="X256" s="264" t="str">
        <f t="shared" si="667"/>
        <v>3.5C X 240</v>
      </c>
      <c r="Y256" s="264" t="s">
        <v>314</v>
      </c>
      <c r="Z256" s="265">
        <f>IF(T256="AIR",VLOOKUP(W256,'Catalogue Aluminium'!$B$9:$G$91,2,FALSE),IF(T256="GROUND",VLOOKUP(W256,'Catalogue Aluminium'!$B$9:$G$91,3,FALSE),IF(T256="DUCT",VLOOKUP(W256,'Catalogue Aluminium'!$B$9:$G$91,4,FALSE),IF(T256="TRENCH",VLOOKUP(W256,'Catalogue Aluminium'!$B$9:$G$91,2,FALSE)))))</f>
        <v>401</v>
      </c>
      <c r="AA256" s="266">
        <f>VLOOKUP(W256,'Catalogue Aluminium'!$B$9:$G$91,5,FALSE)</f>
        <v>0.16</v>
      </c>
      <c r="AB256" s="266">
        <f>VLOOKUP(W256,'Catalogue Aluminium'!$B$9:$G$91,6,FALSE)</f>
        <v>7.1900000000000006E-2</v>
      </c>
      <c r="AC256" s="406">
        <f>22+7</f>
        <v>29</v>
      </c>
      <c r="AD256" s="264">
        <f t="shared" si="681"/>
        <v>237</v>
      </c>
      <c r="AE256" s="264">
        <f t="shared" si="669"/>
        <v>38</v>
      </c>
      <c r="AF256" s="264">
        <v>8</v>
      </c>
      <c r="AG256" s="264">
        <f t="shared" si="670"/>
        <v>32</v>
      </c>
      <c r="AH256" s="267"/>
      <c r="AI256" s="265">
        <f>IF(T256="AIR",'Catalogue Aluminium'!$K$9,IF(T256="TRENCH",'Catalogue Aluminium'!$K$12,"NA"))</f>
        <v>0.89</v>
      </c>
      <c r="AJ256" s="263">
        <f>IF(T256="Air",(IF(U256="1C",'Catalogue Aluminium'!$L$9,'Catalogue Aluminium'!$M$9)),IF(T256="DUCT",(IF($U256="1C",'Catalogue Aluminium'!$L$10,'Catalogue Aluminium'!$M$10)),IF(T256="GROUND",(IF($U256="1C",'Catalogue Aluminium'!$L$11,'Catalogue Aluminium'!$M$11)),IF(T256="TRENCH",(IF($U256="1C",'Catalogue Aluminium'!$L$12,'Catalogue Aluminium'!$M$12))))))</f>
        <v>0.66</v>
      </c>
      <c r="AK256" s="265" t="str">
        <f>IF(T256="Air",'Catalogue Aluminium'!$N$9,IF(T256="GROUND",'Catalogue Aluminium'!$N$10,IF(T256="DUCT",'Catalogue Aluminium'!$N$11,IF(T256="TRENCH",'Catalogue Aluminium'!$N$12,"NA"))))</f>
        <v>NA</v>
      </c>
      <c r="AL256" s="265" t="str">
        <f>IF(T256="Air",(IF(U256="1C",'Catalogue Aluminium'!$O$9,'Catalogue Aluminium'!$P$9)),IF(T256="DUCT",(IF($U256="1C",'Catalogue Aluminium'!$O$10,'Catalogue Aluminium'!$P$10)),IF(T256="GROUND",(IF($U256="1C",'Catalogue Aluminium'!$O$11,'Catalogue Aluminium'!$P$11)),IF(T256="TRENCH",(IF($U256="1C",'Catalogue Aluminium'!$O$12,'Catalogue Aluminium'!$P$12))))))</f>
        <v>NA</v>
      </c>
      <c r="AM256" s="265" t="str">
        <f>IF(T256="AIR","NA",IF(T256="TRENCH","NA",IF(T256="DUCT",IF(U256="1C",VLOOKUP(V256,'Catalogue Aluminium'!$Q$9:$S$28,2,FALSE),VLOOKUP(V256,'Catalogue Aluminium'!$Q$9:$S$28,3)),IF(T256="GROUND",IF(U256="1C",VLOOKUP(V256,'Catalogue Aluminium'!$Q$9:$S$28,2,FALSE),VLOOKUP(V256,'Catalogue Aluminium'!$Q$9:$S$28,3))))))</f>
        <v>NA</v>
      </c>
      <c r="AN256" s="268">
        <f t="shared" si="672"/>
        <v>0.58740000000000003</v>
      </c>
      <c r="AO256" s="258">
        <f t="shared" si="673"/>
        <v>235.54740000000001</v>
      </c>
      <c r="AP256" s="259">
        <f t="shared" si="655"/>
        <v>1</v>
      </c>
      <c r="AQ256" s="258" t="str">
        <f t="shared" si="674"/>
        <v>YES</v>
      </c>
      <c r="AR256" s="268">
        <f t="shared" si="675"/>
        <v>0</v>
      </c>
      <c r="AS256" s="349" t="str">
        <f t="shared" si="676"/>
        <v>YES</v>
      </c>
      <c r="AT256" s="350" t="str">
        <f t="shared" si="677"/>
        <v>NA</v>
      </c>
      <c r="AU256" s="264" t="str">
        <f t="shared" si="678"/>
        <v>NA</v>
      </c>
      <c r="AV256" s="269" t="str">
        <f t="shared" si="679"/>
        <v>1R x 0.6/1kV x 3.5C x 240 Sqmm</v>
      </c>
      <c r="AW256" s="269" t="str">
        <f t="shared" si="680"/>
        <v>1R x 0.6/1kV x 3.5C x 240 Sqmm</v>
      </c>
      <c r="AX256" s="264"/>
      <c r="AY256" s="270"/>
    </row>
    <row r="257" spans="1:51" ht="20.149999999999999" customHeight="1">
      <c r="A257" s="243">
        <f>1+A253</f>
        <v>166</v>
      </c>
      <c r="B257" s="599" t="s">
        <v>1055</v>
      </c>
      <c r="C257" s="243" t="str">
        <f t="shared" si="662"/>
        <v>EPMCC-1</v>
      </c>
      <c r="D257" s="272" t="s">
        <v>560</v>
      </c>
      <c r="E257" s="320" t="s">
        <v>310</v>
      </c>
      <c r="F257" s="243" t="s">
        <v>28</v>
      </c>
      <c r="G257" s="243" t="s">
        <v>311</v>
      </c>
      <c r="H257" s="304">
        <v>5.5</v>
      </c>
      <c r="I257" s="243" t="s">
        <v>299</v>
      </c>
      <c r="J257" s="243" t="s">
        <v>300</v>
      </c>
      <c r="K257" s="255">
        <v>400</v>
      </c>
      <c r="L257" s="249">
        <v>0.84</v>
      </c>
      <c r="M257" s="256">
        <v>0.92700000000000005</v>
      </c>
      <c r="N257" s="248">
        <f t="shared" si="663"/>
        <v>10.195200950599055</v>
      </c>
      <c r="O257" s="248">
        <f t="shared" si="659"/>
        <v>61.171205703594332</v>
      </c>
      <c r="P257" s="249">
        <f t="shared" si="664"/>
        <v>0.2</v>
      </c>
      <c r="Q257" s="256">
        <v>50</v>
      </c>
      <c r="R257" s="256">
        <v>0</v>
      </c>
      <c r="S257" s="256">
        <f t="shared" si="665"/>
        <v>0</v>
      </c>
      <c r="T257" s="249" t="s">
        <v>131</v>
      </c>
      <c r="U257" s="256" t="s">
        <v>302</v>
      </c>
      <c r="V257" s="249">
        <v>25</v>
      </c>
      <c r="W257" s="249" t="str">
        <f t="shared" si="666"/>
        <v>3C X 25</v>
      </c>
      <c r="X257" s="249" t="str">
        <f t="shared" si="667"/>
        <v>3C X 25+PE</v>
      </c>
      <c r="Y257" s="249" t="s">
        <v>314</v>
      </c>
      <c r="Z257" s="250">
        <f>IF(T257="AIR",VLOOKUP(W257,'Catalogue Aluminium'!$B$9:$G$91,2,FALSE),IF(T257="GROUND",VLOOKUP(W257,'Catalogue Aluminium'!$B$9:$G$91,3,FALSE),IF(T257="DUCT",VLOOKUP(W257,'Catalogue Aluminium'!$B$9:$G$91,4,FALSE),IF(T257="TRENCH",VLOOKUP(W257,'Catalogue Aluminium'!$B$9:$G$91,2,FALSE)))))</f>
        <v>95</v>
      </c>
      <c r="AA257" s="251">
        <f>VLOOKUP(W257,'Catalogue Aluminium'!$B$9:$G$91,5,FALSE)</f>
        <v>1.54</v>
      </c>
      <c r="AB257" s="251">
        <f>VLOOKUP(W257,'Catalogue Aluminium'!$B$9:$G$91,6,FALSE)</f>
        <v>8.1600000000000006E-2</v>
      </c>
      <c r="AC257" s="323">
        <f t="shared" ref="AC257" si="704">32+6</f>
        <v>38</v>
      </c>
      <c r="AD257" s="294">
        <f>40+50+38+50+17+(27+26)</f>
        <v>248</v>
      </c>
      <c r="AE257" s="294">
        <f t="shared" si="669"/>
        <v>38</v>
      </c>
      <c r="AF257" s="294">
        <v>8</v>
      </c>
      <c r="AG257" s="294">
        <f t="shared" si="670"/>
        <v>34</v>
      </c>
      <c r="AH257" s="253">
        <f t="shared" si="671"/>
        <v>366</v>
      </c>
      <c r="AI257" s="250">
        <f>IF(T257="AIR",'Catalogue Aluminium'!$K$9,IF(T257="TRENCH",'Catalogue Aluminium'!$K$12,"NA"))</f>
        <v>0.89</v>
      </c>
      <c r="AJ257" s="248">
        <f>IF(T257="Air",(IF(U257="1C",'Catalogue Aluminium'!$L$9,'Catalogue Aluminium'!$M$9)),IF(T257="DUCT",(IF($U257="1C",'Catalogue Aluminium'!$L$10,'Catalogue Aluminium'!$M$10)),IF(T257="GROUND",(IF($U257="1C",'Catalogue Aluminium'!$L$11,'Catalogue Aluminium'!$M$11)),IF(T257="TRENCH",(IF($U257="1C",'Catalogue Aluminium'!$L$12,'Catalogue Aluminium'!$M$12))))))</f>
        <v>0.66</v>
      </c>
      <c r="AK257" s="250" t="str">
        <f>IF(T257="Air",'Catalogue Aluminium'!$N$9,IF(T257="GROUND",'Catalogue Aluminium'!$N$10,IF(T257="DUCT",'Catalogue Aluminium'!$N$11,IF(T257="TRENCH",'Catalogue Aluminium'!$N$12,"NA"))))</f>
        <v>NA</v>
      </c>
      <c r="AL257" s="250" t="str">
        <f>IF(T257="Air",(IF(U257="1C",'Catalogue Aluminium'!$O$9,'Catalogue Aluminium'!$P$9)),IF(T257="DUCT",(IF($U257="1C",'Catalogue Aluminium'!$O$10,'Catalogue Aluminium'!$P$10)),IF(T257="GROUND",(IF($U257="1C",'Catalogue Aluminium'!$O$11,'Catalogue Aluminium'!$P$11)),IF(T257="TRENCH",(IF($U257="1C",'Catalogue Aluminium'!$O$12,'Catalogue Aluminium'!$P$12))))))</f>
        <v>NA</v>
      </c>
      <c r="AM257" s="250" t="str">
        <f>IF(T257="AIR","NA",IF(T257="TRENCH","NA",IF(T257="DUCT",IF(U257="1C",VLOOKUP(V257,'Catalogue Aluminium'!$Q$9:$S$28,2,FALSE),VLOOKUP(V257,'Catalogue Aluminium'!$Q$9:$S$28,3)),IF(T257="GROUND",IF(U257="1C",VLOOKUP(V257,'Catalogue Aluminium'!$Q$9:$S$28,2,FALSE),VLOOKUP(V257,'Catalogue Aluminium'!$Q$9:$S$28,3))))))</f>
        <v>NA</v>
      </c>
      <c r="AN257" s="257">
        <f t="shared" si="672"/>
        <v>0.58740000000000003</v>
      </c>
      <c r="AO257" s="256">
        <f t="shared" si="673"/>
        <v>55.803000000000004</v>
      </c>
      <c r="AP257" s="255">
        <f t="shared" si="655"/>
        <v>1</v>
      </c>
      <c r="AQ257" s="256" t="str">
        <f t="shared" si="674"/>
        <v>YES</v>
      </c>
      <c r="AR257" s="257">
        <f t="shared" si="675"/>
        <v>2.1616882723274093</v>
      </c>
      <c r="AS257" s="249" t="str">
        <f t="shared" si="676"/>
        <v>YES</v>
      </c>
      <c r="AT257" s="257">
        <f t="shared" si="677"/>
        <v>3.7610233022016382</v>
      </c>
      <c r="AU257" s="249" t="str">
        <f t="shared" si="678"/>
        <v>YES</v>
      </c>
      <c r="AV257" s="260" t="str">
        <f t="shared" si="679"/>
        <v>1R x 0.6/1kV x 3C x 25 Sqmm</v>
      </c>
      <c r="AW257" s="260" t="str">
        <f t="shared" si="680"/>
        <v>1R x 0.6/1kV x 3C x 25+PE Sqmm</v>
      </c>
      <c r="AX257" s="249">
        <f>(IF(K257=400,(IF(U257="1C",(4*AH257*AP257),(AH257*AP257))),IF(K257=230,(AH257*AP257))))</f>
        <v>366</v>
      </c>
      <c r="AY257" s="261"/>
    </row>
    <row r="258" spans="1:51" s="75" customFormat="1" ht="19.5" hidden="1" customHeight="1">
      <c r="A258" s="262" t="s">
        <v>303</v>
      </c>
      <c r="B258" s="404" t="s">
        <v>297</v>
      </c>
      <c r="C258" s="262" t="str">
        <f t="shared" si="662"/>
        <v>EPMCC-1</v>
      </c>
      <c r="D258" s="290" t="s">
        <v>561</v>
      </c>
      <c r="E258" s="305" t="s">
        <v>310</v>
      </c>
      <c r="F258" s="262" t="s">
        <v>29</v>
      </c>
      <c r="G258" s="262" t="s">
        <v>311</v>
      </c>
      <c r="H258" s="258">
        <v>15</v>
      </c>
      <c r="I258" s="262" t="s">
        <v>299</v>
      </c>
      <c r="J258" s="262" t="s">
        <v>300</v>
      </c>
      <c r="K258" s="259">
        <v>400</v>
      </c>
      <c r="L258" s="264">
        <v>0.84</v>
      </c>
      <c r="M258" s="258">
        <v>0.92700000000000005</v>
      </c>
      <c r="N258" s="263">
        <f t="shared" si="663"/>
        <v>27.805093501633788</v>
      </c>
      <c r="O258" s="263">
        <f t="shared" si="659"/>
        <v>166.83056100980272</v>
      </c>
      <c r="P258" s="264">
        <f t="shared" si="664"/>
        <v>0.2</v>
      </c>
      <c r="Q258" s="258">
        <v>50</v>
      </c>
      <c r="R258" s="258">
        <v>0</v>
      </c>
      <c r="S258" s="258">
        <f t="shared" si="665"/>
        <v>0</v>
      </c>
      <c r="T258" s="264" t="s">
        <v>131</v>
      </c>
      <c r="U258" s="258" t="s">
        <v>302</v>
      </c>
      <c r="V258" s="264">
        <v>70</v>
      </c>
      <c r="W258" s="264" t="str">
        <f t="shared" si="666"/>
        <v>3C X 70</v>
      </c>
      <c r="X258" s="264" t="str">
        <f t="shared" si="667"/>
        <v>3C X 70+PE</v>
      </c>
      <c r="Y258" s="264" t="s">
        <v>314</v>
      </c>
      <c r="Z258" s="265">
        <f>IF(T258="AIR",VLOOKUP(W258,'Catalogue Aluminium'!$B$9:$G$91,2,FALSE),IF(T258="GROUND",VLOOKUP(W258,'Catalogue Aluminium'!$B$9:$G$91,3,FALSE),IF(T258="DUCT",VLOOKUP(W258,'Catalogue Aluminium'!$B$9:$G$91,4,FALSE),IF(T258="TRENCH",VLOOKUP(W258,'Catalogue Aluminium'!$B$9:$G$91,2,FALSE)))))</f>
        <v>177</v>
      </c>
      <c r="AA258" s="266">
        <f>VLOOKUP(W258,'Catalogue Aluminium'!$B$9:$G$91,5,FALSE)</f>
        <v>0.56699999999999995</v>
      </c>
      <c r="AB258" s="266">
        <f>VLOOKUP(W258,'Catalogue Aluminium'!$B$9:$G$91,6,FALSE)</f>
        <v>7.5200000000000003E-2</v>
      </c>
      <c r="AC258" s="406">
        <f>22+7</f>
        <v>29</v>
      </c>
      <c r="AD258" s="264">
        <f t="shared" ref="AD258:AD264" si="705">11+34+48+35+30+11+24+(15+18+3+26)</f>
        <v>255</v>
      </c>
      <c r="AE258" s="322">
        <f t="shared" si="669"/>
        <v>38</v>
      </c>
      <c r="AF258" s="264">
        <v>8</v>
      </c>
      <c r="AG258" s="264">
        <f t="shared" si="670"/>
        <v>33</v>
      </c>
      <c r="AH258" s="267"/>
      <c r="AI258" s="265">
        <f>IF(T258="AIR",'Catalogue Aluminium'!$K$9,IF(T258="TRENCH",'Catalogue Aluminium'!$K$12,"NA"))</f>
        <v>0.89</v>
      </c>
      <c r="AJ258" s="263">
        <f>IF(T258="Air",(IF(U258="1C",'Catalogue Aluminium'!$L$9,'Catalogue Aluminium'!$M$9)),IF(T258="DUCT",(IF($U258="1C",'Catalogue Aluminium'!$L$10,'Catalogue Aluminium'!$M$10)),IF(T258="GROUND",(IF($U258="1C",'Catalogue Aluminium'!$L$11,'Catalogue Aluminium'!$M$11)),IF(T258="TRENCH",(IF($U258="1C",'Catalogue Aluminium'!$L$12,'Catalogue Aluminium'!$M$12))))))</f>
        <v>0.66</v>
      </c>
      <c r="AK258" s="265" t="str">
        <f>IF(T258="Air",'Catalogue Aluminium'!$N$9,IF(T258="GROUND",'Catalogue Aluminium'!$N$10,IF(T258="DUCT",'Catalogue Aluminium'!$N$11,IF(T258="TRENCH",'Catalogue Aluminium'!$N$12,"NA"))))</f>
        <v>NA</v>
      </c>
      <c r="AL258" s="265" t="str">
        <f>IF(T258="Air",(IF(U258="1C",'Catalogue Aluminium'!$O$9,'Catalogue Aluminium'!$P$9)),IF(T258="DUCT",(IF($U258="1C",'Catalogue Aluminium'!$O$10,'Catalogue Aluminium'!$P$10)),IF(T258="GROUND",(IF($U258="1C",'Catalogue Aluminium'!$O$11,'Catalogue Aluminium'!$P$11)),IF(T258="TRENCH",(IF($U258="1C",'Catalogue Aluminium'!$O$12,'Catalogue Aluminium'!$P$12))))))</f>
        <v>NA</v>
      </c>
      <c r="AM258" s="265" t="str">
        <f>IF(T258="AIR","NA",IF(T258="TRENCH","NA",IF(T258="DUCT",IF(U258="1C",VLOOKUP(V258,'Catalogue Aluminium'!$Q$9:$S$28,2,FALSE),VLOOKUP(V258,'Catalogue Aluminium'!$Q$9:$S$28,3)),IF(T258="GROUND",IF(U258="1C",VLOOKUP(V258,'Catalogue Aluminium'!$Q$9:$S$28,2,FALSE),VLOOKUP(V258,'Catalogue Aluminium'!$Q$9:$S$28,3))))))</f>
        <v>NA</v>
      </c>
      <c r="AN258" s="268">
        <f t="shared" si="672"/>
        <v>0.58740000000000003</v>
      </c>
      <c r="AO258" s="258">
        <f t="shared" si="673"/>
        <v>103.96980000000001</v>
      </c>
      <c r="AP258" s="259">
        <f t="shared" si="655"/>
        <v>1</v>
      </c>
      <c r="AQ258" s="258" t="str">
        <f t="shared" si="674"/>
        <v>YES</v>
      </c>
      <c r="AR258" s="268">
        <f t="shared" si="675"/>
        <v>0</v>
      </c>
      <c r="AS258" s="349" t="str">
        <f t="shared" si="676"/>
        <v>YES</v>
      </c>
      <c r="AT258" s="350">
        <f t="shared" si="677"/>
        <v>0</v>
      </c>
      <c r="AU258" s="264" t="str">
        <f t="shared" si="678"/>
        <v>YES</v>
      </c>
      <c r="AV258" s="269" t="str">
        <f t="shared" si="679"/>
        <v>1R x 0.6/1kV x 3C x 70 Sqmm</v>
      </c>
      <c r="AW258" s="269" t="str">
        <f t="shared" si="680"/>
        <v>1R x 0.6/1kV x 3C x 70+PE Sqmm</v>
      </c>
      <c r="AX258" s="264"/>
      <c r="AY258" s="270"/>
    </row>
    <row r="259" spans="1:51" s="75" customFormat="1" ht="20.149999999999999" hidden="1" customHeight="1">
      <c r="A259" s="262" t="s">
        <v>303</v>
      </c>
      <c r="B259" s="404" t="s">
        <v>297</v>
      </c>
      <c r="C259" s="262" t="str">
        <f t="shared" si="662"/>
        <v>EPMCC-1</v>
      </c>
      <c r="D259" s="290" t="s">
        <v>562</v>
      </c>
      <c r="E259" s="305" t="s">
        <v>310</v>
      </c>
      <c r="F259" s="262" t="s">
        <v>28</v>
      </c>
      <c r="G259" s="262" t="s">
        <v>311</v>
      </c>
      <c r="H259" s="258">
        <v>55</v>
      </c>
      <c r="I259" s="262" t="s">
        <v>299</v>
      </c>
      <c r="J259" s="262" t="s">
        <v>300</v>
      </c>
      <c r="K259" s="259">
        <v>400</v>
      </c>
      <c r="L259" s="264">
        <v>0.85</v>
      </c>
      <c r="M259" s="258">
        <v>0.95400000000000007</v>
      </c>
      <c r="N259" s="263">
        <f t="shared" si="663"/>
        <v>97.901086153810226</v>
      </c>
      <c r="O259" s="263">
        <f t="shared" si="659"/>
        <v>587.40651692286133</v>
      </c>
      <c r="P259" s="264">
        <f t="shared" si="664"/>
        <v>0.2</v>
      </c>
      <c r="Q259" s="258">
        <v>50</v>
      </c>
      <c r="R259" s="258">
        <v>0</v>
      </c>
      <c r="S259" s="258">
        <f t="shared" si="665"/>
        <v>0</v>
      </c>
      <c r="T259" s="264" t="s">
        <v>131</v>
      </c>
      <c r="U259" s="258" t="s">
        <v>302</v>
      </c>
      <c r="V259" s="264">
        <v>120</v>
      </c>
      <c r="W259" s="264" t="str">
        <f t="shared" si="666"/>
        <v>3C X 120</v>
      </c>
      <c r="X259" s="264" t="str">
        <f t="shared" si="667"/>
        <v>3C X 120+PE</v>
      </c>
      <c r="Y259" s="264" t="s">
        <v>314</v>
      </c>
      <c r="Z259" s="265">
        <f>IF(T259="AIR",VLOOKUP(W259,'Catalogue Aluminium'!$B$9:$G$91,2,FALSE),IF(T259="GROUND",VLOOKUP(W259,'Catalogue Aluminium'!$B$9:$G$91,3,FALSE),IF(T259="DUCT",VLOOKUP(W259,'Catalogue Aluminium'!$B$9:$G$91,4,FALSE),IF(T259="TRENCH",VLOOKUP(W259,'Catalogue Aluminium'!$B$9:$G$91,2,FALSE)))))</f>
        <v>257</v>
      </c>
      <c r="AA259" s="266">
        <f>VLOOKUP(W259,'Catalogue Aluminium'!$B$9:$G$91,5,FALSE)</f>
        <v>0.32400000000000001</v>
      </c>
      <c r="AB259" s="266">
        <f>VLOOKUP(W259,'Catalogue Aluminium'!$B$9:$G$91,6,FALSE)</f>
        <v>7.2599999999999998E-2</v>
      </c>
      <c r="AC259" s="406">
        <f>28+7</f>
        <v>35</v>
      </c>
      <c r="AD259" s="264">
        <f t="shared" si="705"/>
        <v>255</v>
      </c>
      <c r="AE259" s="322">
        <f t="shared" si="669"/>
        <v>38</v>
      </c>
      <c r="AF259" s="264">
        <v>8</v>
      </c>
      <c r="AG259" s="264">
        <f t="shared" si="670"/>
        <v>34</v>
      </c>
      <c r="AH259" s="267"/>
      <c r="AI259" s="265">
        <f>IF(T259="AIR",'Catalogue Aluminium'!$K$9,IF(T259="TRENCH",'Catalogue Aluminium'!$K$12,"NA"))</f>
        <v>0.89</v>
      </c>
      <c r="AJ259" s="263">
        <f>IF(T259="Air",(IF(U259="1C",'Catalogue Aluminium'!$L$9,'Catalogue Aluminium'!$M$9)),IF(T259="DUCT",(IF($U259="1C",'Catalogue Aluminium'!$L$10,'Catalogue Aluminium'!$M$10)),IF(T259="GROUND",(IF($U259="1C",'Catalogue Aluminium'!$L$11,'Catalogue Aluminium'!$M$11)),IF(T259="TRENCH",(IF($U259="1C",'Catalogue Aluminium'!$L$12,'Catalogue Aluminium'!$M$12))))))</f>
        <v>0.66</v>
      </c>
      <c r="AK259" s="265" t="str">
        <f>IF(T259="Air",'Catalogue Aluminium'!$N$9,IF(T259="GROUND",'Catalogue Aluminium'!$N$10,IF(T259="DUCT",'Catalogue Aluminium'!$N$11,IF(T259="TRENCH",'Catalogue Aluminium'!$N$12,"NA"))))</f>
        <v>NA</v>
      </c>
      <c r="AL259" s="265" t="str">
        <f>IF(T259="Air",(IF(U259="1C",'Catalogue Aluminium'!$O$9,'Catalogue Aluminium'!$P$9)),IF(T259="DUCT",(IF($U259="1C",'Catalogue Aluminium'!$O$10,'Catalogue Aluminium'!$P$10)),IF(T259="GROUND",(IF($U259="1C",'Catalogue Aluminium'!$O$11,'Catalogue Aluminium'!$P$11)),IF(T259="TRENCH",(IF($U259="1C",'Catalogue Aluminium'!$O$12,'Catalogue Aluminium'!$P$12))))))</f>
        <v>NA</v>
      </c>
      <c r="AM259" s="265" t="str">
        <f>IF(T259="AIR","NA",IF(T259="TRENCH","NA",IF(T259="DUCT",IF(U259="1C",VLOOKUP(V259,'Catalogue Aluminium'!$Q$9:$S$28,2,FALSE),VLOOKUP(V259,'Catalogue Aluminium'!$Q$9:$S$28,3)),IF(T259="GROUND",IF(U259="1C",VLOOKUP(V259,'Catalogue Aluminium'!$Q$9:$S$28,2,FALSE),VLOOKUP(V259,'Catalogue Aluminium'!$Q$9:$S$28,3))))))</f>
        <v>NA</v>
      </c>
      <c r="AN259" s="268">
        <f t="shared" si="672"/>
        <v>0.58740000000000003</v>
      </c>
      <c r="AO259" s="258">
        <f t="shared" si="673"/>
        <v>150.96180000000001</v>
      </c>
      <c r="AP259" s="348">
        <f t="shared" si="655"/>
        <v>1</v>
      </c>
      <c r="AQ259" s="258" t="str">
        <f t="shared" si="674"/>
        <v>YES</v>
      </c>
      <c r="AR259" s="268">
        <f t="shared" si="675"/>
        <v>0</v>
      </c>
      <c r="AS259" s="349" t="str">
        <f t="shared" si="676"/>
        <v>YES</v>
      </c>
      <c r="AT259" s="350">
        <f t="shared" si="677"/>
        <v>0</v>
      </c>
      <c r="AU259" s="264" t="str">
        <f t="shared" si="678"/>
        <v>YES</v>
      </c>
      <c r="AV259" s="269" t="str">
        <f t="shared" si="679"/>
        <v>1R x 0.6/1kV x 3C x 120 Sqmm</v>
      </c>
      <c r="AW259" s="269" t="str">
        <f t="shared" si="680"/>
        <v>1R x 0.6/1kV x 3C x 120+PE Sqmm</v>
      </c>
      <c r="AX259" s="264"/>
      <c r="AY259" s="270"/>
    </row>
    <row r="260" spans="1:51" s="75" customFormat="1" ht="20.149999999999999" hidden="1" customHeight="1">
      <c r="A260" s="262" t="s">
        <v>303</v>
      </c>
      <c r="B260" s="404" t="s">
        <v>297</v>
      </c>
      <c r="C260" s="262" t="str">
        <f t="shared" si="662"/>
        <v>EPMCC-1</v>
      </c>
      <c r="D260" s="290" t="s">
        <v>563</v>
      </c>
      <c r="E260" s="305" t="s">
        <v>310</v>
      </c>
      <c r="F260" s="262" t="s">
        <v>29</v>
      </c>
      <c r="G260" s="262" t="s">
        <v>311</v>
      </c>
      <c r="H260" s="258">
        <v>55</v>
      </c>
      <c r="I260" s="262" t="s">
        <v>299</v>
      </c>
      <c r="J260" s="262" t="s">
        <v>300</v>
      </c>
      <c r="K260" s="259">
        <v>400</v>
      </c>
      <c r="L260" s="264">
        <v>0.85</v>
      </c>
      <c r="M260" s="258">
        <v>0.95400000000000007</v>
      </c>
      <c r="N260" s="263">
        <f t="shared" si="663"/>
        <v>97.901086153810226</v>
      </c>
      <c r="O260" s="263">
        <f t="shared" si="659"/>
        <v>587.40651692286133</v>
      </c>
      <c r="P260" s="264">
        <f t="shared" si="664"/>
        <v>0.2</v>
      </c>
      <c r="Q260" s="258">
        <v>50</v>
      </c>
      <c r="R260" s="258">
        <v>0</v>
      </c>
      <c r="S260" s="258">
        <f t="shared" si="665"/>
        <v>0</v>
      </c>
      <c r="T260" s="264" t="s">
        <v>131</v>
      </c>
      <c r="U260" s="258" t="s">
        <v>302</v>
      </c>
      <c r="V260" s="264">
        <v>240</v>
      </c>
      <c r="W260" s="264" t="str">
        <f t="shared" si="666"/>
        <v>3C X 240</v>
      </c>
      <c r="X260" s="264" t="str">
        <f t="shared" si="667"/>
        <v>3C X 240+PE</v>
      </c>
      <c r="Y260" s="264" t="s">
        <v>314</v>
      </c>
      <c r="Z260" s="265">
        <f>IF(T260="AIR",VLOOKUP(W260,'Catalogue Aluminium'!$B$9:$G$91,2,FALSE),IF(T260="GROUND",VLOOKUP(W260,'Catalogue Aluminium'!$B$9:$G$91,3,FALSE),IF(T260="DUCT",VLOOKUP(W260,'Catalogue Aluminium'!$B$9:$G$91,4,FALSE),IF(T260="TRENCH",VLOOKUP(W260,'Catalogue Aluminium'!$B$9:$G$91,2,FALSE)))))</f>
        <v>401</v>
      </c>
      <c r="AA260" s="266">
        <f>VLOOKUP(W260,'Catalogue Aluminium'!$B$9:$G$91,5,FALSE)</f>
        <v>0.16</v>
      </c>
      <c r="AB260" s="266">
        <f>VLOOKUP(W260,'Catalogue Aluminium'!$B$9:$G$91,6,FALSE)</f>
        <v>7.1900000000000006E-2</v>
      </c>
      <c r="AC260" s="406">
        <f>22+7</f>
        <v>29</v>
      </c>
      <c r="AD260" s="264">
        <f t="shared" si="705"/>
        <v>255</v>
      </c>
      <c r="AE260" s="322">
        <f t="shared" si="669"/>
        <v>38</v>
      </c>
      <c r="AF260" s="264">
        <v>8</v>
      </c>
      <c r="AG260" s="264">
        <f t="shared" si="670"/>
        <v>33</v>
      </c>
      <c r="AH260" s="267"/>
      <c r="AI260" s="265">
        <f>IF(T260="AIR",'Catalogue Aluminium'!$K$9,IF(T260="TRENCH",'Catalogue Aluminium'!$K$12,"NA"))</f>
        <v>0.89</v>
      </c>
      <c r="AJ260" s="263">
        <f>IF(T260="Air",(IF(U260="1C",'Catalogue Aluminium'!$L$9,'Catalogue Aluminium'!$M$9)),IF(T260="DUCT",(IF($U260="1C",'Catalogue Aluminium'!$L$10,'Catalogue Aluminium'!$M$10)),IF(T260="GROUND",(IF($U260="1C",'Catalogue Aluminium'!$L$11,'Catalogue Aluminium'!$M$11)),IF(T260="TRENCH",(IF($U260="1C",'Catalogue Aluminium'!$L$12,'Catalogue Aluminium'!$M$12))))))</f>
        <v>0.66</v>
      </c>
      <c r="AK260" s="265" t="str">
        <f>IF(T260="Air",'Catalogue Aluminium'!$N$9,IF(T260="GROUND",'Catalogue Aluminium'!$N$10,IF(T260="DUCT",'Catalogue Aluminium'!$N$11,IF(T260="TRENCH",'Catalogue Aluminium'!$N$12,"NA"))))</f>
        <v>NA</v>
      </c>
      <c r="AL260" s="265" t="str">
        <f>IF(T260="Air",(IF(U260="1C",'Catalogue Aluminium'!$O$9,'Catalogue Aluminium'!$P$9)),IF(T260="DUCT",(IF($U260="1C",'Catalogue Aluminium'!$O$10,'Catalogue Aluminium'!$P$10)),IF(T260="GROUND",(IF($U260="1C",'Catalogue Aluminium'!$O$11,'Catalogue Aluminium'!$P$11)),IF(T260="TRENCH",(IF($U260="1C",'Catalogue Aluminium'!$O$12,'Catalogue Aluminium'!$P$12))))))</f>
        <v>NA</v>
      </c>
      <c r="AM260" s="265" t="str">
        <f>IF(T260="AIR","NA",IF(T260="TRENCH","NA",IF(T260="DUCT",IF(U260="1C",VLOOKUP(V260,'Catalogue Aluminium'!$Q$9:$S$28,2,FALSE),VLOOKUP(V260,'Catalogue Aluminium'!$Q$9:$S$28,3)),IF(T260="GROUND",IF(U260="1C",VLOOKUP(V260,'Catalogue Aluminium'!$Q$9:$S$28,2,FALSE),VLOOKUP(V260,'Catalogue Aluminium'!$Q$9:$S$28,3))))))</f>
        <v>NA</v>
      </c>
      <c r="AN260" s="268">
        <f t="shared" si="672"/>
        <v>0.58740000000000003</v>
      </c>
      <c r="AO260" s="258">
        <f t="shared" si="673"/>
        <v>235.54740000000001</v>
      </c>
      <c r="AP260" s="348">
        <f t="shared" si="655"/>
        <v>1</v>
      </c>
      <c r="AQ260" s="258" t="str">
        <f t="shared" si="674"/>
        <v>YES</v>
      </c>
      <c r="AR260" s="268">
        <f t="shared" si="675"/>
        <v>0</v>
      </c>
      <c r="AS260" s="349" t="str">
        <f t="shared" si="676"/>
        <v>YES</v>
      </c>
      <c r="AT260" s="350">
        <f t="shared" si="677"/>
        <v>0</v>
      </c>
      <c r="AU260" s="264" t="str">
        <f t="shared" si="678"/>
        <v>YES</v>
      </c>
      <c r="AV260" s="269" t="str">
        <f t="shared" si="679"/>
        <v>1R x 0.6/1kV x 3C x 240 Sqmm</v>
      </c>
      <c r="AW260" s="269" t="str">
        <f t="shared" si="680"/>
        <v>1R x 0.6/1kV x 3C x 240+PE Sqmm</v>
      </c>
      <c r="AX260" s="264"/>
      <c r="AY260" s="270"/>
    </row>
    <row r="261" spans="1:51" ht="20.149999999999999" customHeight="1">
      <c r="A261" s="243">
        <f>1+A257</f>
        <v>167</v>
      </c>
      <c r="B261" s="599" t="s">
        <v>1056</v>
      </c>
      <c r="C261" s="243" t="str">
        <f t="shared" si="662"/>
        <v>EPMCC-1</v>
      </c>
      <c r="D261" s="272" t="s">
        <v>564</v>
      </c>
      <c r="E261" s="320" t="s">
        <v>310</v>
      </c>
      <c r="F261" s="243" t="s">
        <v>28</v>
      </c>
      <c r="G261" s="243" t="s">
        <v>311</v>
      </c>
      <c r="H261" s="304">
        <v>5.5</v>
      </c>
      <c r="I261" s="243" t="s">
        <v>299</v>
      </c>
      <c r="J261" s="243" t="s">
        <v>300</v>
      </c>
      <c r="K261" s="255">
        <v>400</v>
      </c>
      <c r="L261" s="249">
        <v>0.79</v>
      </c>
      <c r="M261" s="256">
        <v>0.8859999999999999</v>
      </c>
      <c r="N261" s="248">
        <f t="shared" si="663"/>
        <v>11.342113718622269</v>
      </c>
      <c r="O261" s="248">
        <f t="shared" si="659"/>
        <v>68.052682311733605</v>
      </c>
      <c r="P261" s="249">
        <f t="shared" si="664"/>
        <v>0.2</v>
      </c>
      <c r="Q261" s="256">
        <v>50</v>
      </c>
      <c r="R261" s="256">
        <v>0</v>
      </c>
      <c r="S261" s="256">
        <f t="shared" si="665"/>
        <v>0</v>
      </c>
      <c r="T261" s="249" t="s">
        <v>131</v>
      </c>
      <c r="U261" s="256" t="s">
        <v>302</v>
      </c>
      <c r="V261" s="249">
        <v>25</v>
      </c>
      <c r="W261" s="249" t="str">
        <f t="shared" si="666"/>
        <v>3C X 25</v>
      </c>
      <c r="X261" s="249" t="str">
        <f t="shared" si="667"/>
        <v>3C X 25+PE</v>
      </c>
      <c r="Y261" s="249" t="s">
        <v>314</v>
      </c>
      <c r="Z261" s="250">
        <f>IF(T261="AIR",VLOOKUP(W261,'Catalogue Aluminium'!$B$9:$G$91,2,FALSE),IF(T261="GROUND",VLOOKUP(W261,'Catalogue Aluminium'!$B$9:$G$91,3,FALSE),IF(T261="DUCT",VLOOKUP(W261,'Catalogue Aluminium'!$B$9:$G$91,4,FALSE),IF(T261="TRENCH",VLOOKUP(W261,'Catalogue Aluminium'!$B$9:$G$91,2,FALSE)))))</f>
        <v>95</v>
      </c>
      <c r="AA261" s="251">
        <f>VLOOKUP(W261,'Catalogue Aluminium'!$B$9:$G$91,5,FALSE)</f>
        <v>1.54</v>
      </c>
      <c r="AB261" s="251">
        <f>VLOOKUP(W261,'Catalogue Aluminium'!$B$9:$G$91,6,FALSE)</f>
        <v>8.1600000000000006E-2</v>
      </c>
      <c r="AC261" s="323">
        <f t="shared" ref="AC261" si="706">32+6</f>
        <v>38</v>
      </c>
      <c r="AD261" s="294">
        <f>40+50+38+50+17+(27+41)</f>
        <v>263</v>
      </c>
      <c r="AE261" s="294">
        <f t="shared" si="669"/>
        <v>38</v>
      </c>
      <c r="AF261" s="294">
        <v>8</v>
      </c>
      <c r="AG261" s="294">
        <f t="shared" si="670"/>
        <v>35</v>
      </c>
      <c r="AH261" s="253">
        <f t="shared" si="671"/>
        <v>382</v>
      </c>
      <c r="AI261" s="250">
        <f>IF(T261="AIR",'Catalogue Aluminium'!$K$9,IF(T261="TRENCH",'Catalogue Aluminium'!$K$12,"NA"))</f>
        <v>0.89</v>
      </c>
      <c r="AJ261" s="248">
        <f>IF(T261="Air",(IF(U261="1C",'Catalogue Aluminium'!$L$9,'Catalogue Aluminium'!$M$9)),IF(T261="DUCT",(IF($U261="1C",'Catalogue Aluminium'!$L$10,'Catalogue Aluminium'!$M$10)),IF(T261="GROUND",(IF($U261="1C",'Catalogue Aluminium'!$L$11,'Catalogue Aluminium'!$M$11)),IF(T261="TRENCH",(IF($U261="1C",'Catalogue Aluminium'!$L$12,'Catalogue Aluminium'!$M$12))))))</f>
        <v>0.66</v>
      </c>
      <c r="AK261" s="250" t="str">
        <f>IF(T261="Air",'Catalogue Aluminium'!$N$9,IF(T261="GROUND",'Catalogue Aluminium'!$N$10,IF(T261="DUCT",'Catalogue Aluminium'!$N$11,IF(T261="TRENCH",'Catalogue Aluminium'!$N$12,"NA"))))</f>
        <v>NA</v>
      </c>
      <c r="AL261" s="250" t="str">
        <f>IF(T261="Air",(IF(U261="1C",'Catalogue Aluminium'!$O$9,'Catalogue Aluminium'!$P$9)),IF(T261="DUCT",(IF($U261="1C",'Catalogue Aluminium'!$O$10,'Catalogue Aluminium'!$P$10)),IF(T261="GROUND",(IF($U261="1C",'Catalogue Aluminium'!$O$11,'Catalogue Aluminium'!$P$11)),IF(T261="TRENCH",(IF($U261="1C",'Catalogue Aluminium'!$O$12,'Catalogue Aluminium'!$P$12))))))</f>
        <v>NA</v>
      </c>
      <c r="AM261" s="250" t="str">
        <f>IF(T261="AIR","NA",IF(T261="TRENCH","NA",IF(T261="DUCT",IF(U261="1C",VLOOKUP(V261,'Catalogue Aluminium'!$Q$9:$S$28,2,FALSE),VLOOKUP(V261,'Catalogue Aluminium'!$Q$9:$S$28,3)),IF(T261="GROUND",IF(U261="1C",VLOOKUP(V261,'Catalogue Aluminium'!$Q$9:$S$28,2,FALSE),VLOOKUP(V261,'Catalogue Aluminium'!$Q$9:$S$28,3))))))</f>
        <v>NA</v>
      </c>
      <c r="AN261" s="257">
        <f t="shared" si="672"/>
        <v>0.58740000000000003</v>
      </c>
      <c r="AO261" s="256">
        <f t="shared" si="673"/>
        <v>55.803000000000004</v>
      </c>
      <c r="AP261" s="255">
        <f t="shared" si="655"/>
        <v>1</v>
      </c>
      <c r="AQ261" s="256" t="str">
        <f t="shared" si="674"/>
        <v>YES</v>
      </c>
      <c r="AR261" s="257">
        <f t="shared" si="675"/>
        <v>2.3763346527666953</v>
      </c>
      <c r="AS261" s="249" t="str">
        <f t="shared" si="676"/>
        <v>YES</v>
      </c>
      <c r="AT261" s="257">
        <f t="shared" si="677"/>
        <v>4.3670333520160334</v>
      </c>
      <c r="AU261" s="249" t="str">
        <f t="shared" si="678"/>
        <v>YES</v>
      </c>
      <c r="AV261" s="260" t="str">
        <f t="shared" si="679"/>
        <v>1R x 0.6/1kV x 3C x 25 Sqmm</v>
      </c>
      <c r="AW261" s="260" t="str">
        <f t="shared" si="680"/>
        <v>1R x 0.6/1kV x 3C x 25+PE Sqmm</v>
      </c>
      <c r="AX261" s="249">
        <f>(IF(K261=400,(IF(U261="1C",(4*AH261*AP261),(AH261*AP261))),IF(K261=230,(AH261*AP261))))</f>
        <v>382</v>
      </c>
      <c r="AY261" s="261"/>
    </row>
    <row r="262" spans="1:51" s="75" customFormat="1" ht="20.149999999999999" hidden="1" customHeight="1">
      <c r="A262" s="262" t="s">
        <v>303</v>
      </c>
      <c r="B262" s="404" t="s">
        <v>382</v>
      </c>
      <c r="C262" s="262" t="str">
        <f t="shared" si="662"/>
        <v>EPMCC-1</v>
      </c>
      <c r="D262" s="290" t="s">
        <v>565</v>
      </c>
      <c r="E262" s="305" t="s">
        <v>310</v>
      </c>
      <c r="F262" s="262" t="s">
        <v>29</v>
      </c>
      <c r="G262" s="262" t="s">
        <v>298</v>
      </c>
      <c r="H262" s="258">
        <v>25</v>
      </c>
      <c r="I262" s="262" t="s">
        <v>299</v>
      </c>
      <c r="J262" s="262" t="s">
        <v>300</v>
      </c>
      <c r="K262" s="259">
        <v>400</v>
      </c>
      <c r="L262" s="264">
        <v>0.85</v>
      </c>
      <c r="M262" s="258">
        <v>0.95</v>
      </c>
      <c r="N262" s="263">
        <f t="shared" si="663"/>
        <v>44.687864206093288</v>
      </c>
      <c r="O262" s="263">
        <f t="shared" si="659"/>
        <v>0</v>
      </c>
      <c r="P262" s="264" t="str">
        <f t="shared" si="664"/>
        <v>0.00</v>
      </c>
      <c r="Q262" s="258">
        <v>50</v>
      </c>
      <c r="R262" s="258">
        <v>0</v>
      </c>
      <c r="S262" s="258">
        <f t="shared" si="665"/>
        <v>0</v>
      </c>
      <c r="T262" s="264" t="s">
        <v>131</v>
      </c>
      <c r="U262" s="258" t="s">
        <v>390</v>
      </c>
      <c r="V262" s="264">
        <v>120</v>
      </c>
      <c r="W262" s="264" t="str">
        <f t="shared" si="666"/>
        <v>3.5C X 120</v>
      </c>
      <c r="X262" s="264" t="str">
        <f t="shared" si="667"/>
        <v>3.5C X 120</v>
      </c>
      <c r="Y262" s="264" t="s">
        <v>314</v>
      </c>
      <c r="Z262" s="265">
        <f>IF(T262="AIR",VLOOKUP(W262,'Catalogue Aluminium'!$B$9:$G$91,2,FALSE),IF(T262="GROUND",VLOOKUP(W262,'Catalogue Aluminium'!$B$9:$G$91,3,FALSE),IF(T262="DUCT",VLOOKUP(W262,'Catalogue Aluminium'!$B$9:$G$91,4,FALSE),IF(T262="TRENCH",VLOOKUP(W262,'Catalogue Aluminium'!$B$9:$G$91,2,FALSE)))))</f>
        <v>257</v>
      </c>
      <c r="AA262" s="266">
        <f>VLOOKUP(W262,'Catalogue Aluminium'!$B$9:$G$91,5,FALSE)</f>
        <v>0.32400000000000001</v>
      </c>
      <c r="AB262" s="266">
        <f>VLOOKUP(W262,'Catalogue Aluminium'!$B$9:$G$91,6,FALSE)</f>
        <v>7.2599999999999998E-2</v>
      </c>
      <c r="AC262" s="406">
        <f>22+7</f>
        <v>29</v>
      </c>
      <c r="AD262" s="264">
        <f t="shared" si="705"/>
        <v>255</v>
      </c>
      <c r="AE262" s="322">
        <f t="shared" si="669"/>
        <v>38</v>
      </c>
      <c r="AF262" s="264">
        <v>8</v>
      </c>
      <c r="AG262" s="264">
        <f t="shared" si="670"/>
        <v>33</v>
      </c>
      <c r="AH262" s="267"/>
      <c r="AI262" s="265">
        <f>IF(T262="AIR",'Catalogue Aluminium'!$K$9,IF(T262="TRENCH",'Catalogue Aluminium'!$K$12,"NA"))</f>
        <v>0.89</v>
      </c>
      <c r="AJ262" s="263">
        <f>IF(T262="Air",(IF(U262="1C",'Catalogue Aluminium'!$L$9,'Catalogue Aluminium'!$M$9)),IF(T262="DUCT",(IF($U262="1C",'Catalogue Aluminium'!$L$10,'Catalogue Aluminium'!$M$10)),IF(T262="GROUND",(IF($U262="1C",'Catalogue Aluminium'!$L$11,'Catalogue Aluminium'!$M$11)),IF(T262="TRENCH",(IF($U262="1C",'Catalogue Aluminium'!$L$12,'Catalogue Aluminium'!$M$12))))))</f>
        <v>0.66</v>
      </c>
      <c r="AK262" s="265" t="str">
        <f>IF(T262="Air",'Catalogue Aluminium'!$N$9,IF(T262="GROUND",'Catalogue Aluminium'!$N$10,IF(T262="DUCT",'Catalogue Aluminium'!$N$11,IF(T262="TRENCH",'Catalogue Aluminium'!$N$12,"NA"))))</f>
        <v>NA</v>
      </c>
      <c r="AL262" s="265" t="str">
        <f>IF(T262="Air",(IF(U262="1C",'Catalogue Aluminium'!$O$9,'Catalogue Aluminium'!$P$9)),IF(T262="DUCT",(IF($U262="1C",'Catalogue Aluminium'!$O$10,'Catalogue Aluminium'!$P$10)),IF(T262="GROUND",(IF($U262="1C",'Catalogue Aluminium'!$O$11,'Catalogue Aluminium'!$P$11)),IF(T262="TRENCH",(IF($U262="1C",'Catalogue Aluminium'!$O$12,'Catalogue Aluminium'!$P$12))))))</f>
        <v>NA</v>
      </c>
      <c r="AM262" s="265" t="str">
        <f>IF(T262="AIR","NA",IF(T262="TRENCH","NA",IF(T262="DUCT",IF(U262="1C",VLOOKUP(V262,'Catalogue Aluminium'!$Q$9:$S$28,2,FALSE),VLOOKUP(V262,'Catalogue Aluminium'!$Q$9:$S$28,3)),IF(T262="GROUND",IF(U262="1C",VLOOKUP(V262,'Catalogue Aluminium'!$Q$9:$S$28,2,FALSE),VLOOKUP(V262,'Catalogue Aluminium'!$Q$9:$S$28,3))))))</f>
        <v>NA</v>
      </c>
      <c r="AN262" s="268">
        <f t="shared" si="672"/>
        <v>0.58740000000000003</v>
      </c>
      <c r="AO262" s="258">
        <f t="shared" si="673"/>
        <v>150.96180000000001</v>
      </c>
      <c r="AP262" s="259">
        <f t="shared" si="655"/>
        <v>1</v>
      </c>
      <c r="AQ262" s="258" t="str">
        <f t="shared" si="674"/>
        <v>YES</v>
      </c>
      <c r="AR262" s="268">
        <f t="shared" si="675"/>
        <v>0</v>
      </c>
      <c r="AS262" s="349" t="str">
        <f t="shared" si="676"/>
        <v>YES</v>
      </c>
      <c r="AT262" s="350" t="str">
        <f t="shared" si="677"/>
        <v>NA</v>
      </c>
      <c r="AU262" s="264" t="str">
        <f t="shared" si="678"/>
        <v>NA</v>
      </c>
      <c r="AV262" s="269" t="str">
        <f t="shared" si="679"/>
        <v>1R x 0.6/1kV x 3.5C x 120 Sqmm</v>
      </c>
      <c r="AW262" s="269" t="str">
        <f t="shared" si="680"/>
        <v>1R x 0.6/1kV x 3.5C x 120 Sqmm</v>
      </c>
      <c r="AX262" s="264"/>
      <c r="AY262" s="270"/>
    </row>
    <row r="263" spans="1:51" s="75" customFormat="1" ht="20.149999999999999" hidden="1" customHeight="1">
      <c r="A263" s="262" t="s">
        <v>303</v>
      </c>
      <c r="B263" s="404" t="s">
        <v>382</v>
      </c>
      <c r="C263" s="262" t="str">
        <f t="shared" si="662"/>
        <v>EPMCC-1</v>
      </c>
      <c r="D263" s="290" t="s">
        <v>566</v>
      </c>
      <c r="E263" s="305" t="s">
        <v>310</v>
      </c>
      <c r="F263" s="262" t="s">
        <v>28</v>
      </c>
      <c r="G263" s="262" t="s">
        <v>298</v>
      </c>
      <c r="H263" s="258">
        <v>1.5</v>
      </c>
      <c r="I263" s="262" t="s">
        <v>299</v>
      </c>
      <c r="J263" s="262" t="s">
        <v>300</v>
      </c>
      <c r="K263" s="259">
        <v>400</v>
      </c>
      <c r="L263" s="264">
        <v>0.85</v>
      </c>
      <c r="M263" s="258">
        <v>0.95</v>
      </c>
      <c r="N263" s="263">
        <f t="shared" si="663"/>
        <v>2.681271852365597</v>
      </c>
      <c r="O263" s="263">
        <f t="shared" si="659"/>
        <v>0</v>
      </c>
      <c r="P263" s="264" t="str">
        <f t="shared" si="664"/>
        <v>0.00</v>
      </c>
      <c r="Q263" s="258">
        <v>50</v>
      </c>
      <c r="R263" s="258">
        <v>0</v>
      </c>
      <c r="S263" s="258">
        <f t="shared" si="665"/>
        <v>0</v>
      </c>
      <c r="T263" s="264" t="s">
        <v>131</v>
      </c>
      <c r="U263" s="258" t="s">
        <v>377</v>
      </c>
      <c r="V263" s="264">
        <v>4</v>
      </c>
      <c r="W263" s="264" t="str">
        <f t="shared" si="666"/>
        <v>4C X 4</v>
      </c>
      <c r="X263" s="264" t="str">
        <f t="shared" si="667"/>
        <v>4C X 4</v>
      </c>
      <c r="Y263" s="264" t="s">
        <v>314</v>
      </c>
      <c r="Z263" s="265">
        <f>IF(T263="AIR",VLOOKUP(W263,'Catalogue Aluminium'!$B$9:$G$91,2,FALSE),IF(T263="GROUND",VLOOKUP(W263,'Catalogue Aluminium'!$B$9:$G$91,3,FALSE),IF(T263="DUCT",VLOOKUP(W263,'Catalogue Aluminium'!$B$9:$G$91,4,FALSE),IF(T263="TRENCH",VLOOKUP(W263,'Catalogue Aluminium'!$B$9:$G$91,2,FALSE)))))</f>
        <v>38</v>
      </c>
      <c r="AA263" s="266">
        <f>VLOOKUP(W263,'Catalogue Aluminium'!$B$9:$G$91,5,FALSE)</f>
        <v>5.9</v>
      </c>
      <c r="AB263" s="266">
        <f>VLOOKUP(W263,'Catalogue Aluminium'!$B$9:$G$91,6,FALSE)</f>
        <v>9.4700000000000006E-2</v>
      </c>
      <c r="AC263" s="406">
        <f>28+7</f>
        <v>35</v>
      </c>
      <c r="AD263" s="264">
        <f t="shared" si="705"/>
        <v>255</v>
      </c>
      <c r="AE263" s="322">
        <f t="shared" si="669"/>
        <v>38</v>
      </c>
      <c r="AF263" s="264">
        <v>8</v>
      </c>
      <c r="AG263" s="264">
        <f t="shared" si="670"/>
        <v>34</v>
      </c>
      <c r="AH263" s="267"/>
      <c r="AI263" s="265">
        <f>IF(T263="AIR",'Catalogue Aluminium'!$K$9,IF(T263="TRENCH",'Catalogue Aluminium'!$K$12,"NA"))</f>
        <v>0.89</v>
      </c>
      <c r="AJ263" s="263">
        <f>IF(T263="Air",(IF(U263="1C",'Catalogue Aluminium'!$L$9,'Catalogue Aluminium'!$M$9)),IF(T263="DUCT",(IF($U263="1C",'Catalogue Aluminium'!$L$10,'Catalogue Aluminium'!$M$10)),IF(T263="GROUND",(IF($U263="1C",'Catalogue Aluminium'!$L$11,'Catalogue Aluminium'!$M$11)),IF(T263="TRENCH",(IF($U263="1C",'Catalogue Aluminium'!$L$12,'Catalogue Aluminium'!$M$12))))))</f>
        <v>0.66</v>
      </c>
      <c r="AK263" s="265" t="str">
        <f>IF(T263="Air",'Catalogue Aluminium'!$N$9,IF(T263="GROUND",'Catalogue Aluminium'!$N$10,IF(T263="DUCT",'Catalogue Aluminium'!$N$11,IF(T263="TRENCH",'Catalogue Aluminium'!$N$12,"NA"))))</f>
        <v>NA</v>
      </c>
      <c r="AL263" s="265" t="str">
        <f>IF(T263="Air",(IF(U263="1C",'Catalogue Aluminium'!$O$9,'Catalogue Aluminium'!$P$9)),IF(T263="DUCT",(IF($U263="1C",'Catalogue Aluminium'!$O$10,'Catalogue Aluminium'!$P$10)),IF(T263="GROUND",(IF($U263="1C",'Catalogue Aluminium'!$O$11,'Catalogue Aluminium'!$P$11)),IF(T263="TRENCH",(IF($U263="1C",'Catalogue Aluminium'!$O$12,'Catalogue Aluminium'!$P$12))))))</f>
        <v>NA</v>
      </c>
      <c r="AM263" s="265" t="str">
        <f>IF(T263="AIR","NA",IF(T263="TRENCH","NA",IF(T263="DUCT",IF(U263="1C",VLOOKUP(V263,'Catalogue Aluminium'!$Q$9:$S$28,2,FALSE),VLOOKUP(V263,'Catalogue Aluminium'!$Q$9:$S$28,3)),IF(T263="GROUND",IF(U263="1C",VLOOKUP(V263,'Catalogue Aluminium'!$Q$9:$S$28,2,FALSE),VLOOKUP(V263,'Catalogue Aluminium'!$Q$9:$S$28,3))))))</f>
        <v>NA</v>
      </c>
      <c r="AN263" s="268">
        <f t="shared" si="672"/>
        <v>0.58740000000000003</v>
      </c>
      <c r="AO263" s="258">
        <f t="shared" si="673"/>
        <v>22.321200000000001</v>
      </c>
      <c r="AP263" s="259">
        <f t="shared" si="655"/>
        <v>1</v>
      </c>
      <c r="AQ263" s="258" t="str">
        <f t="shared" si="674"/>
        <v>YES</v>
      </c>
      <c r="AR263" s="268">
        <f t="shared" si="675"/>
        <v>0</v>
      </c>
      <c r="AS263" s="349" t="str">
        <f t="shared" si="676"/>
        <v>YES</v>
      </c>
      <c r="AT263" s="350" t="str">
        <f t="shared" si="677"/>
        <v>NA</v>
      </c>
      <c r="AU263" s="264" t="str">
        <f t="shared" si="678"/>
        <v>NA</v>
      </c>
      <c r="AV263" s="269" t="str">
        <f t="shared" si="679"/>
        <v>1R x 0.6/1kV x 4C x 4 Sqmm</v>
      </c>
      <c r="AW263" s="269" t="str">
        <f t="shared" si="680"/>
        <v>1R x 0.6/1kV x 4C x 4 Sqmm</v>
      </c>
      <c r="AX263" s="264"/>
      <c r="AY263" s="270"/>
    </row>
    <row r="264" spans="1:51" s="75" customFormat="1" ht="20.149999999999999" hidden="1" customHeight="1">
      <c r="A264" s="262" t="s">
        <v>303</v>
      </c>
      <c r="B264" s="404" t="s">
        <v>382</v>
      </c>
      <c r="C264" s="262" t="str">
        <f t="shared" si="662"/>
        <v>EPMCC-1</v>
      </c>
      <c r="D264" s="290" t="s">
        <v>567</v>
      </c>
      <c r="E264" s="305" t="s">
        <v>310</v>
      </c>
      <c r="F264" s="262" t="s">
        <v>29</v>
      </c>
      <c r="G264" s="262" t="s">
        <v>298</v>
      </c>
      <c r="H264" s="258">
        <v>40</v>
      </c>
      <c r="I264" s="262" t="s">
        <v>299</v>
      </c>
      <c r="J264" s="262" t="s">
        <v>300</v>
      </c>
      <c r="K264" s="259">
        <v>400</v>
      </c>
      <c r="L264" s="264">
        <v>0.85</v>
      </c>
      <c r="M264" s="258">
        <v>0.95</v>
      </c>
      <c r="N264" s="263">
        <f t="shared" si="663"/>
        <v>71.500582729749254</v>
      </c>
      <c r="O264" s="263">
        <f t="shared" si="659"/>
        <v>0</v>
      </c>
      <c r="P264" s="264" t="str">
        <f t="shared" si="664"/>
        <v>0.00</v>
      </c>
      <c r="Q264" s="258">
        <v>50</v>
      </c>
      <c r="R264" s="258">
        <v>0</v>
      </c>
      <c r="S264" s="258">
        <f t="shared" si="665"/>
        <v>0</v>
      </c>
      <c r="T264" s="264" t="s">
        <v>131</v>
      </c>
      <c r="U264" s="258" t="s">
        <v>390</v>
      </c>
      <c r="V264" s="264">
        <v>240</v>
      </c>
      <c r="W264" s="264" t="str">
        <f t="shared" si="666"/>
        <v>3.5C X 240</v>
      </c>
      <c r="X264" s="264" t="str">
        <f t="shared" si="667"/>
        <v>3.5C X 240</v>
      </c>
      <c r="Y264" s="264" t="s">
        <v>314</v>
      </c>
      <c r="Z264" s="265">
        <f>IF(T264="AIR",VLOOKUP(W264,'Catalogue Aluminium'!$B$9:$G$91,2,FALSE),IF(T264="GROUND",VLOOKUP(W264,'Catalogue Aluminium'!$B$9:$G$91,3,FALSE),IF(T264="DUCT",VLOOKUP(W264,'Catalogue Aluminium'!$B$9:$G$91,4,FALSE),IF(T264="TRENCH",VLOOKUP(W264,'Catalogue Aluminium'!$B$9:$G$91,2,FALSE)))))</f>
        <v>401</v>
      </c>
      <c r="AA264" s="266">
        <f>VLOOKUP(W264,'Catalogue Aluminium'!$B$9:$G$91,5,FALSE)</f>
        <v>0.16</v>
      </c>
      <c r="AB264" s="266">
        <f>VLOOKUP(W264,'Catalogue Aluminium'!$B$9:$G$91,6,FALSE)</f>
        <v>7.1900000000000006E-2</v>
      </c>
      <c r="AC264" s="406">
        <f>22+7</f>
        <v>29</v>
      </c>
      <c r="AD264" s="264">
        <f t="shared" si="705"/>
        <v>255</v>
      </c>
      <c r="AE264" s="264">
        <f t="shared" si="669"/>
        <v>38</v>
      </c>
      <c r="AF264" s="264">
        <v>8</v>
      </c>
      <c r="AG264" s="264">
        <f t="shared" si="670"/>
        <v>33</v>
      </c>
      <c r="AH264" s="267"/>
      <c r="AI264" s="265">
        <f>IF(T264="AIR",'Catalogue Aluminium'!$K$9,IF(T264="TRENCH",'Catalogue Aluminium'!$K$12,"NA"))</f>
        <v>0.89</v>
      </c>
      <c r="AJ264" s="263">
        <f>IF(T264="Air",(IF(U264="1C",'Catalogue Aluminium'!$L$9,'Catalogue Aluminium'!$M$9)),IF(T264="DUCT",(IF($U264="1C",'Catalogue Aluminium'!$L$10,'Catalogue Aluminium'!$M$10)),IF(T264="GROUND",(IF($U264="1C",'Catalogue Aluminium'!$L$11,'Catalogue Aluminium'!$M$11)),IF(T264="TRENCH",(IF($U264="1C",'Catalogue Aluminium'!$L$12,'Catalogue Aluminium'!$M$12))))))</f>
        <v>0.66</v>
      </c>
      <c r="AK264" s="265" t="str">
        <f>IF(T264="Air",'Catalogue Aluminium'!$N$9,IF(T264="GROUND",'Catalogue Aluminium'!$N$10,IF(T264="DUCT",'Catalogue Aluminium'!$N$11,IF(T264="TRENCH",'Catalogue Aluminium'!$N$12,"NA"))))</f>
        <v>NA</v>
      </c>
      <c r="AL264" s="265" t="str">
        <f>IF(T264="Air",(IF(U264="1C",'Catalogue Aluminium'!$O$9,'Catalogue Aluminium'!$P$9)),IF(T264="DUCT",(IF($U264="1C",'Catalogue Aluminium'!$O$10,'Catalogue Aluminium'!$P$10)),IF(T264="GROUND",(IF($U264="1C",'Catalogue Aluminium'!$O$11,'Catalogue Aluminium'!$P$11)),IF(T264="TRENCH",(IF($U264="1C",'Catalogue Aluminium'!$O$12,'Catalogue Aluminium'!$P$12))))))</f>
        <v>NA</v>
      </c>
      <c r="AM264" s="265" t="str">
        <f>IF(T264="AIR","NA",IF(T264="TRENCH","NA",IF(T264="DUCT",IF(U264="1C",VLOOKUP(V264,'Catalogue Aluminium'!$Q$9:$S$28,2,FALSE),VLOOKUP(V264,'Catalogue Aluminium'!$Q$9:$S$28,3)),IF(T264="GROUND",IF(U264="1C",VLOOKUP(V264,'Catalogue Aluminium'!$Q$9:$S$28,2,FALSE),VLOOKUP(V264,'Catalogue Aluminium'!$Q$9:$S$28,3))))))</f>
        <v>NA</v>
      </c>
      <c r="AN264" s="268">
        <f t="shared" si="672"/>
        <v>0.58740000000000003</v>
      </c>
      <c r="AO264" s="258">
        <f t="shared" si="673"/>
        <v>235.54740000000001</v>
      </c>
      <c r="AP264" s="259">
        <f t="shared" si="655"/>
        <v>1</v>
      </c>
      <c r="AQ264" s="258" t="str">
        <f t="shared" si="674"/>
        <v>YES</v>
      </c>
      <c r="AR264" s="268">
        <f t="shared" si="675"/>
        <v>0</v>
      </c>
      <c r="AS264" s="349" t="str">
        <f t="shared" si="676"/>
        <v>YES</v>
      </c>
      <c r="AT264" s="350" t="str">
        <f t="shared" si="677"/>
        <v>NA</v>
      </c>
      <c r="AU264" s="264" t="str">
        <f t="shared" si="678"/>
        <v>NA</v>
      </c>
      <c r="AV264" s="269" t="str">
        <f t="shared" si="679"/>
        <v>1R x 0.6/1kV x 3.5C x 240 Sqmm</v>
      </c>
      <c r="AW264" s="269" t="str">
        <f t="shared" si="680"/>
        <v>1R x 0.6/1kV x 3.5C x 240 Sqmm</v>
      </c>
      <c r="AX264" s="264"/>
      <c r="AY264" s="270"/>
    </row>
    <row r="265" spans="1:51" ht="20.149999999999999" customHeight="1">
      <c r="A265" s="285">
        <f>1+A261</f>
        <v>168</v>
      </c>
      <c r="B265" s="599" t="s">
        <v>1057</v>
      </c>
      <c r="C265" s="285" t="s">
        <v>491</v>
      </c>
      <c r="D265" s="244" t="s">
        <v>547</v>
      </c>
      <c r="E265" s="321" t="s">
        <v>310</v>
      </c>
      <c r="F265" s="285" t="s">
        <v>28</v>
      </c>
      <c r="G265" s="285" t="s">
        <v>298</v>
      </c>
      <c r="H265" s="421">
        <v>11</v>
      </c>
      <c r="I265" s="285" t="s">
        <v>299</v>
      </c>
      <c r="J265" s="285" t="s">
        <v>300</v>
      </c>
      <c r="K265" s="309">
        <v>400</v>
      </c>
      <c r="L265" s="294">
        <v>0.85</v>
      </c>
      <c r="M265" s="304">
        <v>0.95</v>
      </c>
      <c r="N265" s="287">
        <f t="shared" si="663"/>
        <v>19.662660250681046</v>
      </c>
      <c r="O265" s="287">
        <f t="shared" si="659"/>
        <v>0</v>
      </c>
      <c r="P265" s="294" t="str">
        <f t="shared" si="664"/>
        <v>0.00</v>
      </c>
      <c r="Q265" s="304">
        <v>65</v>
      </c>
      <c r="R265" s="304">
        <v>0</v>
      </c>
      <c r="S265" s="304">
        <f t="shared" si="665"/>
        <v>0</v>
      </c>
      <c r="T265" s="294" t="s">
        <v>131</v>
      </c>
      <c r="U265" s="304" t="s">
        <v>390</v>
      </c>
      <c r="V265" s="294">
        <v>50</v>
      </c>
      <c r="W265" s="294" t="str">
        <f t="shared" si="666"/>
        <v>3.5C X 50</v>
      </c>
      <c r="X265" s="294" t="str">
        <f t="shared" si="667"/>
        <v>3.5C X 50</v>
      </c>
      <c r="Y265" s="294" t="s">
        <v>314</v>
      </c>
      <c r="Z265" s="288">
        <f>IF(T265="AIR",VLOOKUP(W265,'Catalogue Aluminium'!$B$9:$G$91,2,FALSE),IF(T265="GROUND",VLOOKUP(W265,'Catalogue Aluminium'!$B$9:$G$91,3,FALSE),IF(T265="DUCT",VLOOKUP(W265,'Catalogue Aluminium'!$B$9:$G$91,4,FALSE),IF(T265="TRENCH",VLOOKUP(W265,'Catalogue Aluminium'!$B$9:$G$91,2,FALSE)))))</f>
        <v>141</v>
      </c>
      <c r="AA265" s="295">
        <f>VLOOKUP(W265,'Catalogue Aluminium'!$B$9:$G$91,5,FALSE)</f>
        <v>0.82</v>
      </c>
      <c r="AB265" s="295">
        <f>VLOOKUP(W265,'Catalogue Aluminium'!$B$9:$G$91,6,FALSE)</f>
        <v>7.9200000000000007E-2</v>
      </c>
      <c r="AC265" s="323">
        <f t="shared" ref="AC265:AC274" si="707">32+6</f>
        <v>38</v>
      </c>
      <c r="AD265" s="294">
        <f>40+50+38+50+17+(27+41)</f>
        <v>263</v>
      </c>
      <c r="AE265" s="294">
        <f t="shared" si="669"/>
        <v>38</v>
      </c>
      <c r="AF265" s="294">
        <v>8</v>
      </c>
      <c r="AG265" s="294">
        <f t="shared" si="670"/>
        <v>35</v>
      </c>
      <c r="AH265" s="311">
        <f t="shared" si="671"/>
        <v>382</v>
      </c>
      <c r="AI265" s="288">
        <f>IF(T265="AIR",'Catalogue Aluminium'!$K$9,IF(T265="TRENCH",'Catalogue Aluminium'!$K$12,"NA"))</f>
        <v>0.89</v>
      </c>
      <c r="AJ265" s="287">
        <f>IF(T265="Air",(IF(U265="1C",'Catalogue Aluminium'!$L$9,'Catalogue Aluminium'!$M$9)),IF(T265="DUCT",(IF($U265="1C",'Catalogue Aluminium'!$L$10,'Catalogue Aluminium'!$M$10)),IF(T265="GROUND",(IF($U265="1C",'Catalogue Aluminium'!$L$11,'Catalogue Aluminium'!$M$11)),IF(T265="TRENCH",(IF($U265="1C",'Catalogue Aluminium'!$L$12,'Catalogue Aluminium'!$M$12))))))</f>
        <v>0.66</v>
      </c>
      <c r="AK265" s="288" t="str">
        <f>IF(T265="Air",'Catalogue Aluminium'!$N$9,IF(T265="GROUND",'Catalogue Aluminium'!$N$10,IF(T265="DUCT",'Catalogue Aluminium'!$N$11,IF(T265="TRENCH",'Catalogue Aluminium'!$N$12,"NA"))))</f>
        <v>NA</v>
      </c>
      <c r="AL265" s="288" t="str">
        <f>IF(T265="Air",(IF(U265="1C",'Catalogue Aluminium'!$O$9,'Catalogue Aluminium'!$P$9)),IF(T265="DUCT",(IF($U265="1C",'Catalogue Aluminium'!$O$10,'Catalogue Aluminium'!$P$10)),IF(T265="GROUND",(IF($U265="1C",'Catalogue Aluminium'!$O$11,'Catalogue Aluminium'!$P$11)),IF(T265="TRENCH",(IF($U265="1C",'Catalogue Aluminium'!$O$12,'Catalogue Aluminium'!$P$12))))))</f>
        <v>NA</v>
      </c>
      <c r="AM265" s="288" t="str">
        <f>IF(T265="AIR","NA",IF(T265="TRENCH","NA",IF(T265="DUCT",IF(U265="1C",VLOOKUP(V265,'Catalogue Aluminium'!$Q$9:$S$28,2,FALSE),VLOOKUP(V265,'Catalogue Aluminium'!$Q$9:$S$28,3)),IF(T265="GROUND",IF(U265="1C",VLOOKUP(V265,'Catalogue Aluminium'!$Q$9:$S$28,2,FALSE),VLOOKUP(V265,'Catalogue Aluminium'!$Q$9:$S$28,3))))))</f>
        <v>NA</v>
      </c>
      <c r="AN265" s="312">
        <f t="shared" si="672"/>
        <v>0.58740000000000003</v>
      </c>
      <c r="AO265" s="304">
        <f t="shared" si="673"/>
        <v>82.823400000000007</v>
      </c>
      <c r="AP265" s="309">
        <f t="shared" si="655"/>
        <v>1</v>
      </c>
      <c r="AQ265" s="304" t="str">
        <f t="shared" si="674"/>
        <v>YES</v>
      </c>
      <c r="AR265" s="312">
        <f t="shared" si="675"/>
        <v>2.4026296388471438</v>
      </c>
      <c r="AS265" s="294" t="str">
        <f t="shared" si="676"/>
        <v>YES</v>
      </c>
      <c r="AT265" s="312" t="str">
        <f t="shared" si="677"/>
        <v>NA</v>
      </c>
      <c r="AU265" s="294" t="str">
        <f t="shared" si="678"/>
        <v>NA</v>
      </c>
      <c r="AV265" s="353" t="str">
        <f t="shared" si="679"/>
        <v>1R x 0.6/1kV x 3.5C x 50 Sqmm</v>
      </c>
      <c r="AW265" s="353" t="str">
        <f t="shared" si="680"/>
        <v>1R x 0.6/1kV x 3.5C x 50 Sqmm</v>
      </c>
      <c r="AX265" s="294">
        <f t="shared" ref="AX265:AX274" si="708">(IF(K265=400,(IF(U265="1C",(4*AH265*AP265),(AH265*AP265))),IF(K265=230,(AH265*AP265))))</f>
        <v>382</v>
      </c>
      <c r="AY265" s="354"/>
    </row>
    <row r="266" spans="1:51" ht="20.149999999999999" customHeight="1">
      <c r="A266" s="285">
        <f t="shared" ref="A266:A274" si="709">1+A265</f>
        <v>169</v>
      </c>
      <c r="B266" s="355" t="s">
        <v>382</v>
      </c>
      <c r="C266" s="285" t="s">
        <v>491</v>
      </c>
      <c r="D266" s="244" t="s">
        <v>568</v>
      </c>
      <c r="E266" s="352" t="s">
        <v>410</v>
      </c>
      <c r="F266" s="369" t="s">
        <v>28</v>
      </c>
      <c r="G266" s="285" t="s">
        <v>298</v>
      </c>
      <c r="H266" s="421">
        <v>1.45</v>
      </c>
      <c r="I266" s="285" t="s">
        <v>299</v>
      </c>
      <c r="J266" s="285" t="s">
        <v>313</v>
      </c>
      <c r="K266" s="309">
        <v>230</v>
      </c>
      <c r="L266" s="294">
        <v>0.85</v>
      </c>
      <c r="M266" s="304">
        <v>0.95</v>
      </c>
      <c r="N266" s="287">
        <f t="shared" si="663"/>
        <v>7.8072418898909683</v>
      </c>
      <c r="O266" s="287">
        <f t="shared" si="659"/>
        <v>0</v>
      </c>
      <c r="P266" s="294" t="str">
        <f t="shared" si="664"/>
        <v>0.00</v>
      </c>
      <c r="Q266" s="304">
        <v>65</v>
      </c>
      <c r="R266" s="304">
        <v>0</v>
      </c>
      <c r="S266" s="304">
        <f t="shared" si="665"/>
        <v>0</v>
      </c>
      <c r="T266" s="294" t="s">
        <v>131</v>
      </c>
      <c r="U266" s="304" t="s">
        <v>302</v>
      </c>
      <c r="V266" s="294">
        <v>16</v>
      </c>
      <c r="W266" s="294" t="str">
        <f t="shared" si="666"/>
        <v>3C X 16</v>
      </c>
      <c r="X266" s="294" t="str">
        <f t="shared" si="667"/>
        <v>3C X 16</v>
      </c>
      <c r="Y266" s="294" t="s">
        <v>314</v>
      </c>
      <c r="Z266" s="288">
        <f>IF(T266="AIR",VLOOKUP(W266,'Catalogue Aluminium'!$B$9:$G$91,2,FALSE),IF(T266="GROUND",VLOOKUP(W266,'Catalogue Aluminium'!$B$9:$G$91,3,FALSE),IF(T266="DUCT",VLOOKUP(W266,'Catalogue Aluminium'!$B$9:$G$91,4,FALSE),IF(T266="TRENCH",VLOOKUP(W266,'Catalogue Aluminium'!$B$9:$G$91,2,FALSE)))))</f>
        <v>70</v>
      </c>
      <c r="AA266" s="295">
        <f>VLOOKUP(W266,'Catalogue Aluminium'!$B$9:$G$91,5,FALSE)</f>
        <v>2.44</v>
      </c>
      <c r="AB266" s="295">
        <f>VLOOKUP(W266,'Catalogue Aluminium'!$B$9:$G$91,6,FALSE)</f>
        <v>8.1500000000000003E-2</v>
      </c>
      <c r="AC266" s="323">
        <f t="shared" si="707"/>
        <v>38</v>
      </c>
      <c r="AD266" s="294">
        <v>80</v>
      </c>
      <c r="AE266" s="294">
        <v>5</v>
      </c>
      <c r="AF266" s="294">
        <v>8</v>
      </c>
      <c r="AG266" s="294">
        <f t="shared" si="670"/>
        <v>14</v>
      </c>
      <c r="AH266" s="311">
        <f t="shared" si="671"/>
        <v>145</v>
      </c>
      <c r="AI266" s="288">
        <f>IF(T266="AIR",'Catalogue Aluminium'!$K$9,IF(T266="TRENCH",'Catalogue Aluminium'!$K$12,"NA"))</f>
        <v>0.89</v>
      </c>
      <c r="AJ266" s="287">
        <f>IF(T266="Air",(IF(U266="1C",'Catalogue Aluminium'!$L$9,'Catalogue Aluminium'!$M$9)),IF(T266="DUCT",(IF($U266="1C",'Catalogue Aluminium'!$L$10,'Catalogue Aluminium'!$M$10)),IF(T266="GROUND",(IF($U266="1C",'Catalogue Aluminium'!$L$11,'Catalogue Aluminium'!$M$11)),IF(T266="TRENCH",(IF($U266="1C",'Catalogue Aluminium'!$L$12,'Catalogue Aluminium'!$M$12))))))</f>
        <v>0.66</v>
      </c>
      <c r="AK266" s="288" t="str">
        <f>IF(T266="Air",'Catalogue Aluminium'!$N$9,IF(T266="GROUND",'Catalogue Aluminium'!$N$10,IF(T266="DUCT",'Catalogue Aluminium'!$N$11,IF(T266="TRENCH",'Catalogue Aluminium'!$N$12,"NA"))))</f>
        <v>NA</v>
      </c>
      <c r="AL266" s="288" t="str">
        <f>IF(T266="Air",(IF(U266="1C",'Catalogue Aluminium'!$O$9,'Catalogue Aluminium'!$P$9)),IF(T266="DUCT",(IF($U266="1C",'Catalogue Aluminium'!$O$10,'Catalogue Aluminium'!$P$10)),IF(T266="GROUND",(IF($U266="1C",'Catalogue Aluminium'!$O$11,'Catalogue Aluminium'!$P$11)),IF(T266="TRENCH",(IF($U266="1C",'Catalogue Aluminium'!$O$12,'Catalogue Aluminium'!$P$12))))))</f>
        <v>NA</v>
      </c>
      <c r="AM266" s="288" t="str">
        <f>IF(T266="AIR","NA",IF(T266="TRENCH","NA",IF(T266="DUCT",IF(U266="1C",VLOOKUP(V266,'Catalogue Aluminium'!$Q$9:$S$28,2,FALSE),VLOOKUP(V266,'Catalogue Aluminium'!$Q$9:$S$28,3)),IF(T266="GROUND",IF(U266="1C",VLOOKUP(V266,'Catalogue Aluminium'!$Q$9:$S$28,2,FALSE),VLOOKUP(V266,'Catalogue Aluminium'!$Q$9:$S$28,3))))))</f>
        <v>NA</v>
      </c>
      <c r="AN266" s="312">
        <f t="shared" si="672"/>
        <v>0.58740000000000003</v>
      </c>
      <c r="AO266" s="304">
        <f t="shared" si="673"/>
        <v>41.118000000000002</v>
      </c>
      <c r="AP266" s="309">
        <f t="shared" si="655"/>
        <v>1</v>
      </c>
      <c r="AQ266" s="304" t="str">
        <f t="shared" si="674"/>
        <v>YES</v>
      </c>
      <c r="AR266" s="312">
        <f t="shared" si="675"/>
        <v>1.8047019954026575</v>
      </c>
      <c r="AS266" s="294" t="str">
        <f t="shared" si="676"/>
        <v>YES</v>
      </c>
      <c r="AT266" s="312" t="str">
        <f t="shared" si="677"/>
        <v>NA</v>
      </c>
      <c r="AU266" s="294" t="str">
        <f t="shared" si="678"/>
        <v>NA</v>
      </c>
      <c r="AV266" s="353" t="str">
        <f t="shared" si="679"/>
        <v>1R x 0.6/1kV x 3C x 16 Sqmm</v>
      </c>
      <c r="AW266" s="353" t="str">
        <f t="shared" si="680"/>
        <v>1R x 0.6/1kV x 3C x 16 Sqmm</v>
      </c>
      <c r="AX266" s="294">
        <f t="shared" si="708"/>
        <v>145</v>
      </c>
      <c r="AY266" s="354"/>
    </row>
    <row r="267" spans="1:51" ht="25.5" customHeight="1">
      <c r="A267" s="285">
        <f t="shared" si="709"/>
        <v>170</v>
      </c>
      <c r="B267" s="355" t="s">
        <v>382</v>
      </c>
      <c r="C267" s="285" t="s">
        <v>491</v>
      </c>
      <c r="D267" s="546" t="s">
        <v>1058</v>
      </c>
      <c r="E267" s="352" t="s">
        <v>410</v>
      </c>
      <c r="F267" s="369" t="s">
        <v>28</v>
      </c>
      <c r="G267" s="285" t="s">
        <v>298</v>
      </c>
      <c r="H267" s="421">
        <v>1.8</v>
      </c>
      <c r="I267" s="285" t="s">
        <v>299</v>
      </c>
      <c r="J267" s="285" t="s">
        <v>313</v>
      </c>
      <c r="K267" s="309">
        <v>230</v>
      </c>
      <c r="L267" s="294">
        <v>0.85</v>
      </c>
      <c r="M267" s="304">
        <v>0.95</v>
      </c>
      <c r="N267" s="287">
        <f t="shared" si="663"/>
        <v>9.6917485529680985</v>
      </c>
      <c r="O267" s="287">
        <f t="shared" si="659"/>
        <v>0</v>
      </c>
      <c r="P267" s="294" t="str">
        <f t="shared" si="664"/>
        <v>0.00</v>
      </c>
      <c r="Q267" s="304">
        <v>65</v>
      </c>
      <c r="R267" s="304">
        <v>0</v>
      </c>
      <c r="S267" s="304">
        <f t="shared" si="665"/>
        <v>0</v>
      </c>
      <c r="T267" s="294" t="s">
        <v>131</v>
      </c>
      <c r="U267" s="304" t="s">
        <v>302</v>
      </c>
      <c r="V267" s="294">
        <v>16</v>
      </c>
      <c r="W267" s="294" t="str">
        <f t="shared" si="666"/>
        <v>3C X 16</v>
      </c>
      <c r="X267" s="294" t="str">
        <f t="shared" si="667"/>
        <v>3C X 16</v>
      </c>
      <c r="Y267" s="294" t="s">
        <v>314</v>
      </c>
      <c r="Z267" s="288">
        <f>IF(T267="AIR",VLOOKUP(W267,'Catalogue Aluminium'!$B$9:$G$91,2,FALSE),IF(T267="GROUND",VLOOKUP(W267,'Catalogue Aluminium'!$B$9:$G$91,3,FALSE),IF(T267="DUCT",VLOOKUP(W267,'Catalogue Aluminium'!$B$9:$G$91,4,FALSE),IF(T267="TRENCH",VLOOKUP(W267,'Catalogue Aluminium'!$B$9:$G$91,2,FALSE)))))</f>
        <v>70</v>
      </c>
      <c r="AA267" s="295">
        <f>VLOOKUP(W267,'Catalogue Aluminium'!$B$9:$G$91,5,FALSE)</f>
        <v>2.44</v>
      </c>
      <c r="AB267" s="295">
        <f>VLOOKUP(W267,'Catalogue Aluminium'!$B$9:$G$91,6,FALSE)</f>
        <v>8.1500000000000003E-2</v>
      </c>
      <c r="AC267" s="323">
        <f t="shared" si="707"/>
        <v>38</v>
      </c>
      <c r="AD267" s="294">
        <v>80</v>
      </c>
      <c r="AE267" s="294">
        <v>5</v>
      </c>
      <c r="AF267" s="294">
        <v>8</v>
      </c>
      <c r="AG267" s="294">
        <f t="shared" si="670"/>
        <v>14</v>
      </c>
      <c r="AH267" s="311">
        <f t="shared" si="671"/>
        <v>145</v>
      </c>
      <c r="AI267" s="288">
        <f>IF(T267="AIR",'Catalogue Aluminium'!$K$9,IF(T267="TRENCH",'Catalogue Aluminium'!$K$12,"NA"))</f>
        <v>0.89</v>
      </c>
      <c r="AJ267" s="287">
        <f>IF(T267="Air",(IF(U267="1C",'Catalogue Aluminium'!$L$9,'Catalogue Aluminium'!$M$9)),IF(T267="DUCT",(IF($U267="1C",'Catalogue Aluminium'!$L$10,'Catalogue Aluminium'!$M$10)),IF(T267="GROUND",(IF($U267="1C",'Catalogue Aluminium'!$L$11,'Catalogue Aluminium'!$M$11)),IF(T267="TRENCH",(IF($U267="1C",'Catalogue Aluminium'!$L$12,'Catalogue Aluminium'!$M$12))))))</f>
        <v>0.66</v>
      </c>
      <c r="AK267" s="288" t="str">
        <f>IF(T267="Air",'Catalogue Aluminium'!$N$9,IF(T267="GROUND",'Catalogue Aluminium'!$N$10,IF(T267="DUCT",'Catalogue Aluminium'!$N$11,IF(T267="TRENCH",'Catalogue Aluminium'!$N$12,"NA"))))</f>
        <v>NA</v>
      </c>
      <c r="AL267" s="288" t="str">
        <f>IF(T267="Air",(IF(U267="1C",'Catalogue Aluminium'!$O$9,'Catalogue Aluminium'!$P$9)),IF(T267="DUCT",(IF($U267="1C",'Catalogue Aluminium'!$O$10,'Catalogue Aluminium'!$P$10)),IF(T267="GROUND",(IF($U267="1C",'Catalogue Aluminium'!$O$11,'Catalogue Aluminium'!$P$11)),IF(T267="TRENCH",(IF($U267="1C",'Catalogue Aluminium'!$O$12,'Catalogue Aluminium'!$P$12))))))</f>
        <v>NA</v>
      </c>
      <c r="AM267" s="288" t="str">
        <f>IF(T267="AIR","NA",IF(T267="TRENCH","NA",IF(T267="DUCT",IF(U267="1C",VLOOKUP(V267,'Catalogue Aluminium'!$Q$9:$S$28,2,FALSE),VLOOKUP(V267,'Catalogue Aluminium'!$Q$9:$S$28,3)),IF(T267="GROUND",IF(U267="1C",VLOOKUP(V267,'Catalogue Aluminium'!$Q$9:$S$28,2,FALSE),VLOOKUP(V267,'Catalogue Aluminium'!$Q$9:$S$28,3))))))</f>
        <v>NA</v>
      </c>
      <c r="AN267" s="312">
        <f t="shared" si="672"/>
        <v>0.58740000000000003</v>
      </c>
      <c r="AO267" s="304">
        <f t="shared" si="673"/>
        <v>41.118000000000002</v>
      </c>
      <c r="AP267" s="309">
        <f t="shared" si="655"/>
        <v>1</v>
      </c>
      <c r="AQ267" s="304" t="str">
        <f t="shared" si="674"/>
        <v>YES</v>
      </c>
      <c r="AR267" s="312">
        <f t="shared" si="675"/>
        <v>2.2403197184308845</v>
      </c>
      <c r="AS267" s="294" t="str">
        <f t="shared" si="676"/>
        <v>YES</v>
      </c>
      <c r="AT267" s="312" t="str">
        <f t="shared" si="677"/>
        <v>NA</v>
      </c>
      <c r="AU267" s="294" t="str">
        <f t="shared" si="678"/>
        <v>NA</v>
      </c>
      <c r="AV267" s="353" t="str">
        <f t="shared" si="679"/>
        <v>1R x 0.6/1kV x 3C x 16 Sqmm</v>
      </c>
      <c r="AW267" s="353" t="str">
        <f t="shared" si="680"/>
        <v>1R x 0.6/1kV x 3C x 16 Sqmm</v>
      </c>
      <c r="AX267" s="294">
        <f t="shared" si="708"/>
        <v>145</v>
      </c>
      <c r="AY267" s="354"/>
    </row>
    <row r="268" spans="1:51" ht="20.149999999999999" customHeight="1">
      <c r="A268" s="285">
        <f t="shared" si="709"/>
        <v>171</v>
      </c>
      <c r="B268" s="355" t="s">
        <v>382</v>
      </c>
      <c r="C268" s="285" t="s">
        <v>491</v>
      </c>
      <c r="D268" s="244" t="s">
        <v>549</v>
      </c>
      <c r="E268" s="352" t="s">
        <v>410</v>
      </c>
      <c r="F268" s="369" t="s">
        <v>28</v>
      </c>
      <c r="G268" s="285" t="s">
        <v>298</v>
      </c>
      <c r="H268" s="421">
        <v>0.18</v>
      </c>
      <c r="I268" s="285" t="s">
        <v>299</v>
      </c>
      <c r="J268" s="285" t="s">
        <v>313</v>
      </c>
      <c r="K268" s="309">
        <v>230</v>
      </c>
      <c r="L268" s="294">
        <v>0.85</v>
      </c>
      <c r="M268" s="304">
        <v>0.95</v>
      </c>
      <c r="N268" s="287">
        <f t="shared" si="663"/>
        <v>0.9691748552968098</v>
      </c>
      <c r="O268" s="287">
        <f t="shared" si="659"/>
        <v>0</v>
      </c>
      <c r="P268" s="294" t="str">
        <f t="shared" si="664"/>
        <v>0.00</v>
      </c>
      <c r="Q268" s="304">
        <v>65</v>
      </c>
      <c r="R268" s="304">
        <v>0</v>
      </c>
      <c r="S268" s="304">
        <f t="shared" si="665"/>
        <v>0</v>
      </c>
      <c r="T268" s="294" t="s">
        <v>131</v>
      </c>
      <c r="U268" s="304" t="s">
        <v>302</v>
      </c>
      <c r="V268" s="294">
        <v>4</v>
      </c>
      <c r="W268" s="294" t="str">
        <f t="shared" si="666"/>
        <v>3C X 4</v>
      </c>
      <c r="X268" s="294" t="str">
        <f t="shared" si="667"/>
        <v>3C X 4</v>
      </c>
      <c r="Y268" s="294" t="s">
        <v>314</v>
      </c>
      <c r="Z268" s="288">
        <f>IF(T268="AIR",VLOOKUP(W268,'Catalogue Aluminium'!$B$9:$G$91,2,FALSE),IF(T268="GROUND",VLOOKUP(W268,'Catalogue Aluminium'!$B$9:$G$91,3,FALSE),IF(T268="DUCT",VLOOKUP(W268,'Catalogue Aluminium'!$B$9:$G$91,4,FALSE),IF(T268="TRENCH",VLOOKUP(W268,'Catalogue Aluminium'!$B$9:$G$91,2,FALSE)))))</f>
        <v>38</v>
      </c>
      <c r="AA268" s="295">
        <f>VLOOKUP(W268,'Catalogue Aluminium'!$B$9:$G$91,5,FALSE)</f>
        <v>5.9</v>
      </c>
      <c r="AB268" s="295">
        <f>VLOOKUP(W268,'Catalogue Aluminium'!$B$9:$G$91,6,FALSE)</f>
        <v>9.4700000000000006E-2</v>
      </c>
      <c r="AC268" s="323">
        <f t="shared" si="707"/>
        <v>38</v>
      </c>
      <c r="AD268" s="294">
        <v>80</v>
      </c>
      <c r="AE268" s="294">
        <v>5</v>
      </c>
      <c r="AF268" s="294">
        <v>8</v>
      </c>
      <c r="AG268" s="294">
        <f t="shared" si="670"/>
        <v>14</v>
      </c>
      <c r="AH268" s="311">
        <f t="shared" si="671"/>
        <v>145</v>
      </c>
      <c r="AI268" s="288">
        <f>IF(T268="AIR",'Catalogue Aluminium'!$K$9,IF(T268="TRENCH",'Catalogue Aluminium'!$K$12,"NA"))</f>
        <v>0.89</v>
      </c>
      <c r="AJ268" s="287">
        <f>IF(T268="Air",(IF(U268="1C",'Catalogue Aluminium'!$L$9,'Catalogue Aluminium'!$M$9)),IF(T268="DUCT",(IF($U268="1C",'Catalogue Aluminium'!$L$10,'Catalogue Aluminium'!$M$10)),IF(T268="GROUND",(IF($U268="1C",'Catalogue Aluminium'!$L$11,'Catalogue Aluminium'!$M$11)),IF(T268="TRENCH",(IF($U268="1C",'Catalogue Aluminium'!$L$12,'Catalogue Aluminium'!$M$12))))))</f>
        <v>0.66</v>
      </c>
      <c r="AK268" s="288" t="str">
        <f>IF(T268="Air",'Catalogue Aluminium'!$N$9,IF(T268="GROUND",'Catalogue Aluminium'!$N$10,IF(T268="DUCT",'Catalogue Aluminium'!$N$11,IF(T268="TRENCH",'Catalogue Aluminium'!$N$12,"NA"))))</f>
        <v>NA</v>
      </c>
      <c r="AL268" s="288" t="str">
        <f>IF(T268="Air",(IF(U268="1C",'Catalogue Aluminium'!$O$9,'Catalogue Aluminium'!$P$9)),IF(T268="DUCT",(IF($U268="1C",'Catalogue Aluminium'!$O$10,'Catalogue Aluminium'!$P$10)),IF(T268="GROUND",(IF($U268="1C",'Catalogue Aluminium'!$O$11,'Catalogue Aluminium'!$P$11)),IF(T268="TRENCH",(IF($U268="1C",'Catalogue Aluminium'!$O$12,'Catalogue Aluminium'!$P$12))))))</f>
        <v>NA</v>
      </c>
      <c r="AM268" s="288" t="str">
        <f>IF(T268="AIR","NA",IF(T268="TRENCH","NA",IF(T268="DUCT",IF(U268="1C",VLOOKUP(V268,'Catalogue Aluminium'!$Q$9:$S$28,2,FALSE),VLOOKUP(V268,'Catalogue Aluminium'!$Q$9:$S$28,3)),IF(T268="GROUND",IF(U268="1C",VLOOKUP(V268,'Catalogue Aluminium'!$Q$9:$S$28,2,FALSE),VLOOKUP(V268,'Catalogue Aluminium'!$Q$9:$S$28,3))))))</f>
        <v>NA</v>
      </c>
      <c r="AN268" s="312">
        <f t="shared" si="672"/>
        <v>0.58740000000000003</v>
      </c>
      <c r="AO268" s="304">
        <f t="shared" si="673"/>
        <v>22.321200000000001</v>
      </c>
      <c r="AP268" s="309">
        <f t="shared" si="655"/>
        <v>1</v>
      </c>
      <c r="AQ268" s="304" t="str">
        <f t="shared" si="674"/>
        <v>YES</v>
      </c>
      <c r="AR268" s="312">
        <f t="shared" si="675"/>
        <v>0.53600968128050719</v>
      </c>
      <c r="AS268" s="294" t="str">
        <f t="shared" si="676"/>
        <v>YES</v>
      </c>
      <c r="AT268" s="312" t="str">
        <f t="shared" si="677"/>
        <v>NA</v>
      </c>
      <c r="AU268" s="294" t="str">
        <f t="shared" si="678"/>
        <v>NA</v>
      </c>
      <c r="AV268" s="353" t="str">
        <f t="shared" si="679"/>
        <v>1R x 0.6/1kV x 3C x 4 Sqmm</v>
      </c>
      <c r="AW268" s="353" t="str">
        <f t="shared" si="680"/>
        <v>1R x 0.6/1kV x 3C x 4 Sqmm</v>
      </c>
      <c r="AX268" s="294">
        <f t="shared" si="708"/>
        <v>145</v>
      </c>
      <c r="AY268" s="354"/>
    </row>
    <row r="269" spans="1:51" ht="20.149999999999999" customHeight="1">
      <c r="A269" s="285">
        <f t="shared" si="709"/>
        <v>172</v>
      </c>
      <c r="B269" s="355" t="s">
        <v>382</v>
      </c>
      <c r="C269" s="285" t="s">
        <v>491</v>
      </c>
      <c r="D269" s="546" t="s">
        <v>1044</v>
      </c>
      <c r="E269" s="352" t="s">
        <v>410</v>
      </c>
      <c r="F269" s="369" t="s">
        <v>28</v>
      </c>
      <c r="G269" s="285" t="s">
        <v>298</v>
      </c>
      <c r="H269" s="421">
        <v>0.81</v>
      </c>
      <c r="I269" s="285" t="s">
        <v>299</v>
      </c>
      <c r="J269" s="285" t="s">
        <v>313</v>
      </c>
      <c r="K269" s="309">
        <v>230</v>
      </c>
      <c r="L269" s="294">
        <v>0.85</v>
      </c>
      <c r="M269" s="304">
        <v>0.95</v>
      </c>
      <c r="N269" s="287">
        <f t="shared" si="663"/>
        <v>4.3612868488356442</v>
      </c>
      <c r="O269" s="287">
        <f t="shared" si="659"/>
        <v>0</v>
      </c>
      <c r="P269" s="294" t="str">
        <f t="shared" si="664"/>
        <v>0.00</v>
      </c>
      <c r="Q269" s="304">
        <v>65</v>
      </c>
      <c r="R269" s="304">
        <v>0</v>
      </c>
      <c r="S269" s="304">
        <f t="shared" si="665"/>
        <v>0</v>
      </c>
      <c r="T269" s="294" t="s">
        <v>131</v>
      </c>
      <c r="U269" s="304" t="s">
        <v>302</v>
      </c>
      <c r="V269" s="294">
        <v>4</v>
      </c>
      <c r="W269" s="294" t="str">
        <f t="shared" si="666"/>
        <v>3C X 4</v>
      </c>
      <c r="X269" s="294" t="str">
        <f t="shared" si="667"/>
        <v>3C X 4</v>
      </c>
      <c r="Y269" s="294" t="s">
        <v>314</v>
      </c>
      <c r="Z269" s="288">
        <f>IF(T269="AIR",VLOOKUP(W269,'Catalogue Aluminium'!$B$9:$G$91,2,FALSE),IF(T269="GROUND",VLOOKUP(W269,'Catalogue Aluminium'!$B$9:$G$91,3,FALSE),IF(T269="DUCT",VLOOKUP(W269,'Catalogue Aluminium'!$B$9:$G$91,4,FALSE),IF(T269="TRENCH",VLOOKUP(W269,'Catalogue Aluminium'!$B$9:$G$91,2,FALSE)))))</f>
        <v>38</v>
      </c>
      <c r="AA269" s="295">
        <f>VLOOKUP(W269,'Catalogue Aluminium'!$B$9:$G$91,5,FALSE)</f>
        <v>5.9</v>
      </c>
      <c r="AB269" s="295">
        <f>VLOOKUP(W269,'Catalogue Aluminium'!$B$9:$G$91,6,FALSE)</f>
        <v>9.4700000000000006E-2</v>
      </c>
      <c r="AC269" s="323">
        <f t="shared" si="707"/>
        <v>38</v>
      </c>
      <c r="AD269" s="294">
        <v>80</v>
      </c>
      <c r="AE269" s="294">
        <v>5</v>
      </c>
      <c r="AF269" s="294">
        <v>8</v>
      </c>
      <c r="AG269" s="294">
        <f t="shared" si="670"/>
        <v>14</v>
      </c>
      <c r="AH269" s="311">
        <f t="shared" si="671"/>
        <v>145</v>
      </c>
      <c r="AI269" s="288">
        <f>IF(T269="AIR",'Catalogue Aluminium'!$K$9,IF(T269="TRENCH",'Catalogue Aluminium'!$K$12,"NA"))</f>
        <v>0.89</v>
      </c>
      <c r="AJ269" s="287">
        <f>IF(T269="Air",(IF(U269="1C",'Catalogue Aluminium'!$L$9,'Catalogue Aluminium'!$M$9)),IF(T269="DUCT",(IF($U269="1C",'Catalogue Aluminium'!$L$10,'Catalogue Aluminium'!$M$10)),IF(T269="GROUND",(IF($U269="1C",'Catalogue Aluminium'!$L$11,'Catalogue Aluminium'!$M$11)),IF(T269="TRENCH",(IF($U269="1C",'Catalogue Aluminium'!$L$12,'Catalogue Aluminium'!$M$12))))))</f>
        <v>0.66</v>
      </c>
      <c r="AK269" s="288" t="str">
        <f>IF(T269="Air",'Catalogue Aluminium'!$N$9,IF(T269="GROUND",'Catalogue Aluminium'!$N$10,IF(T269="DUCT",'Catalogue Aluminium'!$N$11,IF(T269="TRENCH",'Catalogue Aluminium'!$N$12,"NA"))))</f>
        <v>NA</v>
      </c>
      <c r="AL269" s="288" t="str">
        <f>IF(T269="Air",(IF(U269="1C",'Catalogue Aluminium'!$O$9,'Catalogue Aluminium'!$P$9)),IF(T269="DUCT",(IF($U269="1C",'Catalogue Aluminium'!$O$10,'Catalogue Aluminium'!$P$10)),IF(T269="GROUND",(IF($U269="1C",'Catalogue Aluminium'!$O$11,'Catalogue Aluminium'!$P$11)),IF(T269="TRENCH",(IF($U269="1C",'Catalogue Aluminium'!$O$12,'Catalogue Aluminium'!$P$12))))))</f>
        <v>NA</v>
      </c>
      <c r="AM269" s="288" t="str">
        <f>IF(T269="AIR","NA",IF(T269="TRENCH","NA",IF(T269="DUCT",IF(U269="1C",VLOOKUP(V269,'Catalogue Aluminium'!$Q$9:$S$28,2,FALSE),VLOOKUP(V269,'Catalogue Aluminium'!$Q$9:$S$28,3)),IF(T269="GROUND",IF(U269="1C",VLOOKUP(V269,'Catalogue Aluminium'!$Q$9:$S$28,2,FALSE),VLOOKUP(V269,'Catalogue Aluminium'!$Q$9:$S$28,3))))))</f>
        <v>NA</v>
      </c>
      <c r="AN269" s="312">
        <f t="shared" si="672"/>
        <v>0.58740000000000003</v>
      </c>
      <c r="AO269" s="304">
        <f t="shared" si="673"/>
        <v>22.321200000000001</v>
      </c>
      <c r="AP269" s="309">
        <f t="shared" si="655"/>
        <v>1</v>
      </c>
      <c r="AQ269" s="304" t="str">
        <f t="shared" si="674"/>
        <v>YES</v>
      </c>
      <c r="AR269" s="312">
        <f t="shared" si="675"/>
        <v>2.4120435657622825</v>
      </c>
      <c r="AS269" s="294" t="str">
        <f t="shared" si="676"/>
        <v>YES</v>
      </c>
      <c r="AT269" s="312" t="str">
        <f t="shared" si="677"/>
        <v>NA</v>
      </c>
      <c r="AU269" s="294" t="str">
        <f t="shared" si="678"/>
        <v>NA</v>
      </c>
      <c r="AV269" s="353" t="str">
        <f t="shared" si="679"/>
        <v>1R x 0.6/1kV x 3C x 4 Sqmm</v>
      </c>
      <c r="AW269" s="353" t="str">
        <f t="shared" si="680"/>
        <v>1R x 0.6/1kV x 3C x 4 Sqmm</v>
      </c>
      <c r="AX269" s="294">
        <f t="shared" si="708"/>
        <v>145</v>
      </c>
      <c r="AY269" s="354"/>
    </row>
    <row r="270" spans="1:51" ht="20.149999999999999" customHeight="1">
      <c r="A270" s="285">
        <f t="shared" si="709"/>
        <v>173</v>
      </c>
      <c r="B270" s="355" t="s">
        <v>382</v>
      </c>
      <c r="C270" s="285" t="s">
        <v>491</v>
      </c>
      <c r="D270" s="244" t="s">
        <v>547</v>
      </c>
      <c r="E270" s="321" t="s">
        <v>310</v>
      </c>
      <c r="F270" s="285" t="s">
        <v>28</v>
      </c>
      <c r="G270" s="285" t="s">
        <v>298</v>
      </c>
      <c r="H270" s="421">
        <v>11</v>
      </c>
      <c r="I270" s="285" t="s">
        <v>299</v>
      </c>
      <c r="J270" s="285" t="s">
        <v>300</v>
      </c>
      <c r="K270" s="309">
        <v>400</v>
      </c>
      <c r="L270" s="294">
        <v>0.85</v>
      </c>
      <c r="M270" s="304">
        <v>0.95</v>
      </c>
      <c r="N270" s="287">
        <f t="shared" si="663"/>
        <v>19.662660250681046</v>
      </c>
      <c r="O270" s="287">
        <f t="shared" si="659"/>
        <v>0</v>
      </c>
      <c r="P270" s="294" t="str">
        <f t="shared" si="664"/>
        <v>0.00</v>
      </c>
      <c r="Q270" s="304">
        <v>65</v>
      </c>
      <c r="R270" s="304">
        <v>0</v>
      </c>
      <c r="S270" s="304">
        <f t="shared" si="665"/>
        <v>0</v>
      </c>
      <c r="T270" s="294" t="s">
        <v>131</v>
      </c>
      <c r="U270" s="304" t="s">
        <v>390</v>
      </c>
      <c r="V270" s="294">
        <v>50</v>
      </c>
      <c r="W270" s="294" t="str">
        <f t="shared" si="666"/>
        <v>3.5C X 50</v>
      </c>
      <c r="X270" s="294" t="str">
        <f t="shared" si="667"/>
        <v>3.5C X 50</v>
      </c>
      <c r="Y270" s="294" t="s">
        <v>314</v>
      </c>
      <c r="Z270" s="288">
        <f>IF(T270="AIR",VLOOKUP(W270,'Catalogue Aluminium'!$B$9:$G$91,2,FALSE),IF(T270="GROUND",VLOOKUP(W270,'Catalogue Aluminium'!$B$9:$G$91,3,FALSE),IF(T270="DUCT",VLOOKUP(W270,'Catalogue Aluminium'!$B$9:$G$91,4,FALSE),IF(T270="TRENCH",VLOOKUP(W270,'Catalogue Aluminium'!$B$9:$G$91,2,FALSE)))))</f>
        <v>141</v>
      </c>
      <c r="AA270" s="295">
        <f>VLOOKUP(W270,'Catalogue Aluminium'!$B$9:$G$91,5,FALSE)</f>
        <v>0.82</v>
      </c>
      <c r="AB270" s="295">
        <f>VLOOKUP(W270,'Catalogue Aluminium'!$B$9:$G$91,6,FALSE)</f>
        <v>7.9200000000000007E-2</v>
      </c>
      <c r="AC270" s="323">
        <f t="shared" si="707"/>
        <v>38</v>
      </c>
      <c r="AD270" s="294">
        <f t="shared" ref="AD270" si="710">40+50+38+50+17+(27+41)</f>
        <v>263</v>
      </c>
      <c r="AE270" s="294">
        <f t="shared" ref="AE270" si="711">11+8+8+11</f>
        <v>38</v>
      </c>
      <c r="AF270" s="294">
        <v>8</v>
      </c>
      <c r="AG270" s="294">
        <f t="shared" si="670"/>
        <v>35</v>
      </c>
      <c r="AH270" s="311">
        <f t="shared" si="671"/>
        <v>382</v>
      </c>
      <c r="AI270" s="288">
        <f>IF(T270="AIR",'Catalogue Aluminium'!$K$9,IF(T270="TRENCH",'Catalogue Aluminium'!$K$12,"NA"))</f>
        <v>0.89</v>
      </c>
      <c r="AJ270" s="287">
        <f>IF(T270="Air",(IF(U270="1C",'Catalogue Aluminium'!$L$9,'Catalogue Aluminium'!$M$9)),IF(T270="DUCT",(IF($U270="1C",'Catalogue Aluminium'!$L$10,'Catalogue Aluminium'!$M$10)),IF(T270="GROUND",(IF($U270="1C",'Catalogue Aluminium'!$L$11,'Catalogue Aluminium'!$M$11)),IF(T270="TRENCH",(IF($U270="1C",'Catalogue Aluminium'!$L$12,'Catalogue Aluminium'!$M$12))))))</f>
        <v>0.66</v>
      </c>
      <c r="AK270" s="288" t="str">
        <f>IF(T270="Air",'Catalogue Aluminium'!$N$9,IF(T270="GROUND",'Catalogue Aluminium'!$N$10,IF(T270="DUCT",'Catalogue Aluminium'!$N$11,IF(T270="TRENCH",'Catalogue Aluminium'!$N$12,"NA"))))</f>
        <v>NA</v>
      </c>
      <c r="AL270" s="288" t="str">
        <f>IF(T270="Air",(IF(U270="1C",'Catalogue Aluminium'!$O$9,'Catalogue Aluminium'!$P$9)),IF(T270="DUCT",(IF($U270="1C",'Catalogue Aluminium'!$O$10,'Catalogue Aluminium'!$P$10)),IF(T270="GROUND",(IF($U270="1C",'Catalogue Aluminium'!$O$11,'Catalogue Aluminium'!$P$11)),IF(T270="TRENCH",(IF($U270="1C",'Catalogue Aluminium'!$O$12,'Catalogue Aluminium'!$P$12))))))</f>
        <v>NA</v>
      </c>
      <c r="AM270" s="288" t="str">
        <f>IF(T270="AIR","NA",IF(T270="TRENCH","NA",IF(T270="DUCT",IF(U270="1C",VLOOKUP(V270,'Catalogue Aluminium'!$Q$9:$S$28,2,FALSE),VLOOKUP(V270,'Catalogue Aluminium'!$Q$9:$S$28,3)),IF(T270="GROUND",IF(U270="1C",VLOOKUP(V270,'Catalogue Aluminium'!$Q$9:$S$28,2,FALSE),VLOOKUP(V270,'Catalogue Aluminium'!$Q$9:$S$28,3))))))</f>
        <v>NA</v>
      </c>
      <c r="AN270" s="312">
        <f t="shared" si="672"/>
        <v>0.58740000000000003</v>
      </c>
      <c r="AO270" s="304">
        <f t="shared" si="673"/>
        <v>82.823400000000007</v>
      </c>
      <c r="AP270" s="309">
        <f t="shared" si="655"/>
        <v>1</v>
      </c>
      <c r="AQ270" s="304" t="str">
        <f t="shared" si="674"/>
        <v>YES</v>
      </c>
      <c r="AR270" s="312">
        <f t="shared" si="675"/>
        <v>2.4026296388471438</v>
      </c>
      <c r="AS270" s="294" t="str">
        <f t="shared" si="676"/>
        <v>YES</v>
      </c>
      <c r="AT270" s="312" t="str">
        <f t="shared" si="677"/>
        <v>NA</v>
      </c>
      <c r="AU270" s="294" t="str">
        <f t="shared" si="678"/>
        <v>NA</v>
      </c>
      <c r="AV270" s="353" t="str">
        <f t="shared" si="679"/>
        <v>1R x 0.6/1kV x 3.5C x 50 Sqmm</v>
      </c>
      <c r="AW270" s="353" t="str">
        <f t="shared" si="680"/>
        <v>1R x 0.6/1kV x 3.5C x 50 Sqmm</v>
      </c>
      <c r="AX270" s="294">
        <f t="shared" si="708"/>
        <v>382</v>
      </c>
      <c r="AY270" s="354"/>
    </row>
    <row r="271" spans="1:51" ht="20.149999999999999" customHeight="1">
      <c r="A271" s="285">
        <f t="shared" si="709"/>
        <v>174</v>
      </c>
      <c r="B271" s="355" t="s">
        <v>382</v>
      </c>
      <c r="C271" s="285" t="s">
        <v>491</v>
      </c>
      <c r="D271" s="546" t="s">
        <v>1059</v>
      </c>
      <c r="E271" s="352" t="s">
        <v>410</v>
      </c>
      <c r="F271" s="369" t="s">
        <v>28</v>
      </c>
      <c r="G271" s="285" t="s">
        <v>298</v>
      </c>
      <c r="H271" s="421">
        <v>1.45</v>
      </c>
      <c r="I271" s="285" t="s">
        <v>299</v>
      </c>
      <c r="J271" s="285" t="s">
        <v>313</v>
      </c>
      <c r="K271" s="309">
        <v>230</v>
      </c>
      <c r="L271" s="294">
        <v>0.85</v>
      </c>
      <c r="M271" s="304">
        <v>0.95</v>
      </c>
      <c r="N271" s="287">
        <f t="shared" si="663"/>
        <v>7.8072418898909683</v>
      </c>
      <c r="O271" s="287">
        <f t="shared" si="659"/>
        <v>0</v>
      </c>
      <c r="P271" s="294" t="str">
        <f t="shared" si="664"/>
        <v>0.00</v>
      </c>
      <c r="Q271" s="304">
        <v>65</v>
      </c>
      <c r="R271" s="304">
        <v>0</v>
      </c>
      <c r="S271" s="304">
        <f t="shared" si="665"/>
        <v>0</v>
      </c>
      <c r="T271" s="294" t="s">
        <v>131</v>
      </c>
      <c r="U271" s="304" t="s">
        <v>302</v>
      </c>
      <c r="V271" s="294">
        <v>16</v>
      </c>
      <c r="W271" s="294" t="str">
        <f t="shared" si="666"/>
        <v>3C X 16</v>
      </c>
      <c r="X271" s="294" t="str">
        <f t="shared" si="667"/>
        <v>3C X 16</v>
      </c>
      <c r="Y271" s="294" t="s">
        <v>314</v>
      </c>
      <c r="Z271" s="288">
        <f>IF(T271="AIR",VLOOKUP(W271,'Catalogue Aluminium'!$B$9:$G$91,2,FALSE),IF(T271="GROUND",VLOOKUP(W271,'Catalogue Aluminium'!$B$9:$G$91,3,FALSE),IF(T271="DUCT",VLOOKUP(W271,'Catalogue Aluminium'!$B$9:$G$91,4,FALSE),IF(T271="TRENCH",VLOOKUP(W271,'Catalogue Aluminium'!$B$9:$G$91,2,FALSE)))))</f>
        <v>70</v>
      </c>
      <c r="AA271" s="295">
        <f>VLOOKUP(W271,'Catalogue Aluminium'!$B$9:$G$91,5,FALSE)</f>
        <v>2.44</v>
      </c>
      <c r="AB271" s="295">
        <f>VLOOKUP(W271,'Catalogue Aluminium'!$B$9:$G$91,6,FALSE)</f>
        <v>8.1500000000000003E-2</v>
      </c>
      <c r="AC271" s="323">
        <f t="shared" si="707"/>
        <v>38</v>
      </c>
      <c r="AD271" s="294">
        <v>80</v>
      </c>
      <c r="AE271" s="294">
        <v>5</v>
      </c>
      <c r="AF271" s="294">
        <v>8</v>
      </c>
      <c r="AG271" s="294">
        <f t="shared" si="670"/>
        <v>14</v>
      </c>
      <c r="AH271" s="311">
        <f t="shared" si="671"/>
        <v>145</v>
      </c>
      <c r="AI271" s="288">
        <f>IF(T271="AIR",'Catalogue Aluminium'!$K$9,IF(T271="TRENCH",'Catalogue Aluminium'!$K$12,"NA"))</f>
        <v>0.89</v>
      </c>
      <c r="AJ271" s="287">
        <f>IF(T271="Air",(IF(U271="1C",'Catalogue Aluminium'!$L$9,'Catalogue Aluminium'!$M$9)),IF(T271="DUCT",(IF($U271="1C",'Catalogue Aluminium'!$L$10,'Catalogue Aluminium'!$M$10)),IF(T271="GROUND",(IF($U271="1C",'Catalogue Aluminium'!$L$11,'Catalogue Aluminium'!$M$11)),IF(T271="TRENCH",(IF($U271="1C",'Catalogue Aluminium'!$L$12,'Catalogue Aluminium'!$M$12))))))</f>
        <v>0.66</v>
      </c>
      <c r="AK271" s="288" t="str">
        <f>IF(T271="Air",'Catalogue Aluminium'!$N$9,IF(T271="GROUND",'Catalogue Aluminium'!$N$10,IF(T271="DUCT",'Catalogue Aluminium'!$N$11,IF(T271="TRENCH",'Catalogue Aluminium'!$N$12,"NA"))))</f>
        <v>NA</v>
      </c>
      <c r="AL271" s="288" t="str">
        <f>IF(T271="Air",(IF(U271="1C",'Catalogue Aluminium'!$O$9,'Catalogue Aluminium'!$P$9)),IF(T271="DUCT",(IF($U271="1C",'Catalogue Aluminium'!$O$10,'Catalogue Aluminium'!$P$10)),IF(T271="GROUND",(IF($U271="1C",'Catalogue Aluminium'!$O$11,'Catalogue Aluminium'!$P$11)),IF(T271="TRENCH",(IF($U271="1C",'Catalogue Aluminium'!$O$12,'Catalogue Aluminium'!$P$12))))))</f>
        <v>NA</v>
      </c>
      <c r="AM271" s="288" t="str">
        <f>IF(T271="AIR","NA",IF(T271="TRENCH","NA",IF(T271="DUCT",IF(U271="1C",VLOOKUP(V271,'Catalogue Aluminium'!$Q$9:$S$28,2,FALSE),VLOOKUP(V271,'Catalogue Aluminium'!$Q$9:$S$28,3)),IF(T271="GROUND",IF(U271="1C",VLOOKUP(V271,'Catalogue Aluminium'!$Q$9:$S$28,2,FALSE),VLOOKUP(V271,'Catalogue Aluminium'!$Q$9:$S$28,3))))))</f>
        <v>NA</v>
      </c>
      <c r="AN271" s="312">
        <f t="shared" si="672"/>
        <v>0.58740000000000003</v>
      </c>
      <c r="AO271" s="304">
        <f t="shared" si="673"/>
        <v>41.118000000000002</v>
      </c>
      <c r="AP271" s="309">
        <f t="shared" si="655"/>
        <v>1</v>
      </c>
      <c r="AQ271" s="304" t="str">
        <f t="shared" si="674"/>
        <v>YES</v>
      </c>
      <c r="AR271" s="312">
        <f t="shared" si="675"/>
        <v>1.8047019954026575</v>
      </c>
      <c r="AS271" s="294" t="str">
        <f t="shared" si="676"/>
        <v>YES</v>
      </c>
      <c r="AT271" s="312" t="str">
        <f t="shared" si="677"/>
        <v>NA</v>
      </c>
      <c r="AU271" s="294" t="str">
        <f t="shared" si="678"/>
        <v>NA</v>
      </c>
      <c r="AV271" s="353" t="str">
        <f t="shared" si="679"/>
        <v>1R x 0.6/1kV x 3C x 16 Sqmm</v>
      </c>
      <c r="AW271" s="353" t="str">
        <f t="shared" si="680"/>
        <v>1R x 0.6/1kV x 3C x 16 Sqmm</v>
      </c>
      <c r="AX271" s="294">
        <f t="shared" si="708"/>
        <v>145</v>
      </c>
      <c r="AY271" s="354"/>
    </row>
    <row r="272" spans="1:51" ht="32.25" customHeight="1">
      <c r="A272" s="285">
        <f t="shared" si="709"/>
        <v>175</v>
      </c>
      <c r="B272" s="355" t="s">
        <v>382</v>
      </c>
      <c r="C272" s="285" t="s">
        <v>491</v>
      </c>
      <c r="D272" s="546" t="s">
        <v>1058</v>
      </c>
      <c r="E272" s="352" t="s">
        <v>410</v>
      </c>
      <c r="F272" s="369" t="s">
        <v>28</v>
      </c>
      <c r="G272" s="285" t="s">
        <v>298</v>
      </c>
      <c r="H272" s="421">
        <v>1.8</v>
      </c>
      <c r="I272" s="285" t="s">
        <v>299</v>
      </c>
      <c r="J272" s="285" t="s">
        <v>313</v>
      </c>
      <c r="K272" s="309">
        <v>230</v>
      </c>
      <c r="L272" s="294">
        <v>0.85</v>
      </c>
      <c r="M272" s="304">
        <v>0.95</v>
      </c>
      <c r="N272" s="287">
        <f t="shared" si="663"/>
        <v>9.6917485529680985</v>
      </c>
      <c r="O272" s="287">
        <f t="shared" si="659"/>
        <v>0</v>
      </c>
      <c r="P272" s="294" t="str">
        <f t="shared" si="664"/>
        <v>0.00</v>
      </c>
      <c r="Q272" s="304">
        <v>65</v>
      </c>
      <c r="R272" s="304">
        <v>0</v>
      </c>
      <c r="S272" s="304">
        <f t="shared" si="665"/>
        <v>0</v>
      </c>
      <c r="T272" s="294" t="s">
        <v>131</v>
      </c>
      <c r="U272" s="304" t="s">
        <v>302</v>
      </c>
      <c r="V272" s="294">
        <v>16</v>
      </c>
      <c r="W272" s="294" t="str">
        <f t="shared" si="666"/>
        <v>3C X 16</v>
      </c>
      <c r="X272" s="294" t="str">
        <f t="shared" si="667"/>
        <v>3C X 16</v>
      </c>
      <c r="Y272" s="294" t="s">
        <v>314</v>
      </c>
      <c r="Z272" s="288">
        <f>IF(T272="AIR",VLOOKUP(W272,'Catalogue Aluminium'!$B$9:$G$91,2,FALSE),IF(T272="GROUND",VLOOKUP(W272,'Catalogue Aluminium'!$B$9:$G$91,3,FALSE),IF(T272="DUCT",VLOOKUP(W272,'Catalogue Aluminium'!$B$9:$G$91,4,FALSE),IF(T272="TRENCH",VLOOKUP(W272,'Catalogue Aluminium'!$B$9:$G$91,2,FALSE)))))</f>
        <v>70</v>
      </c>
      <c r="AA272" s="295">
        <f>VLOOKUP(W272,'Catalogue Aluminium'!$B$9:$G$91,5,FALSE)</f>
        <v>2.44</v>
      </c>
      <c r="AB272" s="295">
        <f>VLOOKUP(W272,'Catalogue Aluminium'!$B$9:$G$91,6,FALSE)</f>
        <v>8.1500000000000003E-2</v>
      </c>
      <c r="AC272" s="323">
        <f t="shared" si="707"/>
        <v>38</v>
      </c>
      <c r="AD272" s="294">
        <v>80</v>
      </c>
      <c r="AE272" s="294">
        <v>5</v>
      </c>
      <c r="AF272" s="294">
        <v>8</v>
      </c>
      <c r="AG272" s="294">
        <f t="shared" si="670"/>
        <v>14</v>
      </c>
      <c r="AH272" s="311">
        <f t="shared" si="671"/>
        <v>145</v>
      </c>
      <c r="AI272" s="288">
        <f>IF(T272="AIR",'Catalogue Aluminium'!$K$9,IF(T272="TRENCH",'Catalogue Aluminium'!$K$12,"NA"))</f>
        <v>0.89</v>
      </c>
      <c r="AJ272" s="287">
        <f>IF(T272="Air",(IF(U272="1C",'Catalogue Aluminium'!$L$9,'Catalogue Aluminium'!$M$9)),IF(T272="DUCT",(IF($U272="1C",'Catalogue Aluminium'!$L$10,'Catalogue Aluminium'!$M$10)),IF(T272="GROUND",(IF($U272="1C",'Catalogue Aluminium'!$L$11,'Catalogue Aluminium'!$M$11)),IF(T272="TRENCH",(IF($U272="1C",'Catalogue Aluminium'!$L$12,'Catalogue Aluminium'!$M$12))))))</f>
        <v>0.66</v>
      </c>
      <c r="AK272" s="288" t="str">
        <f>IF(T272="Air",'Catalogue Aluminium'!$N$9,IF(T272="GROUND",'Catalogue Aluminium'!$N$10,IF(T272="DUCT",'Catalogue Aluminium'!$N$11,IF(T272="TRENCH",'Catalogue Aluminium'!$N$12,"NA"))))</f>
        <v>NA</v>
      </c>
      <c r="AL272" s="288" t="str">
        <f>IF(T272="Air",(IF(U272="1C",'Catalogue Aluminium'!$O$9,'Catalogue Aluminium'!$P$9)),IF(T272="DUCT",(IF($U272="1C",'Catalogue Aluminium'!$O$10,'Catalogue Aluminium'!$P$10)),IF(T272="GROUND",(IF($U272="1C",'Catalogue Aluminium'!$O$11,'Catalogue Aluminium'!$P$11)),IF(T272="TRENCH",(IF($U272="1C",'Catalogue Aluminium'!$O$12,'Catalogue Aluminium'!$P$12))))))</f>
        <v>NA</v>
      </c>
      <c r="AM272" s="288" t="str">
        <f>IF(T272="AIR","NA",IF(T272="TRENCH","NA",IF(T272="DUCT",IF(U272="1C",VLOOKUP(V272,'Catalogue Aluminium'!$Q$9:$S$28,2,FALSE),VLOOKUP(V272,'Catalogue Aluminium'!$Q$9:$S$28,3)),IF(T272="GROUND",IF(U272="1C",VLOOKUP(V272,'Catalogue Aluminium'!$Q$9:$S$28,2,FALSE),VLOOKUP(V272,'Catalogue Aluminium'!$Q$9:$S$28,3))))))</f>
        <v>NA</v>
      </c>
      <c r="AN272" s="312">
        <f t="shared" si="672"/>
        <v>0.58740000000000003</v>
      </c>
      <c r="AO272" s="304">
        <f t="shared" si="673"/>
        <v>41.118000000000002</v>
      </c>
      <c r="AP272" s="309">
        <f t="shared" si="655"/>
        <v>1</v>
      </c>
      <c r="AQ272" s="304" t="str">
        <f t="shared" si="674"/>
        <v>YES</v>
      </c>
      <c r="AR272" s="312">
        <f t="shared" si="675"/>
        <v>2.2403197184308845</v>
      </c>
      <c r="AS272" s="294" t="str">
        <f t="shared" si="676"/>
        <v>YES</v>
      </c>
      <c r="AT272" s="312" t="str">
        <f t="shared" si="677"/>
        <v>NA</v>
      </c>
      <c r="AU272" s="294" t="str">
        <f t="shared" si="678"/>
        <v>NA</v>
      </c>
      <c r="AV272" s="353" t="str">
        <f t="shared" si="679"/>
        <v>1R x 0.6/1kV x 3C x 16 Sqmm</v>
      </c>
      <c r="AW272" s="353" t="str">
        <f t="shared" si="680"/>
        <v>1R x 0.6/1kV x 3C x 16 Sqmm</v>
      </c>
      <c r="AX272" s="294">
        <f t="shared" si="708"/>
        <v>145</v>
      </c>
      <c r="AY272" s="354"/>
    </row>
    <row r="273" spans="1:51" ht="20.149999999999999" customHeight="1">
      <c r="A273" s="285">
        <f t="shared" si="709"/>
        <v>176</v>
      </c>
      <c r="B273" s="355" t="s">
        <v>382</v>
      </c>
      <c r="C273" s="285" t="s">
        <v>491</v>
      </c>
      <c r="D273" s="244" t="s">
        <v>549</v>
      </c>
      <c r="E273" s="352" t="s">
        <v>410</v>
      </c>
      <c r="F273" s="369" t="s">
        <v>28</v>
      </c>
      <c r="G273" s="285" t="s">
        <v>298</v>
      </c>
      <c r="H273" s="421">
        <v>0.18</v>
      </c>
      <c r="I273" s="285" t="s">
        <v>299</v>
      </c>
      <c r="J273" s="285" t="s">
        <v>313</v>
      </c>
      <c r="K273" s="309">
        <v>230</v>
      </c>
      <c r="L273" s="294">
        <v>0.85</v>
      </c>
      <c r="M273" s="304">
        <v>0.95</v>
      </c>
      <c r="N273" s="287">
        <f t="shared" si="663"/>
        <v>0.9691748552968098</v>
      </c>
      <c r="O273" s="287">
        <f t="shared" si="659"/>
        <v>0</v>
      </c>
      <c r="P273" s="294" t="str">
        <f t="shared" si="664"/>
        <v>0.00</v>
      </c>
      <c r="Q273" s="304">
        <v>65</v>
      </c>
      <c r="R273" s="304">
        <v>0</v>
      </c>
      <c r="S273" s="304">
        <f t="shared" si="665"/>
        <v>0</v>
      </c>
      <c r="T273" s="294" t="s">
        <v>131</v>
      </c>
      <c r="U273" s="304" t="s">
        <v>302</v>
      </c>
      <c r="V273" s="294">
        <v>4</v>
      </c>
      <c r="W273" s="294" t="str">
        <f t="shared" si="666"/>
        <v>3C X 4</v>
      </c>
      <c r="X273" s="294" t="str">
        <f t="shared" si="667"/>
        <v>3C X 4</v>
      </c>
      <c r="Y273" s="294" t="s">
        <v>314</v>
      </c>
      <c r="Z273" s="288">
        <f>IF(T273="AIR",VLOOKUP(W273,'Catalogue Aluminium'!$B$9:$G$91,2,FALSE),IF(T273="GROUND",VLOOKUP(W273,'Catalogue Aluminium'!$B$9:$G$91,3,FALSE),IF(T273="DUCT",VLOOKUP(W273,'Catalogue Aluminium'!$B$9:$G$91,4,FALSE),IF(T273="TRENCH",VLOOKUP(W273,'Catalogue Aluminium'!$B$9:$G$91,2,FALSE)))))</f>
        <v>38</v>
      </c>
      <c r="AA273" s="295">
        <f>VLOOKUP(W273,'Catalogue Aluminium'!$B$9:$G$91,5,FALSE)</f>
        <v>5.9</v>
      </c>
      <c r="AB273" s="295">
        <f>VLOOKUP(W273,'Catalogue Aluminium'!$B$9:$G$91,6,FALSE)</f>
        <v>9.4700000000000006E-2</v>
      </c>
      <c r="AC273" s="323">
        <f t="shared" si="707"/>
        <v>38</v>
      </c>
      <c r="AD273" s="294">
        <v>80</v>
      </c>
      <c r="AE273" s="294">
        <v>5</v>
      </c>
      <c r="AF273" s="294">
        <v>8</v>
      </c>
      <c r="AG273" s="294">
        <f t="shared" si="670"/>
        <v>14</v>
      </c>
      <c r="AH273" s="311">
        <f t="shared" si="671"/>
        <v>145</v>
      </c>
      <c r="AI273" s="288">
        <f>IF(T273="AIR",'Catalogue Aluminium'!$K$9,IF(T273="TRENCH",'Catalogue Aluminium'!$K$12,"NA"))</f>
        <v>0.89</v>
      </c>
      <c r="AJ273" s="287">
        <f>IF(T273="Air",(IF(U273="1C",'Catalogue Aluminium'!$L$9,'Catalogue Aluminium'!$M$9)),IF(T273="DUCT",(IF($U273="1C",'Catalogue Aluminium'!$L$10,'Catalogue Aluminium'!$M$10)),IF(T273="GROUND",(IF($U273="1C",'Catalogue Aluminium'!$L$11,'Catalogue Aluminium'!$M$11)),IF(T273="TRENCH",(IF($U273="1C",'Catalogue Aluminium'!$L$12,'Catalogue Aluminium'!$M$12))))))</f>
        <v>0.66</v>
      </c>
      <c r="AK273" s="288" t="str">
        <f>IF(T273="Air",'Catalogue Aluminium'!$N$9,IF(T273="GROUND",'Catalogue Aluminium'!$N$10,IF(T273="DUCT",'Catalogue Aluminium'!$N$11,IF(T273="TRENCH",'Catalogue Aluminium'!$N$12,"NA"))))</f>
        <v>NA</v>
      </c>
      <c r="AL273" s="288" t="str">
        <f>IF(T273="Air",(IF(U273="1C",'Catalogue Aluminium'!$O$9,'Catalogue Aluminium'!$P$9)),IF(T273="DUCT",(IF($U273="1C",'Catalogue Aluminium'!$O$10,'Catalogue Aluminium'!$P$10)),IF(T273="GROUND",(IF($U273="1C",'Catalogue Aluminium'!$O$11,'Catalogue Aluminium'!$P$11)),IF(T273="TRENCH",(IF($U273="1C",'Catalogue Aluminium'!$O$12,'Catalogue Aluminium'!$P$12))))))</f>
        <v>NA</v>
      </c>
      <c r="AM273" s="288" t="str">
        <f>IF(T273="AIR","NA",IF(T273="TRENCH","NA",IF(T273="DUCT",IF(U273="1C",VLOOKUP(V273,'Catalogue Aluminium'!$Q$9:$S$28,2,FALSE),VLOOKUP(V273,'Catalogue Aluminium'!$Q$9:$S$28,3)),IF(T273="GROUND",IF(U273="1C",VLOOKUP(V273,'Catalogue Aluminium'!$Q$9:$S$28,2,FALSE),VLOOKUP(V273,'Catalogue Aluminium'!$Q$9:$S$28,3))))))</f>
        <v>NA</v>
      </c>
      <c r="AN273" s="312">
        <f t="shared" si="672"/>
        <v>0.58740000000000003</v>
      </c>
      <c r="AO273" s="304">
        <f t="shared" si="673"/>
        <v>22.321200000000001</v>
      </c>
      <c r="AP273" s="309">
        <f t="shared" si="655"/>
        <v>1</v>
      </c>
      <c r="AQ273" s="304" t="str">
        <f t="shared" si="674"/>
        <v>YES</v>
      </c>
      <c r="AR273" s="312">
        <f t="shared" si="675"/>
        <v>0.53600968128050719</v>
      </c>
      <c r="AS273" s="294" t="str">
        <f t="shared" si="676"/>
        <v>YES</v>
      </c>
      <c r="AT273" s="312" t="str">
        <f t="shared" si="677"/>
        <v>NA</v>
      </c>
      <c r="AU273" s="294" t="str">
        <f t="shared" si="678"/>
        <v>NA</v>
      </c>
      <c r="AV273" s="353" t="str">
        <f t="shared" si="679"/>
        <v>1R x 0.6/1kV x 3C x 4 Sqmm</v>
      </c>
      <c r="AW273" s="353" t="str">
        <f t="shared" si="680"/>
        <v>1R x 0.6/1kV x 3C x 4 Sqmm</v>
      </c>
      <c r="AX273" s="294">
        <f t="shared" si="708"/>
        <v>145</v>
      </c>
      <c r="AY273" s="354"/>
    </row>
    <row r="274" spans="1:51" ht="20.149999999999999" customHeight="1">
      <c r="A274" s="285">
        <f t="shared" si="709"/>
        <v>177</v>
      </c>
      <c r="B274" s="355" t="s">
        <v>382</v>
      </c>
      <c r="C274" s="285" t="s">
        <v>491</v>
      </c>
      <c r="D274" s="546" t="s">
        <v>1044</v>
      </c>
      <c r="E274" s="352" t="s">
        <v>410</v>
      </c>
      <c r="F274" s="369" t="s">
        <v>28</v>
      </c>
      <c r="G274" s="285" t="s">
        <v>298</v>
      </c>
      <c r="H274" s="421">
        <v>0.81</v>
      </c>
      <c r="I274" s="285" t="s">
        <v>299</v>
      </c>
      <c r="J274" s="285" t="s">
        <v>313</v>
      </c>
      <c r="K274" s="309">
        <v>230</v>
      </c>
      <c r="L274" s="294">
        <v>0.85</v>
      </c>
      <c r="M274" s="304">
        <v>0.95</v>
      </c>
      <c r="N274" s="287">
        <f t="shared" si="663"/>
        <v>4.3612868488356442</v>
      </c>
      <c r="O274" s="287">
        <f t="shared" si="659"/>
        <v>0</v>
      </c>
      <c r="P274" s="294" t="str">
        <f t="shared" si="664"/>
        <v>0.00</v>
      </c>
      <c r="Q274" s="304">
        <v>65</v>
      </c>
      <c r="R274" s="304">
        <v>0</v>
      </c>
      <c r="S274" s="304">
        <f t="shared" si="665"/>
        <v>0</v>
      </c>
      <c r="T274" s="294" t="s">
        <v>131</v>
      </c>
      <c r="U274" s="304" t="s">
        <v>302</v>
      </c>
      <c r="V274" s="294">
        <v>4</v>
      </c>
      <c r="W274" s="294" t="str">
        <f t="shared" si="666"/>
        <v>3C X 4</v>
      </c>
      <c r="X274" s="294" t="str">
        <f t="shared" si="667"/>
        <v>3C X 4</v>
      </c>
      <c r="Y274" s="294" t="s">
        <v>314</v>
      </c>
      <c r="Z274" s="288">
        <f>IF(T274="AIR",VLOOKUP(W274,'Catalogue Aluminium'!$B$9:$G$91,2,FALSE),IF(T274="GROUND",VLOOKUP(W274,'Catalogue Aluminium'!$B$9:$G$91,3,FALSE),IF(T274="DUCT",VLOOKUP(W274,'Catalogue Aluminium'!$B$9:$G$91,4,FALSE),IF(T274="TRENCH",VLOOKUP(W274,'Catalogue Aluminium'!$B$9:$G$91,2,FALSE)))))</f>
        <v>38</v>
      </c>
      <c r="AA274" s="295">
        <f>VLOOKUP(W274,'Catalogue Aluminium'!$B$9:$G$91,5,FALSE)</f>
        <v>5.9</v>
      </c>
      <c r="AB274" s="295">
        <f>VLOOKUP(W274,'Catalogue Aluminium'!$B$9:$G$91,6,FALSE)</f>
        <v>9.4700000000000006E-2</v>
      </c>
      <c r="AC274" s="323">
        <f t="shared" si="707"/>
        <v>38</v>
      </c>
      <c r="AD274" s="294">
        <v>80</v>
      </c>
      <c r="AE274" s="294">
        <v>5</v>
      </c>
      <c r="AF274" s="294">
        <v>8</v>
      </c>
      <c r="AG274" s="294">
        <f t="shared" si="670"/>
        <v>14</v>
      </c>
      <c r="AH274" s="311">
        <f t="shared" si="671"/>
        <v>145</v>
      </c>
      <c r="AI274" s="288">
        <f>IF(T274="AIR",'Catalogue Aluminium'!$K$9,IF(T274="TRENCH",'Catalogue Aluminium'!$K$12,"NA"))</f>
        <v>0.89</v>
      </c>
      <c r="AJ274" s="287">
        <f>IF(T274="Air",(IF(U274="1C",'Catalogue Aluminium'!$L$9,'Catalogue Aluminium'!$M$9)),IF(T274="DUCT",(IF($U274="1C",'Catalogue Aluminium'!$L$10,'Catalogue Aluminium'!$M$10)),IF(T274="GROUND",(IF($U274="1C",'Catalogue Aluminium'!$L$11,'Catalogue Aluminium'!$M$11)),IF(T274="TRENCH",(IF($U274="1C",'Catalogue Aluminium'!$L$12,'Catalogue Aluminium'!$M$12))))))</f>
        <v>0.66</v>
      </c>
      <c r="AK274" s="288" t="str">
        <f>IF(T274="Air",'Catalogue Aluminium'!$N$9,IF(T274="GROUND",'Catalogue Aluminium'!$N$10,IF(T274="DUCT",'Catalogue Aluminium'!$N$11,IF(T274="TRENCH",'Catalogue Aluminium'!$N$12,"NA"))))</f>
        <v>NA</v>
      </c>
      <c r="AL274" s="288" t="str">
        <f>IF(T274="Air",(IF(U274="1C",'Catalogue Aluminium'!$O$9,'Catalogue Aluminium'!$P$9)),IF(T274="DUCT",(IF($U274="1C",'Catalogue Aluminium'!$O$10,'Catalogue Aluminium'!$P$10)),IF(T274="GROUND",(IF($U274="1C",'Catalogue Aluminium'!$O$11,'Catalogue Aluminium'!$P$11)),IF(T274="TRENCH",(IF($U274="1C",'Catalogue Aluminium'!$O$12,'Catalogue Aluminium'!$P$12))))))</f>
        <v>NA</v>
      </c>
      <c r="AM274" s="288" t="str">
        <f>IF(T274="AIR","NA",IF(T274="TRENCH","NA",IF(T274="DUCT",IF(U274="1C",VLOOKUP(V274,'Catalogue Aluminium'!$Q$9:$S$28,2,FALSE),VLOOKUP(V274,'Catalogue Aluminium'!$Q$9:$S$28,3)),IF(T274="GROUND",IF(U274="1C",VLOOKUP(V274,'Catalogue Aluminium'!$Q$9:$S$28,2,FALSE),VLOOKUP(V274,'Catalogue Aluminium'!$Q$9:$S$28,3))))))</f>
        <v>NA</v>
      </c>
      <c r="AN274" s="312">
        <f t="shared" si="672"/>
        <v>0.58740000000000003</v>
      </c>
      <c r="AO274" s="304">
        <f t="shared" si="673"/>
        <v>22.321200000000001</v>
      </c>
      <c r="AP274" s="309">
        <f t="shared" si="655"/>
        <v>1</v>
      </c>
      <c r="AQ274" s="304" t="str">
        <f t="shared" si="674"/>
        <v>YES</v>
      </c>
      <c r="AR274" s="312">
        <f t="shared" si="675"/>
        <v>2.4120435657622825</v>
      </c>
      <c r="AS274" s="294" t="str">
        <f t="shared" si="676"/>
        <v>YES</v>
      </c>
      <c r="AT274" s="312" t="str">
        <f t="shared" si="677"/>
        <v>NA</v>
      </c>
      <c r="AU274" s="294" t="str">
        <f t="shared" si="678"/>
        <v>NA</v>
      </c>
      <c r="AV274" s="353" t="str">
        <f t="shared" si="679"/>
        <v>1R x 0.6/1kV x 3C x 4 Sqmm</v>
      </c>
      <c r="AW274" s="353" t="str">
        <f t="shared" si="680"/>
        <v>1R x 0.6/1kV x 3C x 4 Sqmm</v>
      </c>
      <c r="AX274" s="294">
        <f t="shared" si="708"/>
        <v>145</v>
      </c>
      <c r="AY274" s="354"/>
    </row>
    <row r="275" spans="1:51" s="70" customFormat="1" ht="31.5" customHeight="1">
      <c r="A275" s="273"/>
      <c r="B275" s="273"/>
      <c r="C275" s="273"/>
      <c r="D275" s="357" t="s">
        <v>569</v>
      </c>
      <c r="E275" s="358"/>
      <c r="F275" s="359"/>
      <c r="G275" s="273"/>
      <c r="H275" s="281"/>
      <c r="I275" s="273"/>
      <c r="J275" s="273"/>
      <c r="K275" s="280"/>
      <c r="L275" s="275"/>
      <c r="M275" s="281"/>
      <c r="N275" s="274"/>
      <c r="O275" s="274"/>
      <c r="P275" s="275"/>
      <c r="Q275" s="281"/>
      <c r="R275" s="281"/>
      <c r="S275" s="281"/>
      <c r="T275" s="275"/>
      <c r="U275" s="281"/>
      <c r="V275" s="275"/>
      <c r="W275" s="275"/>
      <c r="X275" s="275"/>
      <c r="Y275" s="275"/>
      <c r="Z275" s="276"/>
      <c r="AA275" s="277"/>
      <c r="AB275" s="277"/>
      <c r="AC275" s="277"/>
      <c r="AD275" s="277"/>
      <c r="AE275" s="277"/>
      <c r="AF275" s="277"/>
      <c r="AG275" s="277"/>
      <c r="AH275" s="279"/>
      <c r="AI275" s="276"/>
      <c r="AJ275" s="274"/>
      <c r="AK275" s="276"/>
      <c r="AL275" s="276"/>
      <c r="AM275" s="276"/>
      <c r="AN275" s="282"/>
      <c r="AO275" s="281"/>
      <c r="AP275" s="280"/>
      <c r="AQ275" s="281"/>
      <c r="AR275" s="282"/>
      <c r="AS275" s="275"/>
      <c r="AT275" s="282"/>
      <c r="AU275" s="282"/>
      <c r="AV275" s="283"/>
      <c r="AW275" s="283"/>
      <c r="AX275" s="275"/>
      <c r="AY275" s="284"/>
    </row>
    <row r="276" spans="1:51" s="592" customFormat="1" ht="20.149999999999999" hidden="1" customHeight="1">
      <c r="A276" s="577" t="s">
        <v>303</v>
      </c>
      <c r="B276" s="578" t="s">
        <v>382</v>
      </c>
      <c r="C276" s="577" t="s">
        <v>491</v>
      </c>
      <c r="D276" s="579" t="s">
        <v>570</v>
      </c>
      <c r="E276" s="601" t="s">
        <v>321</v>
      </c>
      <c r="F276" s="577" t="s">
        <v>28</v>
      </c>
      <c r="G276" s="577" t="s">
        <v>311</v>
      </c>
      <c r="H276" s="584">
        <v>1</v>
      </c>
      <c r="I276" s="577" t="s">
        <v>299</v>
      </c>
      <c r="J276" s="577" t="s">
        <v>300</v>
      </c>
      <c r="K276" s="582">
        <v>400</v>
      </c>
      <c r="L276" s="583">
        <v>0.85</v>
      </c>
      <c r="M276" s="584">
        <v>0.95</v>
      </c>
      <c r="N276" s="585">
        <f t="shared" ref="N276" si="712">IF(I276="kVA",IF(J276="3Ph",(H276*1000/(1.732*M276*K276)),(H276*1000/(M276*K276))),IF(I276="kW",IF(J276="3Ph",(H276*1000/(1.732*M276*K276*L276)),(H276*1000/(M276*K276*L276)))))</f>
        <v>1.7875145682437314</v>
      </c>
      <c r="O276" s="585">
        <f t="shared" ref="O276" si="713">IF(G276="MOTOR",(6*N276),IF(G276="VFD",(1*N276),0))</f>
        <v>10.72508740946239</v>
      </c>
      <c r="P276" s="583">
        <f t="shared" ref="P276" si="714">IF(G276="MOTOR",0.2,"0.00")</f>
        <v>0.2</v>
      </c>
      <c r="Q276" s="584">
        <v>65</v>
      </c>
      <c r="R276" s="584">
        <v>0</v>
      </c>
      <c r="S276" s="584">
        <f t="shared" ref="S276" si="715">(Q276*1000*SQRT(R276)/143)</f>
        <v>0</v>
      </c>
      <c r="T276" s="583" t="s">
        <v>131</v>
      </c>
      <c r="U276" s="584" t="s">
        <v>302</v>
      </c>
      <c r="V276" s="583">
        <v>16</v>
      </c>
      <c r="W276" s="583" t="str">
        <f t="shared" ref="W276" si="716">CONCATENATE(U276," X ",V276)</f>
        <v>3C X 16</v>
      </c>
      <c r="X276" s="583" t="str">
        <f t="shared" ref="X276" si="717">(IF(J276="1Ph",W276,IF(J276="3Ph",(IF(G276="MOTOR",(CONCATENATE(W276,"+PE")),W276)))))</f>
        <v>3C X 16+PE</v>
      </c>
      <c r="Y276" s="583" t="s">
        <v>314</v>
      </c>
      <c r="Z276" s="586">
        <f>IF(T276="AIR",VLOOKUP(W276,'Catalogue Aluminium'!$B$9:$G$91,2,FALSE),IF(T276="GROUND",VLOOKUP(W276,'Catalogue Aluminium'!$B$9:$G$91,3,FALSE),IF(T276="DUCT",VLOOKUP(W276,'Catalogue Aluminium'!$B$9:$G$91,4,FALSE),IF(T276="TRENCH",VLOOKUP(W276,'Catalogue Aluminium'!$B$9:$G$91,2,FALSE)))))</f>
        <v>70</v>
      </c>
      <c r="AA276" s="587">
        <f>VLOOKUP(W276,'Catalogue Aluminium'!$B$9:$G$91,5,FALSE)</f>
        <v>2.44</v>
      </c>
      <c r="AB276" s="587">
        <f>VLOOKUP(W276,'Catalogue Aluminium'!$B$9:$G$91,6,FALSE)</f>
        <v>8.1500000000000003E-2</v>
      </c>
      <c r="AC276" s="602">
        <f t="shared" ref="AC276" si="718">32+6</f>
        <v>38</v>
      </c>
      <c r="AD276" s="583">
        <f>40+50+38+48+58+60+18+30+900</f>
        <v>1242</v>
      </c>
      <c r="AE276" s="583">
        <f t="shared" si="669"/>
        <v>38</v>
      </c>
      <c r="AF276" s="583">
        <v>8</v>
      </c>
      <c r="AG276" s="583">
        <f t="shared" ref="AG276" si="719">ROUNDUP((SUM(AC276:AF276)*0.1),0)</f>
        <v>133</v>
      </c>
      <c r="AH276" s="588">
        <f t="shared" ref="AH276" si="720">SUM(AC276:AG276)</f>
        <v>1459</v>
      </c>
      <c r="AI276" s="586">
        <f>IF(T276="AIR",'Catalogue Aluminium'!$K$9,IF(T276="TRENCH",'Catalogue Aluminium'!$K$12,"NA"))</f>
        <v>0.89</v>
      </c>
      <c r="AJ276" s="585">
        <f>IF(T276="Air",(IF(U276="1C",'Catalogue Aluminium'!$L$9,'Catalogue Aluminium'!$M$9)),IF(T276="DUCT",(IF($U276="1C",'Catalogue Aluminium'!$L$10,'Catalogue Aluminium'!$M$10)),IF(T276="GROUND",(IF($U276="1C",'Catalogue Aluminium'!$L$11,'Catalogue Aluminium'!$M$11)),IF(T276="TRENCH",(IF($U276="1C",'Catalogue Aluminium'!$L$12,'Catalogue Aluminium'!$M$12))))))</f>
        <v>0.66</v>
      </c>
      <c r="AK276" s="586" t="str">
        <f>IF(T276="Air",'Catalogue Aluminium'!$N$9,IF(T276="GROUND",'Catalogue Aluminium'!$N$10,IF(T276="DUCT",'Catalogue Aluminium'!$N$11,IF(T276="TRENCH",'Catalogue Aluminium'!$N$12,"NA"))))</f>
        <v>NA</v>
      </c>
      <c r="AL276" s="586" t="str">
        <f>IF(T276="Air",(IF(U276="1C",'Catalogue Aluminium'!$O$9,'Catalogue Aluminium'!$P$9)),IF(T276="DUCT",(IF($U276="1C",'Catalogue Aluminium'!$O$10,'Catalogue Aluminium'!$P$10)),IF(T276="GROUND",(IF($U276="1C",'Catalogue Aluminium'!$O$11,'Catalogue Aluminium'!$P$11)),IF(T276="TRENCH",(IF($U276="1C",'Catalogue Aluminium'!$O$12,'Catalogue Aluminium'!$P$12))))))</f>
        <v>NA</v>
      </c>
      <c r="AM276" s="586" t="str">
        <f>IF(T276="AIR","NA",IF(T276="TRENCH","NA",IF(T276="DUCT",IF(U276="1C",VLOOKUP(V276,'Catalogue Aluminium'!$Q$9:$S$28,2,FALSE),VLOOKUP(V276,'Catalogue Aluminium'!$Q$9:$S$28,3)),IF(T276="GROUND",IF(U276="1C",VLOOKUP(V276,'Catalogue Aluminium'!$Q$9:$S$28,2,FALSE),VLOOKUP(V276,'Catalogue Aluminium'!$Q$9:$S$28,3))))))</f>
        <v>NA</v>
      </c>
      <c r="AN276" s="589">
        <f t="shared" ref="AN276" si="721">IF(T276="AIR",AI276*AJ276,IF(T276="TRENCH",AI276*AJ276,IF(T276="DUCT",AJ276*AK276*AL276*AM276,IF(T276="GROUND",AJ276*AK276*AL276*AM276))))</f>
        <v>0.58740000000000003</v>
      </c>
      <c r="AO276" s="584">
        <f t="shared" ref="AO276" si="722">Z276*AN276</f>
        <v>41.118000000000002</v>
      </c>
      <c r="AP276" s="582">
        <f t="shared" ref="AP276" si="723">CEILING(((N276)/AO276),1)</f>
        <v>1</v>
      </c>
      <c r="AQ276" s="584" t="str">
        <f t="shared" ref="AQ276" si="724">IF(AO276*AP276&gt;=N276,"YES","NO")</f>
        <v>YES</v>
      </c>
      <c r="AR276" s="589">
        <f t="shared" ref="AR276" si="725">SQRT(3)*AH276*N276*((AA276*L276)+(AB276*SIN(ACOS(L276))))*100/(AP276*K276*1000)</f>
        <v>2.3906312246736272</v>
      </c>
      <c r="AS276" s="583" t="str">
        <f t="shared" ref="AS276" si="726">IF(G276="INCOMER",(IF(AR276&lt;=2,"YES","NO")),IF(G276="POWER",(IF(AR276&lt;=2.5,"YES","NO")),IF(G276="MOTOR",(IF(AR276&lt;=3,"YES","NO")))))</f>
        <v>YES</v>
      </c>
      <c r="AT276" s="589">
        <f>IF(G276="MOTOR",(SQRT(3)*AH276*O276*((AA276*P276)+(AB276*SIN(ACOS(P276))))*100/(AP276*K276*1000)),"NA")</f>
        <v>3.8476270779150155</v>
      </c>
      <c r="AU276" s="583" t="str">
        <f>IF(G276="MOTOR",IF(AT276&lt;=15,"YES","NO"),"NA")</f>
        <v>YES</v>
      </c>
      <c r="AV276" s="590" t="str">
        <f>IF(U276="1C",CONCATENATE(AP276,"R x ",Y276,"kV x ",U276," x ",V276," Sqmm/Phase"),CONCATENATE(AP276,"R x ",0.6,"/1kV x ",U276," x ",V276," Sqmm"))</f>
        <v>1R x 0.6/1kV x 3C x 16 Sqmm</v>
      </c>
      <c r="AW276" s="590" t="str">
        <f>IF(U276="1C",CONCATENATE(AP276,"R x ",Y276,"kV x ",U276," x ",V276," Sqmm/Phase"),CONCATENATE(AP276,"R x ",0.6,"/1kV x ",U276," x ",V276,(IF(G276="MOTOR","+PE",""))," Sqmm"))</f>
        <v>1R x 0.6/1kV x 3C x 16+PE Sqmm</v>
      </c>
      <c r="AX276" s="583"/>
      <c r="AY276" s="591"/>
    </row>
    <row r="277" spans="1:51" s="70" customFormat="1">
      <c r="A277" s="273"/>
      <c r="B277" s="273"/>
      <c r="C277" s="273"/>
      <c r="D277" s="357" t="s">
        <v>571</v>
      </c>
      <c r="E277" s="358"/>
      <c r="F277" s="359"/>
      <c r="G277" s="273"/>
      <c r="H277" s="281"/>
      <c r="I277" s="273"/>
      <c r="J277" s="273"/>
      <c r="K277" s="280"/>
      <c r="L277" s="275"/>
      <c r="M277" s="281"/>
      <c r="N277" s="274"/>
      <c r="O277" s="274"/>
      <c r="P277" s="275"/>
      <c r="Q277" s="281"/>
      <c r="R277" s="281"/>
      <c r="S277" s="281"/>
      <c r="T277" s="275"/>
      <c r="U277" s="281"/>
      <c r="V277" s="275"/>
      <c r="W277" s="275"/>
      <c r="X277" s="275"/>
      <c r="Y277" s="275"/>
      <c r="Z277" s="276"/>
      <c r="AA277" s="277"/>
      <c r="AB277" s="277"/>
      <c r="AC277" s="277"/>
      <c r="AD277" s="277"/>
      <c r="AE277" s="277"/>
      <c r="AF277" s="277"/>
      <c r="AG277" s="277"/>
      <c r="AH277" s="277"/>
      <c r="AI277" s="276"/>
      <c r="AJ277" s="274"/>
      <c r="AK277" s="276"/>
      <c r="AL277" s="276"/>
      <c r="AM277" s="276"/>
      <c r="AN277" s="282"/>
      <c r="AO277" s="281"/>
      <c r="AP277" s="280"/>
      <c r="AQ277" s="281"/>
      <c r="AR277" s="282"/>
      <c r="AS277" s="275"/>
      <c r="AT277" s="282"/>
      <c r="AU277" s="282"/>
      <c r="AV277" s="283"/>
      <c r="AW277" s="283"/>
      <c r="AX277" s="275"/>
      <c r="AY277" s="284"/>
    </row>
    <row r="278" spans="1:51" ht="20.149999999999999" customHeight="1">
      <c r="A278" s="243">
        <f>1+A274</f>
        <v>178</v>
      </c>
      <c r="B278" s="373" t="s">
        <v>382</v>
      </c>
      <c r="C278" s="243" t="s">
        <v>491</v>
      </c>
      <c r="D278" s="272" t="s">
        <v>572</v>
      </c>
      <c r="E278" s="313" t="s">
        <v>316</v>
      </c>
      <c r="F278" s="364" t="s">
        <v>29</v>
      </c>
      <c r="G278" s="243" t="s">
        <v>311</v>
      </c>
      <c r="H278" s="256">
        <v>1</v>
      </c>
      <c r="I278" s="243" t="s">
        <v>299</v>
      </c>
      <c r="J278" s="243" t="s">
        <v>300</v>
      </c>
      <c r="K278" s="255">
        <v>400</v>
      </c>
      <c r="L278" s="249">
        <v>0.85</v>
      </c>
      <c r="M278" s="256">
        <v>0.95</v>
      </c>
      <c r="N278" s="248">
        <f t="shared" ref="N278" si="727">IF(I278="kVA",IF(J278="3Ph",(H278*1000/(1.732*M278*K278)),(H278*1000/(M278*K278))),IF(I278="kW",IF(J278="3Ph",(H278*1000/(1.732*M278*K278*L278)),(H278*1000/(M278*K278*L278)))))</f>
        <v>1.7875145682437314</v>
      </c>
      <c r="O278" s="248">
        <f t="shared" ref="O278" si="728">IF(G278="MOTOR",(6*N278),IF(G278="VFD",(1*N278),0))</f>
        <v>10.72508740946239</v>
      </c>
      <c r="P278" s="249">
        <f t="shared" ref="P278" si="729">IF(G278="MOTOR",0.2,"0.00")</f>
        <v>0.2</v>
      </c>
      <c r="Q278" s="256">
        <v>65</v>
      </c>
      <c r="R278" s="256">
        <v>0</v>
      </c>
      <c r="S278" s="256">
        <f t="shared" ref="S278" si="730">(Q278*1000*SQRT(R278)/143)</f>
        <v>0</v>
      </c>
      <c r="T278" s="249" t="s">
        <v>301</v>
      </c>
      <c r="U278" s="256" t="s">
        <v>302</v>
      </c>
      <c r="V278" s="249">
        <v>4</v>
      </c>
      <c r="W278" s="249" t="str">
        <f t="shared" ref="W278" si="731">CONCATENATE(U278," X ",V278)</f>
        <v>3C X 4</v>
      </c>
      <c r="X278" s="249" t="str">
        <f t="shared" ref="X278" si="732">(IF(J278="1Ph",W278,IF(J278="3Ph",(IF(G278="MOTOR",(CONCATENATE(W278,"+PE")),W278)))))</f>
        <v>3C X 4+PE</v>
      </c>
      <c r="Y278" s="249" t="s">
        <v>314</v>
      </c>
      <c r="Z278" s="250">
        <f>IF(T278="AIR",VLOOKUP(W278,'Catalogue Aluminium'!$B$9:$G$91,2,FALSE),IF(T278="GROUND",VLOOKUP(W278,'Catalogue Aluminium'!$B$9:$G$91,3,FALSE),IF(T278="DUCT",VLOOKUP(W278,'Catalogue Aluminium'!$B$9:$G$91,4,FALSE),IF(T278="TRENCH",VLOOKUP(W278,'Catalogue Aluminium'!$B$9:$G$91,2,FALSE)))))</f>
        <v>38</v>
      </c>
      <c r="AA278" s="251">
        <f>VLOOKUP(W278,'Catalogue Aluminium'!$B$9:$G$91,5,FALSE)</f>
        <v>5.9</v>
      </c>
      <c r="AB278" s="251">
        <f>VLOOKUP(W278,'Catalogue Aluminium'!$B$9:$G$91,6,FALSE)</f>
        <v>9.4700000000000006E-2</v>
      </c>
      <c r="AC278" s="323">
        <f t="shared" ref="AC278" si="733">32+6</f>
        <v>38</v>
      </c>
      <c r="AD278" s="294">
        <f>40+30+28+29+58+5</f>
        <v>190</v>
      </c>
      <c r="AE278" s="294">
        <f t="shared" si="669"/>
        <v>38</v>
      </c>
      <c r="AF278" s="294">
        <v>8</v>
      </c>
      <c r="AG278" s="294">
        <f t="shared" ref="AG278" si="734">ROUNDUP((SUM(AC278:AF278)*0.1),0)</f>
        <v>28</v>
      </c>
      <c r="AH278" s="253">
        <f t="shared" ref="AH278" si="735">SUM(AC278:AG278)</f>
        <v>302</v>
      </c>
      <c r="AI278" s="250">
        <f>IF(T278="AIR",'Catalogue Aluminium'!$K$9,IF(T278="TRENCH",'Catalogue Aluminium'!$K$12,"NA"))</f>
        <v>0.89</v>
      </c>
      <c r="AJ278" s="248">
        <f>IF(T278="Air",(IF(U278="1C",'Catalogue Aluminium'!$L$9,'Catalogue Aluminium'!$M$9)),IF(T278="DUCT",(IF($U278="1C",'Catalogue Aluminium'!$L$10,'Catalogue Aluminium'!$M$10)),IF(T278="GROUND",(IF($U278="1C",'Catalogue Aluminium'!$L$11,'Catalogue Aluminium'!$M$11)),IF(T278="TRENCH",(IF($U278="1C",'Catalogue Aluminium'!$L$12,'Catalogue Aluminium'!$M$12))))))</f>
        <v>0.66</v>
      </c>
      <c r="AK278" s="250" t="str">
        <f>IF(T278="Air",'Catalogue Aluminium'!$N$9,IF(T278="GROUND",'Catalogue Aluminium'!$N$10,IF(T278="DUCT",'Catalogue Aluminium'!$N$11,IF(T278="TRENCH",'Catalogue Aluminium'!$N$12,"NA"))))</f>
        <v>NA</v>
      </c>
      <c r="AL278" s="250" t="str">
        <f>IF(T278="Air",(IF(U278="1C",'Catalogue Aluminium'!$O$9,'Catalogue Aluminium'!$P$9)),IF(T278="DUCT",(IF($U278="1C",'Catalogue Aluminium'!$O$10,'Catalogue Aluminium'!$P$10)),IF(T278="GROUND",(IF($U278="1C",'Catalogue Aluminium'!$O$11,'Catalogue Aluminium'!$P$11)),IF(T278="TRENCH",(IF($U278="1C",'Catalogue Aluminium'!$O$12,'Catalogue Aluminium'!$P$12))))))</f>
        <v>NA</v>
      </c>
      <c r="AM278" s="250" t="str">
        <f>IF(T278="AIR","NA",IF(T278="TRENCH","NA",IF(T278="DUCT",IF(U278="1C",VLOOKUP(V278,'Catalogue Aluminium'!$Q$9:$S$28,2,FALSE),VLOOKUP(V278,'Catalogue Aluminium'!$Q$9:$S$28,3)),IF(T278="GROUND",IF(U278="1C",VLOOKUP(V278,'Catalogue Aluminium'!$Q$9:$S$28,2,FALSE),VLOOKUP(V278,'Catalogue Aluminium'!$Q$9:$S$28,3))))))</f>
        <v>NA</v>
      </c>
      <c r="AN278" s="257">
        <f t="shared" ref="AN278" si="736">IF(T278="AIR",AI278*AJ278,IF(T278="TRENCH",AI278*AJ278,IF(T278="DUCT",AJ278*AK278*AL278*AM278,IF(T278="GROUND",AJ278*AK278*AL278*AM278))))</f>
        <v>0.58740000000000003</v>
      </c>
      <c r="AO278" s="256">
        <f t="shared" ref="AO278" si="737">Z278*AN278</f>
        <v>22.321200000000001</v>
      </c>
      <c r="AP278" s="255">
        <f t="shared" ref="AP278" si="738">CEILING(((N278)/AO278),1)</f>
        <v>1</v>
      </c>
      <c r="AQ278" s="256" t="str">
        <f t="shared" ref="AQ278" si="739">IF(AO278*AP278&gt;=N278,"YES","NO")</f>
        <v>YES</v>
      </c>
      <c r="AR278" s="257">
        <f t="shared" ref="AR278" si="740">SQRT(3)*AH278*N278*((AA278*L278)+(AB278*SIN(ACOS(L278))))*100/(AP278*K278*1000)</f>
        <v>1.1839323056585755</v>
      </c>
      <c r="AS278" s="249" t="str">
        <f t="shared" ref="AS278" si="741">IF(G278="INCOMER",(IF(AR278&lt;=2,"YES","NO")),IF(G278="POWER",(IF(AR278&lt;=2.5,"YES","NO")),IF(G278="MOTOR",(IF(AR278&lt;=3,"YES","NO")))))</f>
        <v>YES</v>
      </c>
      <c r="AT278" s="257">
        <f>IF(G278="MOTOR",(SQRT(3)*AH278*O278*((AA278*P278)+(AB278*SIN(ACOS(P278))))*100/(AP278*K278*1000)),"NA")</f>
        <v>1.7851061167286113</v>
      </c>
      <c r="AU278" s="249" t="str">
        <f>IF(G278="MOTOR",IF(AT278&lt;=15,"YES","NO"),"NA")</f>
        <v>YES</v>
      </c>
      <c r="AV278" s="260" t="str">
        <f>IF(U278="1C",CONCATENATE(AP278,"R x ",Y278,"kV x ",U278," x ",V278," Sqmm/Phase"),CONCATENATE(AP278,"R x ",0.6,"/1kV x ",U278," x ",V278," Sqmm"))</f>
        <v>1R x 0.6/1kV x 3C x 4 Sqmm</v>
      </c>
      <c r="AW278" s="260" t="str">
        <f>IF(U278="1C",CONCATENATE(AP278,"R x ",Y278,"kV x ",U278," x ",V278," Sqmm/Phase"),CONCATENATE(AP278,"R x ",0.6,"/1kV x ",U278," x ",V278,(IF(G278="MOTOR","+PE",""))," Sqmm"))</f>
        <v>1R x 0.6/1kV x 3C x 4+PE Sqmm</v>
      </c>
      <c r="AX278" s="249">
        <f>(IF(K278=400,(IF(U278="1C",(4*AH278*AP278),(AH278*AP278))),IF(K278=230,(AH278*AP278))))</f>
        <v>302</v>
      </c>
      <c r="AY278" s="261"/>
    </row>
    <row r="279" spans="1:51" s="70" customFormat="1">
      <c r="A279" s="273"/>
      <c r="B279" s="273"/>
      <c r="C279" s="273"/>
      <c r="D279" s="357"/>
      <c r="E279" s="358"/>
      <c r="F279" s="359"/>
      <c r="G279" s="273"/>
      <c r="H279" s="281"/>
      <c r="I279" s="273"/>
      <c r="J279" s="273"/>
      <c r="K279" s="280"/>
      <c r="L279" s="275"/>
      <c r="M279" s="281"/>
      <c r="N279" s="274"/>
      <c r="O279" s="274"/>
      <c r="P279" s="275"/>
      <c r="Q279" s="281"/>
      <c r="R279" s="281"/>
      <c r="S279" s="281"/>
      <c r="T279" s="275"/>
      <c r="U279" s="281"/>
      <c r="V279" s="275"/>
      <c r="W279" s="275"/>
      <c r="X279" s="275"/>
      <c r="Y279" s="275"/>
      <c r="Z279" s="276"/>
      <c r="AA279" s="277"/>
      <c r="AB279" s="277"/>
      <c r="AC279" s="277"/>
      <c r="AD279" s="277"/>
      <c r="AE279" s="277"/>
      <c r="AF279" s="277"/>
      <c r="AG279" s="277"/>
      <c r="AH279" s="277"/>
      <c r="AI279" s="276"/>
      <c r="AJ279" s="274"/>
      <c r="AK279" s="276"/>
      <c r="AL279" s="276"/>
      <c r="AM279" s="276"/>
      <c r="AN279" s="282"/>
      <c r="AO279" s="281"/>
      <c r="AP279" s="280"/>
      <c r="AQ279" s="281"/>
      <c r="AR279" s="282"/>
      <c r="AS279" s="275"/>
      <c r="AT279" s="282"/>
      <c r="AU279" s="282"/>
      <c r="AV279" s="283"/>
      <c r="AW279" s="283"/>
      <c r="AX279" s="275"/>
      <c r="AY279" s="284"/>
    </row>
    <row r="280" spans="1:51" ht="25">
      <c r="A280" s="243">
        <f>1+A278</f>
        <v>179</v>
      </c>
      <c r="B280" s="373" t="s">
        <v>573</v>
      </c>
      <c r="C280" s="243" t="str">
        <f t="shared" ref="C280:C288" si="742">$D$164</f>
        <v>EPMCC-1</v>
      </c>
      <c r="D280" s="272" t="s">
        <v>574</v>
      </c>
      <c r="E280" s="362" t="s">
        <v>463</v>
      </c>
      <c r="F280" s="364" t="s">
        <v>28</v>
      </c>
      <c r="G280" s="271" t="s">
        <v>298</v>
      </c>
      <c r="H280" s="256">
        <v>212.5</v>
      </c>
      <c r="I280" s="243" t="s">
        <v>299</v>
      </c>
      <c r="J280" s="243" t="s">
        <v>300</v>
      </c>
      <c r="K280" s="255">
        <v>400</v>
      </c>
      <c r="L280" s="249">
        <v>0.85</v>
      </c>
      <c r="M280" s="256">
        <v>0.95</v>
      </c>
      <c r="N280" s="248">
        <f t="shared" ref="N280:N292" si="743">IF(I280="kVA",IF(J280="3Ph",(H280*1000/(1.732*M280*K280)),(H280*1000/(M280*K280))),IF(I280="kW",IF(J280="3Ph",(H280*1000/(1.732*M280*K280*L280)),(H280*1000/(M280*K280*L280)))))</f>
        <v>379.84684575179296</v>
      </c>
      <c r="O280" s="248">
        <f t="shared" ref="O280:O289" si="744">IF(G280="MOTOR",(6*N280),IF(G280="VFD",(1*N280),0))</f>
        <v>0</v>
      </c>
      <c r="P280" s="249" t="str">
        <f t="shared" ref="P280:P289" si="745">IF(G280="MOTOR",0.2,"0.00")</f>
        <v>0.00</v>
      </c>
      <c r="Q280" s="256">
        <v>50</v>
      </c>
      <c r="R280" s="256">
        <v>0</v>
      </c>
      <c r="S280" s="256">
        <f t="shared" ref="S280:S289" si="746">(Q280*1000*SQRT(R280)/143)</f>
        <v>0</v>
      </c>
      <c r="T280" s="249" t="s">
        <v>131</v>
      </c>
      <c r="U280" s="256" t="s">
        <v>390</v>
      </c>
      <c r="V280" s="249">
        <v>150</v>
      </c>
      <c r="W280" s="249" t="str">
        <f t="shared" ref="W280:W289" si="747">CONCATENATE(U280," X ",V280)</f>
        <v>3.5C X 150</v>
      </c>
      <c r="X280" s="249" t="str">
        <f t="shared" ref="X280:X289" si="748">(IF(J280="1Ph",W280,IF(J280="3Ph",(IF(G280="MOTOR",(CONCATENATE(W280,"+PE")),W280)))))</f>
        <v>3.5C X 150</v>
      </c>
      <c r="Y280" s="249" t="s">
        <v>314</v>
      </c>
      <c r="Z280" s="250">
        <f>IF(T280="AIR",VLOOKUP(W280,'Catalogue Aluminium'!$B$9:$G$91,2,FALSE),IF(T280="GROUND",VLOOKUP(W280,'Catalogue Aluminium'!$B$9:$G$91,3,FALSE),IF(T280="DUCT",VLOOKUP(W280,'Catalogue Aluminium'!$B$9:$G$91,4,FALSE),IF(T280="TRENCH",VLOOKUP(W280,'Catalogue Aluminium'!$B$9:$G$91,2,FALSE)))))</f>
        <v>293</v>
      </c>
      <c r="AA280" s="251">
        <f>VLOOKUP(W280,'Catalogue Aluminium'!$B$9:$G$91,5,FALSE)</f>
        <v>0.26400000000000001</v>
      </c>
      <c r="AB280" s="251">
        <f>VLOOKUP(W280,'Catalogue Aluminium'!$B$9:$G$91,6,FALSE)</f>
        <v>7.3200000000000001E-2</v>
      </c>
      <c r="AC280" s="323">
        <f t="shared" ref="AC280" si="749">32+6</f>
        <v>38</v>
      </c>
      <c r="AD280" s="323">
        <v>20</v>
      </c>
      <c r="AE280" s="294">
        <v>6</v>
      </c>
      <c r="AF280" s="294">
        <v>8</v>
      </c>
      <c r="AG280" s="294">
        <f t="shared" ref="AG280:AG289" si="750">ROUNDUP((SUM(AC280:AF280)*0.1),0)</f>
        <v>8</v>
      </c>
      <c r="AH280" s="253">
        <f t="shared" ref="AH280:AH289" si="751">SUM(AC280:AG280)</f>
        <v>80</v>
      </c>
      <c r="AI280" s="250">
        <f>IF(T280="AIR",'Catalogue Aluminium'!$K$9,IF(T280="TRENCH",'Catalogue Aluminium'!$K$12,"NA"))</f>
        <v>0.89</v>
      </c>
      <c r="AJ280" s="248">
        <f>IF(T280="Air",(IF(U280="1C",'Catalogue Aluminium'!$L$9,'Catalogue Aluminium'!$M$9)),IF(T280="DUCT",(IF($U280="1C",'Catalogue Aluminium'!$L$10,'Catalogue Aluminium'!$M$10)),IF(T280="GROUND",(IF($U280="1C",'Catalogue Aluminium'!$L$11,'Catalogue Aluminium'!$M$11)),IF(T280="TRENCH",(IF($U280="1C",'Catalogue Aluminium'!$L$12,'Catalogue Aluminium'!$M$12))))))</f>
        <v>0.66</v>
      </c>
      <c r="AK280" s="250" t="str">
        <f>IF(T280="Air",'Catalogue Aluminium'!$N$9,IF(T280="GROUND",'Catalogue Aluminium'!$N$10,IF(T280="DUCT",'Catalogue Aluminium'!$N$11,IF(T280="TRENCH",'Catalogue Aluminium'!$N$12,"NA"))))</f>
        <v>NA</v>
      </c>
      <c r="AL280" s="250" t="str">
        <f>IF(T280="Air",(IF(U280="1C",'Catalogue Aluminium'!$O$9,'Catalogue Aluminium'!$P$9)),IF(T280="DUCT",(IF($U280="1C",'Catalogue Aluminium'!$O$10,'Catalogue Aluminium'!$P$10)),IF(T280="GROUND",(IF($U280="1C",'Catalogue Aluminium'!$O$11,'Catalogue Aluminium'!$P$11)),IF(T280="TRENCH",(IF($U280="1C",'Catalogue Aluminium'!$O$12,'Catalogue Aluminium'!$P$12))))))</f>
        <v>NA</v>
      </c>
      <c r="AM280" s="250" t="str">
        <f>IF(T280="AIR","NA",IF(T280="TRENCH","NA",IF(T280="DUCT",IF(U280="1C",VLOOKUP(V280,'Catalogue Aluminium'!$Q$9:$S$28,2,FALSE),VLOOKUP(V280,'Catalogue Aluminium'!$Q$9:$S$28,3)),IF(T280="GROUND",IF(U280="1C",VLOOKUP(V280,'Catalogue Aluminium'!$Q$9:$S$28,2,FALSE),VLOOKUP(V280,'Catalogue Aluminium'!$Q$9:$S$28,3))))))</f>
        <v>NA</v>
      </c>
      <c r="AN280" s="257">
        <f t="shared" ref="AN280:AN289" si="752">IF(T280="AIR",AI280*AJ280,IF(T280="TRENCH",AI280*AJ280,IF(T280="DUCT",AJ280*AK280*AL280*AM280,IF(T280="GROUND",AJ280*AK280*AL280*AM280))))</f>
        <v>0.58740000000000003</v>
      </c>
      <c r="AO280" s="256">
        <f t="shared" ref="AO280:AO289" si="753">Z280*AN280</f>
        <v>172.10820000000001</v>
      </c>
      <c r="AP280" s="255">
        <f t="shared" si="655"/>
        <v>3</v>
      </c>
      <c r="AQ280" s="256" t="str">
        <f t="shared" ref="AQ280:AQ289" si="754">IF(AO280*AP280&gt;=N280,"YES","NO")</f>
        <v>YES</v>
      </c>
      <c r="AR280" s="257">
        <f t="shared" ref="AR280:AR289" si="755">SQRT(3)*AH280*N280*((AA280*L280)+(AB280*SIN(ACOS(L280))))*100/(AP280*K280*1000)</f>
        <v>1.1533693271168373</v>
      </c>
      <c r="AS280" s="249" t="str">
        <f t="shared" ref="AS280:AS289" si="756">IF(G280="INCOMER",(IF(AR280&lt;=2,"YES","NO")),IF(G280="POWER",(IF(AR280&lt;=2.5,"YES","NO")),IF(G280="MOTOR",(IF(AR280&lt;=3,"YES","NO")))))</f>
        <v>YES</v>
      </c>
      <c r="AT280" s="257" t="str">
        <f t="shared" ref="AT280:AT289" si="757">IF(G280="MOTOR",(SQRT(3)*AH280*O280*((AA280*P280)+(AB280*SIN(ACOS(P280))))*100/(AP280*K280*1000)),"NA")</f>
        <v>NA</v>
      </c>
      <c r="AU280" s="249" t="str">
        <f t="shared" ref="AU280:AU289" si="758">IF(G280="MOTOR",IF(AT280&lt;=15,"YES","NO"),"NA")</f>
        <v>NA</v>
      </c>
      <c r="AV280" s="260" t="str">
        <f t="shared" ref="AV280:AV289" si="759">IF(U280="1C",CONCATENATE(AP280,"R x ",Y280,"kV x ",U280," x ",V280," Sqmm/Phase"),CONCATENATE(AP280,"R x ",0.6,"/1kV x ",U280," x ",V280," Sqmm"))</f>
        <v>3R x 0.6/1kV x 3.5C x 150 Sqmm</v>
      </c>
      <c r="AW280" s="260" t="str">
        <f t="shared" ref="AW280:AW289" si="760">IF(U280="1C",CONCATENATE(AP280,"R x ",Y280,"kV x ",U280," x ",V280," Sqmm/Phase"),CONCATENATE(AP280,"R x ",0.6,"/1kV x ",U280," x ",V280,(IF(G280="MOTOR","+PE",""))," Sqmm"))</f>
        <v>3R x 0.6/1kV x 3.5C x 150 Sqmm</v>
      </c>
      <c r="AX280" s="249">
        <f t="shared" ref="AX280:AX289" si="761">(IF(K280=400,(IF(U280="1C",(4*AH280*AP280),(AH280*AP280))),IF(K280=230,(AH280*AP280))))</f>
        <v>240</v>
      </c>
      <c r="AY280" s="261"/>
    </row>
    <row r="281" spans="1:51" ht="25">
      <c r="A281" s="243">
        <f t="shared" ref="A281:A292" si="762">1+A280</f>
        <v>180</v>
      </c>
      <c r="B281" s="373" t="s">
        <v>573</v>
      </c>
      <c r="C281" s="243" t="str">
        <f t="shared" si="742"/>
        <v>EPMCC-1</v>
      </c>
      <c r="D281" s="272" t="s">
        <v>575</v>
      </c>
      <c r="E281" s="362" t="s">
        <v>463</v>
      </c>
      <c r="F281" s="364" t="s">
        <v>29</v>
      </c>
      <c r="G281" s="271" t="s">
        <v>298</v>
      </c>
      <c r="H281" s="256">
        <v>212.5</v>
      </c>
      <c r="I281" s="243" t="s">
        <v>299</v>
      </c>
      <c r="J281" s="243" t="s">
        <v>300</v>
      </c>
      <c r="K281" s="255">
        <v>400</v>
      </c>
      <c r="L281" s="249">
        <v>0.85</v>
      </c>
      <c r="M281" s="256">
        <v>0.95</v>
      </c>
      <c r="N281" s="248">
        <f t="shared" si="743"/>
        <v>379.84684575179296</v>
      </c>
      <c r="O281" s="248">
        <f t="shared" si="744"/>
        <v>0</v>
      </c>
      <c r="P281" s="249" t="str">
        <f t="shared" si="745"/>
        <v>0.00</v>
      </c>
      <c r="Q281" s="256">
        <v>50</v>
      </c>
      <c r="R281" s="256">
        <v>0</v>
      </c>
      <c r="S281" s="256">
        <f t="shared" si="746"/>
        <v>0</v>
      </c>
      <c r="T281" s="249" t="s">
        <v>131</v>
      </c>
      <c r="U281" s="256" t="s">
        <v>390</v>
      </c>
      <c r="V281" s="249">
        <v>150</v>
      </c>
      <c r="W281" s="249" t="str">
        <f t="shared" si="747"/>
        <v>3.5C X 150</v>
      </c>
      <c r="X281" s="249" t="str">
        <f t="shared" si="748"/>
        <v>3.5C X 150</v>
      </c>
      <c r="Y281" s="249" t="s">
        <v>314</v>
      </c>
      <c r="Z281" s="250">
        <f>IF(T281="AIR",VLOOKUP(W281,'Catalogue Aluminium'!$B$9:$G$91,2,FALSE),IF(T281="GROUND",VLOOKUP(W281,'Catalogue Aluminium'!$B$9:$G$91,3,FALSE),IF(T281="DUCT",VLOOKUP(W281,'Catalogue Aluminium'!$B$9:$G$91,4,FALSE),IF(T281="TRENCH",VLOOKUP(W281,'Catalogue Aluminium'!$B$9:$G$91,2,FALSE)))))</f>
        <v>293</v>
      </c>
      <c r="AA281" s="251">
        <f>VLOOKUP(W281,'Catalogue Aluminium'!$B$9:$G$91,5,FALSE)</f>
        <v>0.26400000000000001</v>
      </c>
      <c r="AB281" s="251">
        <f>VLOOKUP(W281,'Catalogue Aluminium'!$B$9:$G$91,6,FALSE)</f>
        <v>7.3200000000000001E-2</v>
      </c>
      <c r="AC281" s="323">
        <f>24+6</f>
        <v>30</v>
      </c>
      <c r="AD281" s="323">
        <v>20</v>
      </c>
      <c r="AE281" s="294">
        <v>6</v>
      </c>
      <c r="AF281" s="294">
        <v>8</v>
      </c>
      <c r="AG281" s="294">
        <f t="shared" si="750"/>
        <v>7</v>
      </c>
      <c r="AH281" s="253">
        <f t="shared" si="751"/>
        <v>71</v>
      </c>
      <c r="AI281" s="250">
        <f>IF(T281="AIR",'Catalogue Aluminium'!$K$9,IF(T281="TRENCH",'Catalogue Aluminium'!$K$12,"NA"))</f>
        <v>0.89</v>
      </c>
      <c r="AJ281" s="248">
        <f>IF(T281="Air",(IF(U281="1C",'Catalogue Aluminium'!$L$9,'Catalogue Aluminium'!$M$9)),IF(T281="DUCT",(IF($U281="1C",'Catalogue Aluminium'!$L$10,'Catalogue Aluminium'!$M$10)),IF(T281="GROUND",(IF($U281="1C",'Catalogue Aluminium'!$L$11,'Catalogue Aluminium'!$M$11)),IF(T281="TRENCH",(IF($U281="1C",'Catalogue Aluminium'!$L$12,'Catalogue Aluminium'!$M$12))))))</f>
        <v>0.66</v>
      </c>
      <c r="AK281" s="250" t="str">
        <f>IF(T281="Air",'Catalogue Aluminium'!$N$9,IF(T281="GROUND",'Catalogue Aluminium'!$N$10,IF(T281="DUCT",'Catalogue Aluminium'!$N$11,IF(T281="TRENCH",'Catalogue Aluminium'!$N$12,"NA"))))</f>
        <v>NA</v>
      </c>
      <c r="AL281" s="250" t="str">
        <f>IF(T281="Air",(IF(U281="1C",'Catalogue Aluminium'!$O$9,'Catalogue Aluminium'!$P$9)),IF(T281="DUCT",(IF($U281="1C",'Catalogue Aluminium'!$O$10,'Catalogue Aluminium'!$P$10)),IF(T281="GROUND",(IF($U281="1C",'Catalogue Aluminium'!$O$11,'Catalogue Aluminium'!$P$11)),IF(T281="TRENCH",(IF($U281="1C",'Catalogue Aluminium'!$O$12,'Catalogue Aluminium'!$P$12))))))</f>
        <v>NA</v>
      </c>
      <c r="AM281" s="250" t="str">
        <f>IF(T281="AIR","NA",IF(T281="TRENCH","NA",IF(T281="DUCT",IF(U281="1C",VLOOKUP(V281,'Catalogue Aluminium'!$Q$9:$S$28,2,FALSE),VLOOKUP(V281,'Catalogue Aluminium'!$Q$9:$S$28,3)),IF(T281="GROUND",IF(U281="1C",VLOOKUP(V281,'Catalogue Aluminium'!$Q$9:$S$28,2,FALSE),VLOOKUP(V281,'Catalogue Aluminium'!$Q$9:$S$28,3))))))</f>
        <v>NA</v>
      </c>
      <c r="AN281" s="257">
        <f t="shared" si="752"/>
        <v>0.58740000000000003</v>
      </c>
      <c r="AO281" s="256">
        <f t="shared" si="753"/>
        <v>172.10820000000001</v>
      </c>
      <c r="AP281" s="255">
        <f t="shared" si="655"/>
        <v>3</v>
      </c>
      <c r="AQ281" s="256" t="str">
        <f t="shared" si="754"/>
        <v>YES</v>
      </c>
      <c r="AR281" s="257">
        <f t="shared" si="755"/>
        <v>1.0236152778161933</v>
      </c>
      <c r="AS281" s="249" t="str">
        <f t="shared" si="756"/>
        <v>YES</v>
      </c>
      <c r="AT281" s="257" t="str">
        <f t="shared" si="757"/>
        <v>NA</v>
      </c>
      <c r="AU281" s="249" t="str">
        <f t="shared" si="758"/>
        <v>NA</v>
      </c>
      <c r="AV281" s="260" t="str">
        <f t="shared" si="759"/>
        <v>3R x 0.6/1kV x 3.5C x 150 Sqmm</v>
      </c>
      <c r="AW281" s="260" t="str">
        <f t="shared" si="760"/>
        <v>3R x 0.6/1kV x 3.5C x 150 Sqmm</v>
      </c>
      <c r="AX281" s="249">
        <f t="shared" si="761"/>
        <v>213</v>
      </c>
      <c r="AY281" s="261"/>
    </row>
    <row r="282" spans="1:51" ht="25">
      <c r="A282" s="243">
        <f t="shared" si="762"/>
        <v>181</v>
      </c>
      <c r="B282" s="373" t="s">
        <v>573</v>
      </c>
      <c r="C282" s="243" t="str">
        <f t="shared" si="742"/>
        <v>EPMCC-1</v>
      </c>
      <c r="D282" s="272" t="s">
        <v>576</v>
      </c>
      <c r="E282" s="362" t="s">
        <v>463</v>
      </c>
      <c r="F282" s="364" t="s">
        <v>29</v>
      </c>
      <c r="G282" s="271" t="s">
        <v>298</v>
      </c>
      <c r="H282" s="256">
        <v>212.5</v>
      </c>
      <c r="I282" s="243" t="s">
        <v>299</v>
      </c>
      <c r="J282" s="243" t="s">
        <v>300</v>
      </c>
      <c r="K282" s="255">
        <v>400</v>
      </c>
      <c r="L282" s="249">
        <v>0.85</v>
      </c>
      <c r="M282" s="256">
        <v>0.95</v>
      </c>
      <c r="N282" s="248">
        <f t="shared" si="743"/>
        <v>379.84684575179296</v>
      </c>
      <c r="O282" s="248">
        <f t="shared" si="744"/>
        <v>0</v>
      </c>
      <c r="P282" s="249" t="str">
        <f t="shared" si="745"/>
        <v>0.00</v>
      </c>
      <c r="Q282" s="256">
        <v>50</v>
      </c>
      <c r="R282" s="256">
        <v>0</v>
      </c>
      <c r="S282" s="256">
        <f t="shared" si="746"/>
        <v>0</v>
      </c>
      <c r="T282" s="249" t="s">
        <v>131</v>
      </c>
      <c r="U282" s="256" t="s">
        <v>390</v>
      </c>
      <c r="V282" s="249">
        <v>150</v>
      </c>
      <c r="W282" s="249" t="str">
        <f t="shared" si="747"/>
        <v>3.5C X 150</v>
      </c>
      <c r="X282" s="249" t="str">
        <f t="shared" si="748"/>
        <v>3.5C X 150</v>
      </c>
      <c r="Y282" s="249" t="s">
        <v>314</v>
      </c>
      <c r="Z282" s="250">
        <f>IF(T282="AIR",VLOOKUP(W282,'Catalogue Aluminium'!$B$9:$G$91,2,FALSE),IF(T282="GROUND",VLOOKUP(W282,'Catalogue Aluminium'!$B$9:$G$91,3,FALSE),IF(T282="DUCT",VLOOKUP(W282,'Catalogue Aluminium'!$B$9:$G$91,4,FALSE),IF(T282="TRENCH",VLOOKUP(W282,'Catalogue Aluminium'!$B$9:$G$91,2,FALSE)))))</f>
        <v>293</v>
      </c>
      <c r="AA282" s="251">
        <f>VLOOKUP(W282,'Catalogue Aluminium'!$B$9:$G$91,5,FALSE)</f>
        <v>0.26400000000000001</v>
      </c>
      <c r="AB282" s="251">
        <f>VLOOKUP(W282,'Catalogue Aluminium'!$B$9:$G$91,6,FALSE)</f>
        <v>7.3200000000000001E-2</v>
      </c>
      <c r="AC282" s="323">
        <f>24+6</f>
        <v>30</v>
      </c>
      <c r="AD282" s="323">
        <v>20</v>
      </c>
      <c r="AE282" s="294">
        <v>6</v>
      </c>
      <c r="AF282" s="294">
        <v>8</v>
      </c>
      <c r="AG282" s="294">
        <f t="shared" si="750"/>
        <v>7</v>
      </c>
      <c r="AH282" s="253">
        <f t="shared" si="751"/>
        <v>71</v>
      </c>
      <c r="AI282" s="250">
        <f>IF(T282="AIR",'Catalogue Aluminium'!$K$9,IF(T282="TRENCH",'Catalogue Aluminium'!$K$12,"NA"))</f>
        <v>0.89</v>
      </c>
      <c r="AJ282" s="248">
        <f>IF(T282="Air",(IF(U282="1C",'Catalogue Aluminium'!$L$9,'Catalogue Aluminium'!$M$9)),IF(T282="DUCT",(IF($U282="1C",'Catalogue Aluminium'!$L$10,'Catalogue Aluminium'!$M$10)),IF(T282="GROUND",(IF($U282="1C",'Catalogue Aluminium'!$L$11,'Catalogue Aluminium'!$M$11)),IF(T282="TRENCH",(IF($U282="1C",'Catalogue Aluminium'!$L$12,'Catalogue Aluminium'!$M$12))))))</f>
        <v>0.66</v>
      </c>
      <c r="AK282" s="250" t="str">
        <f>IF(T282="Air",'Catalogue Aluminium'!$N$9,IF(T282="GROUND",'Catalogue Aluminium'!$N$10,IF(T282="DUCT",'Catalogue Aluminium'!$N$11,IF(T282="TRENCH",'Catalogue Aluminium'!$N$12,"NA"))))</f>
        <v>NA</v>
      </c>
      <c r="AL282" s="250" t="str">
        <f>IF(T282="Air",(IF(U282="1C",'Catalogue Aluminium'!$O$9,'Catalogue Aluminium'!$P$9)),IF(T282="DUCT",(IF($U282="1C",'Catalogue Aluminium'!$O$10,'Catalogue Aluminium'!$P$10)),IF(T282="GROUND",(IF($U282="1C",'Catalogue Aluminium'!$O$11,'Catalogue Aluminium'!$P$11)),IF(T282="TRENCH",(IF($U282="1C",'Catalogue Aluminium'!$O$12,'Catalogue Aluminium'!$P$12))))))</f>
        <v>NA</v>
      </c>
      <c r="AM282" s="250" t="str">
        <f>IF(T282="AIR","NA",IF(T282="TRENCH","NA",IF(T282="DUCT",IF(U282="1C",VLOOKUP(V282,'Catalogue Aluminium'!$Q$9:$S$28,2,FALSE),VLOOKUP(V282,'Catalogue Aluminium'!$Q$9:$S$28,3)),IF(T282="GROUND",IF(U282="1C",VLOOKUP(V282,'Catalogue Aluminium'!$Q$9:$S$28,2,FALSE),VLOOKUP(V282,'Catalogue Aluminium'!$Q$9:$S$28,3))))))</f>
        <v>NA</v>
      </c>
      <c r="AN282" s="257">
        <f t="shared" si="752"/>
        <v>0.58740000000000003</v>
      </c>
      <c r="AO282" s="256">
        <f t="shared" si="753"/>
        <v>172.10820000000001</v>
      </c>
      <c r="AP282" s="255">
        <f t="shared" si="655"/>
        <v>3</v>
      </c>
      <c r="AQ282" s="256" t="str">
        <f t="shared" si="754"/>
        <v>YES</v>
      </c>
      <c r="AR282" s="257">
        <f t="shared" si="755"/>
        <v>1.0236152778161933</v>
      </c>
      <c r="AS282" s="249" t="str">
        <f t="shared" si="756"/>
        <v>YES</v>
      </c>
      <c r="AT282" s="257" t="str">
        <f t="shared" si="757"/>
        <v>NA</v>
      </c>
      <c r="AU282" s="249" t="str">
        <f t="shared" si="758"/>
        <v>NA</v>
      </c>
      <c r="AV282" s="260" t="str">
        <f t="shared" si="759"/>
        <v>3R x 0.6/1kV x 3.5C x 150 Sqmm</v>
      </c>
      <c r="AW282" s="260" t="str">
        <f t="shared" si="760"/>
        <v>3R x 0.6/1kV x 3.5C x 150 Sqmm</v>
      </c>
      <c r="AX282" s="249">
        <f t="shared" si="761"/>
        <v>213</v>
      </c>
      <c r="AY282" s="261"/>
    </row>
    <row r="283" spans="1:51" ht="25">
      <c r="A283" s="243">
        <f t="shared" si="762"/>
        <v>182</v>
      </c>
      <c r="B283" s="373" t="s">
        <v>577</v>
      </c>
      <c r="C283" s="243" t="str">
        <f t="shared" si="742"/>
        <v>EPMCC-1</v>
      </c>
      <c r="D283" s="272" t="s">
        <v>578</v>
      </c>
      <c r="E283" s="362" t="s">
        <v>463</v>
      </c>
      <c r="F283" s="364" t="s">
        <v>28</v>
      </c>
      <c r="G283" s="271" t="s">
        <v>298</v>
      </c>
      <c r="H283" s="256">
        <v>100</v>
      </c>
      <c r="I283" s="243" t="s">
        <v>299</v>
      </c>
      <c r="J283" s="243" t="s">
        <v>300</v>
      </c>
      <c r="K283" s="255">
        <v>400</v>
      </c>
      <c r="L283" s="249">
        <v>0.85</v>
      </c>
      <c r="M283" s="256">
        <v>0.95</v>
      </c>
      <c r="N283" s="248">
        <f t="shared" si="743"/>
        <v>178.75145682437315</v>
      </c>
      <c r="O283" s="248">
        <f t="shared" si="744"/>
        <v>0</v>
      </c>
      <c r="P283" s="249" t="str">
        <f t="shared" si="745"/>
        <v>0.00</v>
      </c>
      <c r="Q283" s="256">
        <v>50</v>
      </c>
      <c r="R283" s="256">
        <v>0</v>
      </c>
      <c r="S283" s="256">
        <f t="shared" si="746"/>
        <v>0</v>
      </c>
      <c r="T283" s="249" t="s">
        <v>131</v>
      </c>
      <c r="U283" s="256" t="s">
        <v>390</v>
      </c>
      <c r="V283" s="249">
        <v>150</v>
      </c>
      <c r="W283" s="249" t="str">
        <f t="shared" si="747"/>
        <v>3.5C X 150</v>
      </c>
      <c r="X283" s="249" t="str">
        <f t="shared" si="748"/>
        <v>3.5C X 150</v>
      </c>
      <c r="Y283" s="249" t="s">
        <v>314</v>
      </c>
      <c r="Z283" s="250">
        <f>IF(T283="AIR",VLOOKUP(W283,'Catalogue Aluminium'!$B$9:$G$91,2,FALSE),IF(T283="GROUND",VLOOKUP(W283,'Catalogue Aluminium'!$B$9:$G$91,3,FALSE),IF(T283="DUCT",VLOOKUP(W283,'Catalogue Aluminium'!$B$9:$G$91,4,FALSE),IF(T283="TRENCH",VLOOKUP(W283,'Catalogue Aluminium'!$B$9:$G$91,2,FALSE)))))</f>
        <v>293</v>
      </c>
      <c r="AA283" s="251">
        <f>VLOOKUP(W283,'Catalogue Aluminium'!$B$9:$G$91,5,FALSE)</f>
        <v>0.26400000000000001</v>
      </c>
      <c r="AB283" s="251">
        <f>VLOOKUP(W283,'Catalogue Aluminium'!$B$9:$G$91,6,FALSE)</f>
        <v>7.3200000000000001E-2</v>
      </c>
      <c r="AC283" s="323">
        <f t="shared" ref="AC283" si="763">32+6</f>
        <v>38</v>
      </c>
      <c r="AD283" s="323">
        <v>0</v>
      </c>
      <c r="AE283" s="294">
        <v>5</v>
      </c>
      <c r="AF283" s="294">
        <v>8</v>
      </c>
      <c r="AG283" s="294">
        <f t="shared" si="750"/>
        <v>6</v>
      </c>
      <c r="AH283" s="253">
        <f t="shared" si="751"/>
        <v>57</v>
      </c>
      <c r="AI283" s="250">
        <f>IF(T283="AIR",'Catalogue Aluminium'!$K$9,IF(T283="TRENCH",'Catalogue Aluminium'!$K$12,"NA"))</f>
        <v>0.89</v>
      </c>
      <c r="AJ283" s="248">
        <f>IF(T283="Air",(IF(U283="1C",'Catalogue Aluminium'!$L$9,'Catalogue Aluminium'!$M$9)),IF(T283="DUCT",(IF($U283="1C",'Catalogue Aluminium'!$L$10,'Catalogue Aluminium'!$M$10)),IF(T283="GROUND",(IF($U283="1C",'Catalogue Aluminium'!$L$11,'Catalogue Aluminium'!$M$11)),IF(T283="TRENCH",(IF($U283="1C",'Catalogue Aluminium'!$L$12,'Catalogue Aluminium'!$M$12))))))</f>
        <v>0.66</v>
      </c>
      <c r="AK283" s="250" t="str">
        <f>IF(T283="Air",'Catalogue Aluminium'!$N$9,IF(T283="GROUND",'Catalogue Aluminium'!$N$10,IF(T283="DUCT",'Catalogue Aluminium'!$N$11,IF(T283="TRENCH",'Catalogue Aluminium'!$N$12,"NA"))))</f>
        <v>NA</v>
      </c>
      <c r="AL283" s="250" t="str">
        <f>IF(T283="Air",(IF(U283="1C",'Catalogue Aluminium'!$O$9,'Catalogue Aluminium'!$P$9)),IF(T283="DUCT",(IF($U283="1C",'Catalogue Aluminium'!$O$10,'Catalogue Aluminium'!$P$10)),IF(T283="GROUND",(IF($U283="1C",'Catalogue Aluminium'!$O$11,'Catalogue Aluminium'!$P$11)),IF(T283="TRENCH",(IF($U283="1C",'Catalogue Aluminium'!$O$12,'Catalogue Aluminium'!$P$12))))))</f>
        <v>NA</v>
      </c>
      <c r="AM283" s="250" t="str">
        <f>IF(T283="AIR","NA",IF(T283="TRENCH","NA",IF(T283="DUCT",IF(U283="1C",VLOOKUP(V283,'Catalogue Aluminium'!$Q$9:$S$28,2,FALSE),VLOOKUP(V283,'Catalogue Aluminium'!$Q$9:$S$28,3)),IF(T283="GROUND",IF(U283="1C",VLOOKUP(V283,'Catalogue Aluminium'!$Q$9:$S$28,2,FALSE),VLOOKUP(V283,'Catalogue Aluminium'!$Q$9:$S$28,3))))))</f>
        <v>NA</v>
      </c>
      <c r="AN283" s="257">
        <f t="shared" si="752"/>
        <v>0.58740000000000003</v>
      </c>
      <c r="AO283" s="256">
        <f t="shared" si="753"/>
        <v>172.10820000000001</v>
      </c>
      <c r="AP283" s="255">
        <f t="shared" si="655"/>
        <v>2</v>
      </c>
      <c r="AQ283" s="256" t="str">
        <f t="shared" si="754"/>
        <v>YES</v>
      </c>
      <c r="AR283" s="257">
        <f t="shared" si="755"/>
        <v>0.58007692628523289</v>
      </c>
      <c r="AS283" s="249" t="str">
        <f t="shared" si="756"/>
        <v>YES</v>
      </c>
      <c r="AT283" s="257" t="str">
        <f t="shared" si="757"/>
        <v>NA</v>
      </c>
      <c r="AU283" s="249" t="str">
        <f t="shared" si="758"/>
        <v>NA</v>
      </c>
      <c r="AV283" s="260" t="str">
        <f t="shared" si="759"/>
        <v>2R x 0.6/1kV x 3.5C x 150 Sqmm</v>
      </c>
      <c r="AW283" s="260" t="str">
        <f t="shared" si="760"/>
        <v>2R x 0.6/1kV x 3.5C x 150 Sqmm</v>
      </c>
      <c r="AX283" s="249">
        <f t="shared" si="761"/>
        <v>114</v>
      </c>
      <c r="AY283" s="261"/>
    </row>
    <row r="284" spans="1:51" ht="25">
      <c r="A284" s="243">
        <f t="shared" si="762"/>
        <v>183</v>
      </c>
      <c r="B284" s="373" t="s">
        <v>579</v>
      </c>
      <c r="C284" s="243" t="str">
        <f t="shared" si="742"/>
        <v>EPMCC-1</v>
      </c>
      <c r="D284" s="272" t="s">
        <v>580</v>
      </c>
      <c r="E284" s="362" t="s">
        <v>463</v>
      </c>
      <c r="F284" s="364" t="s">
        <v>29</v>
      </c>
      <c r="G284" s="271" t="s">
        <v>298</v>
      </c>
      <c r="H284" s="256">
        <v>100</v>
      </c>
      <c r="I284" s="243" t="s">
        <v>299</v>
      </c>
      <c r="J284" s="243" t="s">
        <v>300</v>
      </c>
      <c r="K284" s="255">
        <v>400</v>
      </c>
      <c r="L284" s="249">
        <v>0.85</v>
      </c>
      <c r="M284" s="256">
        <v>0.95</v>
      </c>
      <c r="N284" s="248">
        <f t="shared" si="743"/>
        <v>178.75145682437315</v>
      </c>
      <c r="O284" s="248">
        <f t="shared" si="744"/>
        <v>0</v>
      </c>
      <c r="P284" s="249" t="str">
        <f t="shared" si="745"/>
        <v>0.00</v>
      </c>
      <c r="Q284" s="256">
        <v>50</v>
      </c>
      <c r="R284" s="256">
        <v>0</v>
      </c>
      <c r="S284" s="256">
        <f t="shared" si="746"/>
        <v>0</v>
      </c>
      <c r="T284" s="249" t="s">
        <v>131</v>
      </c>
      <c r="U284" s="256" t="s">
        <v>390</v>
      </c>
      <c r="V284" s="249">
        <v>150</v>
      </c>
      <c r="W284" s="249" t="str">
        <f t="shared" si="747"/>
        <v>3.5C X 150</v>
      </c>
      <c r="X284" s="249" t="str">
        <f t="shared" si="748"/>
        <v>3.5C X 150</v>
      </c>
      <c r="Y284" s="249" t="s">
        <v>314</v>
      </c>
      <c r="Z284" s="250">
        <f>IF(T284="AIR",VLOOKUP(W284,'Catalogue Aluminium'!$B$9:$G$91,2,FALSE),IF(T284="GROUND",VLOOKUP(W284,'Catalogue Aluminium'!$B$9:$G$91,3,FALSE),IF(T284="DUCT",VLOOKUP(W284,'Catalogue Aluminium'!$B$9:$G$91,4,FALSE),IF(T284="TRENCH",VLOOKUP(W284,'Catalogue Aluminium'!$B$9:$G$91,2,FALSE)))))</f>
        <v>293</v>
      </c>
      <c r="AA284" s="251">
        <f>VLOOKUP(W284,'Catalogue Aluminium'!$B$9:$G$91,5,FALSE)</f>
        <v>0.26400000000000001</v>
      </c>
      <c r="AB284" s="251">
        <f>VLOOKUP(W284,'Catalogue Aluminium'!$B$9:$G$91,6,FALSE)</f>
        <v>7.3200000000000001E-2</v>
      </c>
      <c r="AC284" s="323">
        <f>24+6</f>
        <v>30</v>
      </c>
      <c r="AD284" s="323">
        <v>0</v>
      </c>
      <c r="AE284" s="294">
        <v>5</v>
      </c>
      <c r="AF284" s="294">
        <v>8</v>
      </c>
      <c r="AG284" s="294">
        <f t="shared" si="750"/>
        <v>5</v>
      </c>
      <c r="AH284" s="253">
        <f t="shared" si="751"/>
        <v>48</v>
      </c>
      <c r="AI284" s="250">
        <f>IF(T284="AIR",'Catalogue Aluminium'!$K$9,IF(T284="TRENCH",'Catalogue Aluminium'!$K$12,"NA"))</f>
        <v>0.89</v>
      </c>
      <c r="AJ284" s="248">
        <f>IF(T284="Air",(IF(U284="1C",'Catalogue Aluminium'!$L$9,'Catalogue Aluminium'!$M$9)),IF(T284="DUCT",(IF($U284="1C",'Catalogue Aluminium'!$L$10,'Catalogue Aluminium'!$M$10)),IF(T284="GROUND",(IF($U284="1C",'Catalogue Aluminium'!$L$11,'Catalogue Aluminium'!$M$11)),IF(T284="TRENCH",(IF($U284="1C",'Catalogue Aluminium'!$L$12,'Catalogue Aluminium'!$M$12))))))</f>
        <v>0.66</v>
      </c>
      <c r="AK284" s="250" t="str">
        <f>IF(T284="Air",'Catalogue Aluminium'!$N$9,IF(T284="GROUND",'Catalogue Aluminium'!$N$10,IF(T284="DUCT",'Catalogue Aluminium'!$N$11,IF(T284="TRENCH",'Catalogue Aluminium'!$N$12,"NA"))))</f>
        <v>NA</v>
      </c>
      <c r="AL284" s="250" t="str">
        <f>IF(T284="Air",(IF(U284="1C",'Catalogue Aluminium'!$O$9,'Catalogue Aluminium'!$P$9)),IF(T284="DUCT",(IF($U284="1C",'Catalogue Aluminium'!$O$10,'Catalogue Aluminium'!$P$10)),IF(T284="GROUND",(IF($U284="1C",'Catalogue Aluminium'!$O$11,'Catalogue Aluminium'!$P$11)),IF(T284="TRENCH",(IF($U284="1C",'Catalogue Aluminium'!$O$12,'Catalogue Aluminium'!$P$12))))))</f>
        <v>NA</v>
      </c>
      <c r="AM284" s="250" t="str">
        <f>IF(T284="AIR","NA",IF(T284="TRENCH","NA",IF(T284="DUCT",IF(U284="1C",VLOOKUP(V284,'Catalogue Aluminium'!$Q$9:$S$28,2,FALSE),VLOOKUP(V284,'Catalogue Aluminium'!$Q$9:$S$28,3)),IF(T284="GROUND",IF(U284="1C",VLOOKUP(V284,'Catalogue Aluminium'!$Q$9:$S$28,2,FALSE),VLOOKUP(V284,'Catalogue Aluminium'!$Q$9:$S$28,3))))))</f>
        <v>NA</v>
      </c>
      <c r="AN284" s="257">
        <f t="shared" si="752"/>
        <v>0.58740000000000003</v>
      </c>
      <c r="AO284" s="256">
        <f t="shared" si="753"/>
        <v>172.10820000000001</v>
      </c>
      <c r="AP284" s="255">
        <f t="shared" si="655"/>
        <v>2</v>
      </c>
      <c r="AQ284" s="256" t="str">
        <f t="shared" si="754"/>
        <v>YES</v>
      </c>
      <c r="AR284" s="257">
        <f t="shared" si="755"/>
        <v>0.48848583266124879</v>
      </c>
      <c r="AS284" s="249" t="str">
        <f t="shared" si="756"/>
        <v>YES</v>
      </c>
      <c r="AT284" s="257" t="str">
        <f t="shared" si="757"/>
        <v>NA</v>
      </c>
      <c r="AU284" s="249" t="str">
        <f t="shared" si="758"/>
        <v>NA</v>
      </c>
      <c r="AV284" s="260" t="str">
        <f t="shared" si="759"/>
        <v>2R x 0.6/1kV x 3.5C x 150 Sqmm</v>
      </c>
      <c r="AW284" s="260" t="str">
        <f t="shared" si="760"/>
        <v>2R x 0.6/1kV x 3.5C x 150 Sqmm</v>
      </c>
      <c r="AX284" s="249">
        <f t="shared" si="761"/>
        <v>96</v>
      </c>
      <c r="AY284" s="261"/>
    </row>
    <row r="285" spans="1:51" ht="44.25" customHeight="1">
      <c r="A285" s="243">
        <f t="shared" si="762"/>
        <v>184</v>
      </c>
      <c r="B285" s="355" t="s">
        <v>581</v>
      </c>
      <c r="C285" s="243" t="str">
        <f t="shared" si="742"/>
        <v>EPMCC-1</v>
      </c>
      <c r="D285" s="244" t="s">
        <v>582</v>
      </c>
      <c r="E285" s="351" t="s">
        <v>304</v>
      </c>
      <c r="F285" s="364" t="s">
        <v>28</v>
      </c>
      <c r="G285" s="71" t="s">
        <v>298</v>
      </c>
      <c r="H285" s="609">
        <v>21.25</v>
      </c>
      <c r="I285" s="243" t="s">
        <v>299</v>
      </c>
      <c r="J285" s="243" t="s">
        <v>300</v>
      </c>
      <c r="K285" s="255">
        <v>400</v>
      </c>
      <c r="L285" s="249">
        <v>0.85</v>
      </c>
      <c r="M285" s="256">
        <v>0.95</v>
      </c>
      <c r="N285" s="248">
        <f t="shared" si="743"/>
        <v>37.984684575179294</v>
      </c>
      <c r="O285" s="248">
        <f t="shared" si="744"/>
        <v>0</v>
      </c>
      <c r="P285" s="249" t="str">
        <f t="shared" si="745"/>
        <v>0.00</v>
      </c>
      <c r="Q285" s="256">
        <v>50</v>
      </c>
      <c r="R285" s="256">
        <v>0</v>
      </c>
      <c r="S285" s="256">
        <f t="shared" si="746"/>
        <v>0</v>
      </c>
      <c r="T285" s="249" t="s">
        <v>131</v>
      </c>
      <c r="U285" s="609" t="s">
        <v>390</v>
      </c>
      <c r="V285" s="608">
        <v>25</v>
      </c>
      <c r="W285" s="249" t="str">
        <f t="shared" si="747"/>
        <v>3.5C X 25</v>
      </c>
      <c r="X285" s="249" t="str">
        <f t="shared" si="748"/>
        <v>3.5C X 25</v>
      </c>
      <c r="Y285" s="249" t="s">
        <v>314</v>
      </c>
      <c r="Z285" s="250">
        <f>IF(T285="AIR",VLOOKUP(W285,'Catalogue Aluminium'!$B$9:$G$91,2,FALSE),IF(T285="GROUND",VLOOKUP(W285,'Catalogue Aluminium'!$B$9:$G$91,3,FALSE),IF(T285="DUCT",VLOOKUP(W285,'Catalogue Aluminium'!$B$9:$G$91,4,FALSE),IF(T285="TRENCH",VLOOKUP(W285,'Catalogue Aluminium'!$B$9:$G$91,2,FALSE)))))</f>
        <v>95</v>
      </c>
      <c r="AA285" s="251">
        <f>VLOOKUP(W285,'Catalogue Aluminium'!$B$9:$G$91,5,FALSE)</f>
        <v>1.54</v>
      </c>
      <c r="AB285" s="251">
        <f>VLOOKUP(W285,'Catalogue Aluminium'!$B$9:$G$91,6,FALSE)</f>
        <v>8.1600000000000006E-2</v>
      </c>
      <c r="AC285" s="323">
        <f t="shared" ref="AC285" si="764">32+6</f>
        <v>38</v>
      </c>
      <c r="AD285" s="323">
        <v>0</v>
      </c>
      <c r="AE285" s="294">
        <v>5</v>
      </c>
      <c r="AF285" s="294">
        <v>8</v>
      </c>
      <c r="AG285" s="294">
        <f t="shared" si="750"/>
        <v>6</v>
      </c>
      <c r="AH285" s="253">
        <f t="shared" si="751"/>
        <v>57</v>
      </c>
      <c r="AI285" s="250">
        <f>IF(T285="AIR",'Catalogue Aluminium'!$K$9,IF(T285="TRENCH",'Catalogue Aluminium'!$K$12,"NA"))</f>
        <v>0.89</v>
      </c>
      <c r="AJ285" s="248">
        <f>IF(T285="Air",(IF(U285="1C",'Catalogue Aluminium'!$L$9,'Catalogue Aluminium'!$M$9)),IF(T285="DUCT",(IF($U285="1C",'Catalogue Aluminium'!$L$10,'Catalogue Aluminium'!$M$10)),IF(T285="GROUND",(IF($U285="1C",'Catalogue Aluminium'!$L$11,'Catalogue Aluminium'!$M$11)),IF(T285="TRENCH",(IF($U285="1C",'Catalogue Aluminium'!$L$12,'Catalogue Aluminium'!$M$12))))))</f>
        <v>0.66</v>
      </c>
      <c r="AK285" s="250" t="str">
        <f>IF(T285="Air",'Catalogue Aluminium'!$N$9,IF(T285="GROUND",'Catalogue Aluminium'!$N$10,IF(T285="DUCT",'Catalogue Aluminium'!$N$11,IF(T285="TRENCH",'Catalogue Aluminium'!$N$12,"NA"))))</f>
        <v>NA</v>
      </c>
      <c r="AL285" s="250" t="str">
        <f>IF(T285="Air",(IF(U285="1C",'Catalogue Aluminium'!$O$9,'Catalogue Aluminium'!$P$9)),IF(T285="DUCT",(IF($U285="1C",'Catalogue Aluminium'!$O$10,'Catalogue Aluminium'!$P$10)),IF(T285="GROUND",(IF($U285="1C",'Catalogue Aluminium'!$O$11,'Catalogue Aluminium'!$P$11)),IF(T285="TRENCH",(IF($U285="1C",'Catalogue Aluminium'!$O$12,'Catalogue Aluminium'!$P$12))))))</f>
        <v>NA</v>
      </c>
      <c r="AM285" s="250" t="str">
        <f>IF(T285="AIR","NA",IF(T285="TRENCH","NA",IF(T285="DUCT",IF(U285="1C",VLOOKUP(V285,'Catalogue Aluminium'!$Q$9:$S$28,2,FALSE),VLOOKUP(V285,'Catalogue Aluminium'!$Q$9:$S$28,3)),IF(T285="GROUND",IF(U285="1C",VLOOKUP(V285,'Catalogue Aluminium'!$Q$9:$S$28,2,FALSE),VLOOKUP(V285,'Catalogue Aluminium'!$Q$9:$S$28,3))))))</f>
        <v>NA</v>
      </c>
      <c r="AN285" s="257">
        <f t="shared" si="752"/>
        <v>0.58740000000000003</v>
      </c>
      <c r="AO285" s="256">
        <f t="shared" si="753"/>
        <v>55.803000000000004</v>
      </c>
      <c r="AP285" s="255">
        <f t="shared" si="655"/>
        <v>1</v>
      </c>
      <c r="AQ285" s="256" t="str">
        <f t="shared" si="754"/>
        <v>YES</v>
      </c>
      <c r="AR285" s="257">
        <f t="shared" si="755"/>
        <v>1.2675235568409953</v>
      </c>
      <c r="AS285" s="249" t="str">
        <f t="shared" si="756"/>
        <v>YES</v>
      </c>
      <c r="AT285" s="257" t="str">
        <f t="shared" si="757"/>
        <v>NA</v>
      </c>
      <c r="AU285" s="249" t="str">
        <f t="shared" si="758"/>
        <v>NA</v>
      </c>
      <c r="AV285" s="260" t="str">
        <f t="shared" si="759"/>
        <v>1R x 0.6/1kV x 3.5C x 25 Sqmm</v>
      </c>
      <c r="AW285" s="260" t="str">
        <f t="shared" si="760"/>
        <v>1R x 0.6/1kV x 3.5C x 25 Sqmm</v>
      </c>
      <c r="AX285" s="249">
        <f t="shared" si="761"/>
        <v>57</v>
      </c>
      <c r="AY285" s="261"/>
    </row>
    <row r="286" spans="1:51" ht="25">
      <c r="A286" s="243">
        <f t="shared" si="762"/>
        <v>185</v>
      </c>
      <c r="B286" s="355" t="s">
        <v>583</v>
      </c>
      <c r="C286" s="243" t="str">
        <f t="shared" si="742"/>
        <v>EPMCC-1</v>
      </c>
      <c r="D286" s="244" t="s">
        <v>584</v>
      </c>
      <c r="E286" s="409" t="s">
        <v>320</v>
      </c>
      <c r="F286" s="364" t="s">
        <v>29</v>
      </c>
      <c r="G286" s="71" t="s">
        <v>298</v>
      </c>
      <c r="H286" s="609">
        <v>29.75</v>
      </c>
      <c r="I286" s="243" t="s">
        <v>299</v>
      </c>
      <c r="J286" s="243" t="s">
        <v>300</v>
      </c>
      <c r="K286" s="255">
        <v>400</v>
      </c>
      <c r="L286" s="249">
        <v>0.85</v>
      </c>
      <c r="M286" s="256">
        <v>0.95</v>
      </c>
      <c r="N286" s="248">
        <f t="shared" si="743"/>
        <v>53.17855840525101</v>
      </c>
      <c r="O286" s="248">
        <f t="shared" si="744"/>
        <v>0</v>
      </c>
      <c r="P286" s="249" t="str">
        <f t="shared" si="745"/>
        <v>0.00</v>
      </c>
      <c r="Q286" s="256">
        <v>50</v>
      </c>
      <c r="R286" s="256">
        <v>0</v>
      </c>
      <c r="S286" s="256">
        <f t="shared" si="746"/>
        <v>0</v>
      </c>
      <c r="T286" s="249" t="s">
        <v>131</v>
      </c>
      <c r="U286" s="609" t="s">
        <v>390</v>
      </c>
      <c r="V286" s="608">
        <v>70</v>
      </c>
      <c r="W286" s="249" t="str">
        <f t="shared" si="747"/>
        <v>3.5C X 70</v>
      </c>
      <c r="X286" s="249" t="str">
        <f t="shared" si="748"/>
        <v>3.5C X 70</v>
      </c>
      <c r="Y286" s="249" t="s">
        <v>314</v>
      </c>
      <c r="Z286" s="250">
        <f>IF(T286="AIR",VLOOKUP(W286,'Catalogue Aluminium'!$B$9:$G$91,2,FALSE),IF(T286="GROUND",VLOOKUP(W286,'Catalogue Aluminium'!$B$9:$G$91,3,FALSE),IF(T286="DUCT",VLOOKUP(W286,'Catalogue Aluminium'!$B$9:$G$91,4,FALSE),IF(T286="TRENCH",VLOOKUP(W286,'Catalogue Aluminium'!$B$9:$G$91,2,FALSE)))))</f>
        <v>177</v>
      </c>
      <c r="AA286" s="251">
        <f>VLOOKUP(W286,'Catalogue Aluminium'!$B$9:$G$91,5,FALSE)</f>
        <v>0.56699999999999995</v>
      </c>
      <c r="AB286" s="251">
        <f>VLOOKUP(W286,'Catalogue Aluminium'!$B$9:$G$91,6,FALSE)</f>
        <v>7.5200000000000003E-2</v>
      </c>
      <c r="AC286" s="323">
        <f>24+6</f>
        <v>30</v>
      </c>
      <c r="AD286" s="294">
        <f>40+30+8+10</f>
        <v>88</v>
      </c>
      <c r="AE286" s="294">
        <v>10</v>
      </c>
      <c r="AF286" s="294">
        <v>8</v>
      </c>
      <c r="AG286" s="294">
        <f t="shared" si="750"/>
        <v>14</v>
      </c>
      <c r="AH286" s="253">
        <f t="shared" si="751"/>
        <v>150</v>
      </c>
      <c r="AI286" s="250">
        <f>IF(T286="AIR",'Catalogue Aluminium'!$K$9,IF(T286="TRENCH",'Catalogue Aluminium'!$K$12,"NA"))</f>
        <v>0.89</v>
      </c>
      <c r="AJ286" s="248">
        <f>IF(T286="Air",(IF(U286="1C",'Catalogue Aluminium'!$L$9,'Catalogue Aluminium'!$M$9)),IF(T286="DUCT",(IF($U286="1C",'Catalogue Aluminium'!$L$10,'Catalogue Aluminium'!$M$10)),IF(T286="GROUND",(IF($U286="1C",'Catalogue Aluminium'!$L$11,'Catalogue Aluminium'!$M$11)),IF(T286="TRENCH",(IF($U286="1C",'Catalogue Aluminium'!$L$12,'Catalogue Aluminium'!$M$12))))))</f>
        <v>0.66</v>
      </c>
      <c r="AK286" s="250" t="str">
        <f>IF(T286="Air",'Catalogue Aluminium'!$N$9,IF(T286="GROUND",'Catalogue Aluminium'!$N$10,IF(T286="DUCT",'Catalogue Aluminium'!$N$11,IF(T286="TRENCH",'Catalogue Aluminium'!$N$12,"NA"))))</f>
        <v>NA</v>
      </c>
      <c r="AL286" s="250" t="str">
        <f>IF(T286="Air",(IF(U286="1C",'Catalogue Aluminium'!$O$9,'Catalogue Aluminium'!$P$9)),IF(T286="DUCT",(IF($U286="1C",'Catalogue Aluminium'!$O$10,'Catalogue Aluminium'!$P$10)),IF(T286="GROUND",(IF($U286="1C",'Catalogue Aluminium'!$O$11,'Catalogue Aluminium'!$P$11)),IF(T286="TRENCH",(IF($U286="1C",'Catalogue Aluminium'!$O$12,'Catalogue Aluminium'!$P$12))))))</f>
        <v>NA</v>
      </c>
      <c r="AM286" s="250" t="str">
        <f>IF(T286="AIR","NA",IF(T286="TRENCH","NA",IF(T286="DUCT",IF(U286="1C",VLOOKUP(V286,'Catalogue Aluminium'!$Q$9:$S$28,2,FALSE),VLOOKUP(V286,'Catalogue Aluminium'!$Q$9:$S$28,3)),IF(T286="GROUND",IF(U286="1C",VLOOKUP(V286,'Catalogue Aluminium'!$Q$9:$S$28,2,FALSE),VLOOKUP(V286,'Catalogue Aluminium'!$Q$9:$S$28,3))))))</f>
        <v>NA</v>
      </c>
      <c r="AN286" s="257">
        <f t="shared" si="752"/>
        <v>0.58740000000000003</v>
      </c>
      <c r="AO286" s="256">
        <f t="shared" si="753"/>
        <v>103.96980000000001</v>
      </c>
      <c r="AP286" s="255">
        <f t="shared" si="655"/>
        <v>1</v>
      </c>
      <c r="AQ286" s="256" t="str">
        <f t="shared" si="754"/>
        <v>YES</v>
      </c>
      <c r="AR286" s="257">
        <f t="shared" si="755"/>
        <v>1.801507650974048</v>
      </c>
      <c r="AS286" s="249" t="str">
        <f t="shared" si="756"/>
        <v>YES</v>
      </c>
      <c r="AT286" s="257" t="str">
        <f t="shared" si="757"/>
        <v>NA</v>
      </c>
      <c r="AU286" s="249" t="str">
        <f t="shared" si="758"/>
        <v>NA</v>
      </c>
      <c r="AV286" s="260" t="str">
        <f t="shared" si="759"/>
        <v>1R x 0.6/1kV x 3.5C x 70 Sqmm</v>
      </c>
      <c r="AW286" s="260" t="str">
        <f t="shared" si="760"/>
        <v>1R x 0.6/1kV x 3.5C x 70 Sqmm</v>
      </c>
      <c r="AX286" s="249">
        <f t="shared" si="761"/>
        <v>150</v>
      </c>
      <c r="AY286" s="261"/>
    </row>
    <row r="287" spans="1:51" ht="25">
      <c r="A287" s="243">
        <f t="shared" si="762"/>
        <v>186</v>
      </c>
      <c r="B287" s="355" t="s">
        <v>585</v>
      </c>
      <c r="C287" s="243" t="str">
        <f t="shared" si="742"/>
        <v>EPMCC-1</v>
      </c>
      <c r="D287" s="244" t="s">
        <v>586</v>
      </c>
      <c r="E287" s="351" t="s">
        <v>587</v>
      </c>
      <c r="F287" s="243" t="s">
        <v>29</v>
      </c>
      <c r="G287" s="71" t="s">
        <v>298</v>
      </c>
      <c r="H287" s="609">
        <v>12.75</v>
      </c>
      <c r="I287" s="243" t="s">
        <v>299</v>
      </c>
      <c r="J287" s="243" t="s">
        <v>300</v>
      </c>
      <c r="K287" s="255">
        <v>400</v>
      </c>
      <c r="L287" s="249">
        <v>0.85</v>
      </c>
      <c r="M287" s="256">
        <v>0.95</v>
      </c>
      <c r="N287" s="248">
        <f t="shared" si="743"/>
        <v>22.790810745107574</v>
      </c>
      <c r="O287" s="248">
        <f t="shared" si="744"/>
        <v>0</v>
      </c>
      <c r="P287" s="249" t="str">
        <f t="shared" si="745"/>
        <v>0.00</v>
      </c>
      <c r="Q287" s="256">
        <v>50</v>
      </c>
      <c r="R287" s="256">
        <v>0</v>
      </c>
      <c r="S287" s="256">
        <f t="shared" si="746"/>
        <v>0</v>
      </c>
      <c r="T287" s="249" t="s">
        <v>131</v>
      </c>
      <c r="U287" s="609" t="s">
        <v>390</v>
      </c>
      <c r="V287" s="608">
        <v>95</v>
      </c>
      <c r="W287" s="249" t="str">
        <f t="shared" si="747"/>
        <v>3.5C X 95</v>
      </c>
      <c r="X287" s="249" t="str">
        <f t="shared" si="748"/>
        <v>3.5C X 95</v>
      </c>
      <c r="Y287" s="249" t="s">
        <v>314</v>
      </c>
      <c r="Z287" s="250">
        <f>IF(T287="AIR",VLOOKUP(W287,'Catalogue Aluminium'!$B$9:$G$91,2,FALSE),IF(T287="GROUND",VLOOKUP(W287,'Catalogue Aluminium'!$B$9:$G$91,3,FALSE),IF(T287="DUCT",VLOOKUP(W287,'Catalogue Aluminium'!$B$9:$G$91,4,FALSE),IF(T287="TRENCH",VLOOKUP(W287,'Catalogue Aluminium'!$B$9:$G$91,2,FALSE)))))</f>
        <v>221</v>
      </c>
      <c r="AA287" s="251">
        <f>VLOOKUP(W287,'Catalogue Aluminium'!$B$9:$G$91,5,FALSE)</f>
        <v>0.41</v>
      </c>
      <c r="AB287" s="251">
        <f>VLOOKUP(W287,'Catalogue Aluminium'!$B$9:$G$91,6,FALSE)</f>
        <v>7.3400000000000007E-2</v>
      </c>
      <c r="AC287" s="323">
        <f>24+6</f>
        <v>30</v>
      </c>
      <c r="AD287" s="323">
        <f>40+50+38+50+58+60+20+31+18</f>
        <v>365</v>
      </c>
      <c r="AE287" s="294">
        <f t="shared" ref="AE287:AE288" si="765">11+8+8+11</f>
        <v>38</v>
      </c>
      <c r="AF287" s="294">
        <v>8</v>
      </c>
      <c r="AG287" s="294">
        <f t="shared" si="750"/>
        <v>45</v>
      </c>
      <c r="AH287" s="253">
        <f t="shared" si="751"/>
        <v>486</v>
      </c>
      <c r="AI287" s="250">
        <f>IF(T287="AIR",'Catalogue Aluminium'!$K$9,IF(T287="TRENCH",'Catalogue Aluminium'!$K$12,"NA"))</f>
        <v>0.89</v>
      </c>
      <c r="AJ287" s="248">
        <f>IF(T287="Air",(IF(U287="1C",'Catalogue Aluminium'!$L$9,'Catalogue Aluminium'!$M$9)),IF(T287="DUCT",(IF($U287="1C",'Catalogue Aluminium'!$L$10,'Catalogue Aluminium'!$M$10)),IF(T287="GROUND",(IF($U287="1C",'Catalogue Aluminium'!$L$11,'Catalogue Aluminium'!$M$11)),IF(T287="TRENCH",(IF($U287="1C",'Catalogue Aluminium'!$L$12,'Catalogue Aluminium'!$M$12))))))</f>
        <v>0.66</v>
      </c>
      <c r="AK287" s="250" t="str">
        <f>IF(T287="Air",'Catalogue Aluminium'!$N$9,IF(T287="GROUND",'Catalogue Aluminium'!$N$10,IF(T287="DUCT",'Catalogue Aluminium'!$N$11,IF(T287="TRENCH",'Catalogue Aluminium'!$N$12,"NA"))))</f>
        <v>NA</v>
      </c>
      <c r="AL287" s="250" t="str">
        <f>IF(T287="Air",(IF(U287="1C",'Catalogue Aluminium'!$O$9,'Catalogue Aluminium'!$P$9)),IF(T287="DUCT",(IF($U287="1C",'Catalogue Aluminium'!$O$10,'Catalogue Aluminium'!$P$10)),IF(T287="GROUND",(IF($U287="1C",'Catalogue Aluminium'!$O$11,'Catalogue Aluminium'!$P$11)),IF(T287="TRENCH",(IF($U287="1C",'Catalogue Aluminium'!$O$12,'Catalogue Aluminium'!$P$12))))))</f>
        <v>NA</v>
      </c>
      <c r="AM287" s="250" t="str">
        <f>IF(T287="AIR","NA",IF(T287="TRENCH","NA",IF(T287="DUCT",IF(U287="1C",VLOOKUP(V287,'Catalogue Aluminium'!$Q$9:$S$28,2,FALSE),VLOOKUP(V287,'Catalogue Aluminium'!$Q$9:$S$28,3)),IF(T287="GROUND",IF(U287="1C",VLOOKUP(V287,'Catalogue Aluminium'!$Q$9:$S$28,2,FALSE),VLOOKUP(V287,'Catalogue Aluminium'!$Q$9:$S$28,3))))))</f>
        <v>NA</v>
      </c>
      <c r="AN287" s="257">
        <f t="shared" si="752"/>
        <v>0.58740000000000003</v>
      </c>
      <c r="AO287" s="256">
        <f t="shared" si="753"/>
        <v>129.81540000000001</v>
      </c>
      <c r="AP287" s="255">
        <f t="shared" si="655"/>
        <v>1</v>
      </c>
      <c r="AQ287" s="256" t="str">
        <f t="shared" si="754"/>
        <v>YES</v>
      </c>
      <c r="AR287" s="257">
        <f t="shared" si="755"/>
        <v>1.8569222607816858</v>
      </c>
      <c r="AS287" s="249" t="str">
        <f t="shared" si="756"/>
        <v>YES</v>
      </c>
      <c r="AT287" s="257" t="str">
        <f t="shared" si="757"/>
        <v>NA</v>
      </c>
      <c r="AU287" s="249" t="str">
        <f t="shared" si="758"/>
        <v>NA</v>
      </c>
      <c r="AV287" s="260" t="str">
        <f t="shared" si="759"/>
        <v>1R x 0.6/1kV x 3.5C x 95 Sqmm</v>
      </c>
      <c r="AW287" s="260" t="str">
        <f t="shared" si="760"/>
        <v>1R x 0.6/1kV x 3.5C x 95 Sqmm</v>
      </c>
      <c r="AX287" s="249">
        <f t="shared" si="761"/>
        <v>486</v>
      </c>
      <c r="AY287" s="261"/>
    </row>
    <row r="288" spans="1:51" ht="25">
      <c r="A288" s="243">
        <f t="shared" si="762"/>
        <v>187</v>
      </c>
      <c r="B288" s="355" t="s">
        <v>588</v>
      </c>
      <c r="C288" s="243" t="str">
        <f t="shared" si="742"/>
        <v>EPMCC-1</v>
      </c>
      <c r="D288" s="244" t="s">
        <v>589</v>
      </c>
      <c r="E288" s="351" t="s">
        <v>590</v>
      </c>
      <c r="F288" s="364" t="s">
        <v>28</v>
      </c>
      <c r="G288" s="71" t="s">
        <v>298</v>
      </c>
      <c r="H288" s="609">
        <v>12.75</v>
      </c>
      <c r="I288" s="243" t="s">
        <v>299</v>
      </c>
      <c r="J288" s="243" t="s">
        <v>300</v>
      </c>
      <c r="K288" s="255">
        <v>400</v>
      </c>
      <c r="L288" s="249">
        <v>0.85</v>
      </c>
      <c r="M288" s="256">
        <v>0.95</v>
      </c>
      <c r="N288" s="248">
        <f t="shared" si="743"/>
        <v>22.790810745107574</v>
      </c>
      <c r="O288" s="248">
        <f t="shared" si="744"/>
        <v>0</v>
      </c>
      <c r="P288" s="249" t="str">
        <f t="shared" si="745"/>
        <v>0.00</v>
      </c>
      <c r="Q288" s="256">
        <v>50</v>
      </c>
      <c r="R288" s="256">
        <v>0</v>
      </c>
      <c r="S288" s="256">
        <f t="shared" si="746"/>
        <v>0</v>
      </c>
      <c r="T288" s="249" t="s">
        <v>131</v>
      </c>
      <c r="U288" s="609" t="s">
        <v>390</v>
      </c>
      <c r="V288" s="608">
        <v>70</v>
      </c>
      <c r="W288" s="249" t="str">
        <f t="shared" si="747"/>
        <v>3.5C X 70</v>
      </c>
      <c r="X288" s="249" t="str">
        <f t="shared" si="748"/>
        <v>3.5C X 70</v>
      </c>
      <c r="Y288" s="249" t="s">
        <v>314</v>
      </c>
      <c r="Z288" s="250">
        <f>IF(T288="AIR",VLOOKUP(W288,'Catalogue Aluminium'!$B$9:$G$91,2,FALSE),IF(T288="GROUND",VLOOKUP(W288,'Catalogue Aluminium'!$B$9:$G$91,3,FALSE),IF(T288="DUCT",VLOOKUP(W288,'Catalogue Aluminium'!$B$9:$G$91,4,FALSE),IF(T288="TRENCH",VLOOKUP(W288,'Catalogue Aluminium'!$B$9:$G$91,2,FALSE)))))</f>
        <v>177</v>
      </c>
      <c r="AA288" s="251">
        <f>VLOOKUP(W288,'Catalogue Aluminium'!$B$9:$G$91,5,FALSE)</f>
        <v>0.56699999999999995</v>
      </c>
      <c r="AB288" s="251">
        <f>VLOOKUP(W288,'Catalogue Aluminium'!$B$9:$G$91,6,FALSE)</f>
        <v>7.5200000000000003E-2</v>
      </c>
      <c r="AC288" s="323">
        <f t="shared" ref="AC288" si="766">32+6</f>
        <v>38</v>
      </c>
      <c r="AD288" s="323">
        <f>40+50+38+48+58+60+18+28</f>
        <v>340</v>
      </c>
      <c r="AE288" s="294">
        <f t="shared" si="765"/>
        <v>38</v>
      </c>
      <c r="AF288" s="294">
        <v>8</v>
      </c>
      <c r="AG288" s="294">
        <f t="shared" si="750"/>
        <v>43</v>
      </c>
      <c r="AH288" s="253">
        <f t="shared" si="751"/>
        <v>467</v>
      </c>
      <c r="AI288" s="250">
        <f>IF(T288="AIR",'Catalogue Aluminium'!$K$9,IF(T288="TRENCH",'Catalogue Aluminium'!$K$12,"NA"))</f>
        <v>0.89</v>
      </c>
      <c r="AJ288" s="248">
        <f>IF(T288="Air",(IF(U288="1C",'Catalogue Aluminium'!$L$9,'Catalogue Aluminium'!$M$9)),IF(T288="DUCT",(IF($U288="1C",'Catalogue Aluminium'!$L$10,'Catalogue Aluminium'!$M$10)),IF(T288="GROUND",(IF($U288="1C",'Catalogue Aluminium'!$L$11,'Catalogue Aluminium'!$M$11)),IF(T288="TRENCH",(IF($U288="1C",'Catalogue Aluminium'!$L$12,'Catalogue Aluminium'!$M$12))))))</f>
        <v>0.66</v>
      </c>
      <c r="AK288" s="250" t="str">
        <f>IF(T288="Air",'Catalogue Aluminium'!$N$9,IF(T288="GROUND",'Catalogue Aluminium'!$N$10,IF(T288="DUCT",'Catalogue Aluminium'!$N$11,IF(T288="TRENCH",'Catalogue Aluminium'!$N$12,"NA"))))</f>
        <v>NA</v>
      </c>
      <c r="AL288" s="250" t="str">
        <f>IF(T288="Air",(IF(U288="1C",'Catalogue Aluminium'!$O$9,'Catalogue Aluminium'!$P$9)),IF(T288="DUCT",(IF($U288="1C",'Catalogue Aluminium'!$O$10,'Catalogue Aluminium'!$P$10)),IF(T288="GROUND",(IF($U288="1C",'Catalogue Aluminium'!$O$11,'Catalogue Aluminium'!$P$11)),IF(T288="TRENCH",(IF($U288="1C",'Catalogue Aluminium'!$O$12,'Catalogue Aluminium'!$P$12))))))</f>
        <v>NA</v>
      </c>
      <c r="AM288" s="250" t="str">
        <f>IF(T288="AIR","NA",IF(T288="TRENCH","NA",IF(T288="DUCT",IF(U288="1C",VLOOKUP(V288,'Catalogue Aluminium'!$Q$9:$S$28,2,FALSE),VLOOKUP(V288,'Catalogue Aluminium'!$Q$9:$S$28,3)),IF(T288="GROUND",IF(U288="1C",VLOOKUP(V288,'Catalogue Aluminium'!$Q$9:$S$28,2,FALSE),VLOOKUP(V288,'Catalogue Aluminium'!$Q$9:$S$28,3))))))</f>
        <v>NA</v>
      </c>
      <c r="AN288" s="257">
        <f t="shared" si="752"/>
        <v>0.58740000000000003</v>
      </c>
      <c r="AO288" s="256">
        <f t="shared" si="753"/>
        <v>103.96980000000001</v>
      </c>
      <c r="AP288" s="255">
        <f t="shared" si="655"/>
        <v>1</v>
      </c>
      <c r="AQ288" s="256" t="str">
        <f t="shared" si="754"/>
        <v>YES</v>
      </c>
      <c r="AR288" s="257">
        <f t="shared" si="755"/>
        <v>2.4037259228710868</v>
      </c>
      <c r="AS288" s="249" t="str">
        <f t="shared" si="756"/>
        <v>YES</v>
      </c>
      <c r="AT288" s="257" t="str">
        <f t="shared" si="757"/>
        <v>NA</v>
      </c>
      <c r="AU288" s="249" t="str">
        <f t="shared" si="758"/>
        <v>NA</v>
      </c>
      <c r="AV288" s="260" t="str">
        <f t="shared" si="759"/>
        <v>1R x 0.6/1kV x 3.5C x 70 Sqmm</v>
      </c>
      <c r="AW288" s="260" t="str">
        <f t="shared" si="760"/>
        <v>1R x 0.6/1kV x 3.5C x 70 Sqmm</v>
      </c>
      <c r="AX288" s="249">
        <f t="shared" si="761"/>
        <v>467</v>
      </c>
      <c r="AY288" s="261"/>
    </row>
    <row r="289" spans="1:51" ht="42" customHeight="1">
      <c r="A289" s="243">
        <f t="shared" si="762"/>
        <v>188</v>
      </c>
      <c r="B289" s="355" t="s">
        <v>591</v>
      </c>
      <c r="C289" s="243" t="s">
        <v>491</v>
      </c>
      <c r="D289" s="244" t="s">
        <v>592</v>
      </c>
      <c r="E289" s="375" t="s">
        <v>593</v>
      </c>
      <c r="F289" s="364" t="s">
        <v>28</v>
      </c>
      <c r="G289" s="71" t="s">
        <v>298</v>
      </c>
      <c r="H289" s="609">
        <v>20</v>
      </c>
      <c r="I289" s="243" t="s">
        <v>299</v>
      </c>
      <c r="J289" s="243" t="s">
        <v>300</v>
      </c>
      <c r="K289" s="255">
        <v>400</v>
      </c>
      <c r="L289" s="249">
        <v>0.85</v>
      </c>
      <c r="M289" s="256">
        <v>0.95</v>
      </c>
      <c r="N289" s="248">
        <f t="shared" si="743"/>
        <v>35.750291364874627</v>
      </c>
      <c r="O289" s="248">
        <f t="shared" si="744"/>
        <v>0</v>
      </c>
      <c r="P289" s="249" t="str">
        <f t="shared" si="745"/>
        <v>0.00</v>
      </c>
      <c r="Q289" s="256">
        <v>50</v>
      </c>
      <c r="R289" s="256">
        <v>0</v>
      </c>
      <c r="S289" s="256">
        <f t="shared" si="746"/>
        <v>0</v>
      </c>
      <c r="T289" s="249" t="s">
        <v>131</v>
      </c>
      <c r="U289" s="609" t="s">
        <v>390</v>
      </c>
      <c r="V289" s="608">
        <v>70</v>
      </c>
      <c r="W289" s="249" t="str">
        <f t="shared" si="747"/>
        <v>3.5C X 70</v>
      </c>
      <c r="X289" s="249" t="str">
        <f t="shared" si="748"/>
        <v>3.5C X 70</v>
      </c>
      <c r="Y289" s="249" t="s">
        <v>314</v>
      </c>
      <c r="Z289" s="250">
        <f>IF(T289="AIR",VLOOKUP(W289,'Catalogue Aluminium'!$B$9:$G$91,2,FALSE),IF(T289="GROUND",VLOOKUP(W289,'Catalogue Aluminium'!$B$9:$G$91,3,FALSE),IF(T289="DUCT",VLOOKUP(W289,'Catalogue Aluminium'!$B$9:$G$91,4,FALSE),IF(T289="TRENCH",VLOOKUP(W289,'Catalogue Aluminium'!$B$9:$G$91,2,FALSE)))))</f>
        <v>177</v>
      </c>
      <c r="AA289" s="251">
        <f>VLOOKUP(W289,'Catalogue Aluminium'!$B$9:$G$91,5,FALSE)</f>
        <v>0.56699999999999995</v>
      </c>
      <c r="AB289" s="251">
        <f>VLOOKUP(W289,'Catalogue Aluminium'!$B$9:$G$91,6,FALSE)</f>
        <v>7.5200000000000003E-2</v>
      </c>
      <c r="AC289" s="323">
        <f>26+9</f>
        <v>35</v>
      </c>
      <c r="AD289" s="323">
        <f>68+33+43</f>
        <v>144</v>
      </c>
      <c r="AE289" s="571">
        <v>20</v>
      </c>
      <c r="AF289" s="571">
        <v>8</v>
      </c>
      <c r="AG289" s="294">
        <f t="shared" si="750"/>
        <v>21</v>
      </c>
      <c r="AH289" s="253">
        <f t="shared" si="751"/>
        <v>228</v>
      </c>
      <c r="AI289" s="250">
        <f>IF(T289="AIR",'Catalogue Aluminium'!$K$9,IF(T289="TRENCH",'Catalogue Aluminium'!$K$12,"NA"))</f>
        <v>0.89</v>
      </c>
      <c r="AJ289" s="248">
        <f>IF(T289="Air",(IF(U289="1C",'Catalogue Aluminium'!$L$9,'Catalogue Aluminium'!$M$9)),IF(T289="DUCT",(IF($U289="1C",'Catalogue Aluminium'!$L$10,'Catalogue Aluminium'!$M$10)),IF(T289="GROUND",(IF($U289="1C",'Catalogue Aluminium'!$L$11,'Catalogue Aluminium'!$M$11)),IF(T289="TRENCH",(IF($U289="1C",'Catalogue Aluminium'!$L$12,'Catalogue Aluminium'!$M$12))))))</f>
        <v>0.66</v>
      </c>
      <c r="AK289" s="250" t="str">
        <f>IF(T289="Air",'Catalogue Aluminium'!$N$9,IF(T289="GROUND",'Catalogue Aluminium'!$N$10,IF(T289="DUCT",'Catalogue Aluminium'!$N$11,IF(T289="TRENCH",'Catalogue Aluminium'!$N$12,"NA"))))</f>
        <v>NA</v>
      </c>
      <c r="AL289" s="250" t="str">
        <f>IF(T289="Air",(IF(U289="1C",'Catalogue Aluminium'!$O$9,'Catalogue Aluminium'!$P$9)),IF(T289="DUCT",(IF($U289="1C",'Catalogue Aluminium'!$O$10,'Catalogue Aluminium'!$P$10)),IF(T289="GROUND",(IF($U289="1C",'Catalogue Aluminium'!$O$11,'Catalogue Aluminium'!$P$11)),IF(T289="TRENCH",(IF($U289="1C",'Catalogue Aluminium'!$O$12,'Catalogue Aluminium'!$P$12))))))</f>
        <v>NA</v>
      </c>
      <c r="AM289" s="250" t="str">
        <f>IF(T289="AIR","NA",IF(T289="TRENCH","NA",IF(T289="DUCT",IF(U289="1C",VLOOKUP(V289,'Catalogue Aluminium'!$Q$9:$S$28,2,FALSE),VLOOKUP(V289,'Catalogue Aluminium'!$Q$9:$S$28,3)),IF(T289="GROUND",IF(U289="1C",VLOOKUP(V289,'Catalogue Aluminium'!$Q$9:$S$28,2,FALSE),VLOOKUP(V289,'Catalogue Aluminium'!$Q$9:$S$28,3))))))</f>
        <v>NA</v>
      </c>
      <c r="AN289" s="257">
        <f t="shared" si="752"/>
        <v>0.58740000000000003</v>
      </c>
      <c r="AO289" s="256">
        <f t="shared" si="753"/>
        <v>103.96980000000001</v>
      </c>
      <c r="AP289" s="255">
        <f t="shared" si="655"/>
        <v>1</v>
      </c>
      <c r="AQ289" s="256" t="str">
        <f t="shared" si="754"/>
        <v>YES</v>
      </c>
      <c r="AR289" s="257">
        <f t="shared" si="755"/>
        <v>1.8408683223398672</v>
      </c>
      <c r="AS289" s="249" t="str">
        <f t="shared" si="756"/>
        <v>YES</v>
      </c>
      <c r="AT289" s="257" t="str">
        <f t="shared" si="757"/>
        <v>NA</v>
      </c>
      <c r="AU289" s="249" t="str">
        <f t="shared" si="758"/>
        <v>NA</v>
      </c>
      <c r="AV289" s="260" t="str">
        <f t="shared" si="759"/>
        <v>1R x 0.6/1kV x 3.5C x 70 Sqmm</v>
      </c>
      <c r="AW289" s="260" t="str">
        <f t="shared" si="760"/>
        <v>1R x 0.6/1kV x 3.5C x 70 Sqmm</v>
      </c>
      <c r="AX289" s="249">
        <f t="shared" si="761"/>
        <v>228</v>
      </c>
      <c r="AY289" s="261"/>
    </row>
    <row r="290" spans="1:51" ht="32.25" customHeight="1">
      <c r="A290" s="243">
        <f t="shared" si="762"/>
        <v>189</v>
      </c>
      <c r="B290" s="373" t="s">
        <v>470</v>
      </c>
      <c r="C290" s="243" t="str">
        <f>$D$6</f>
        <v>PMCC-1</v>
      </c>
      <c r="D290" s="272" t="s">
        <v>594</v>
      </c>
      <c r="E290" s="351" t="s">
        <v>304</v>
      </c>
      <c r="F290" s="410"/>
      <c r="G290" s="246" t="s">
        <v>306</v>
      </c>
      <c r="H290" s="256">
        <v>1600</v>
      </c>
      <c r="I290" s="243" t="s">
        <v>319</v>
      </c>
      <c r="J290" s="243" t="s">
        <v>300</v>
      </c>
      <c r="K290" s="255">
        <v>400</v>
      </c>
      <c r="L290" s="249">
        <v>0.84664865012052015</v>
      </c>
      <c r="M290" s="256">
        <v>0.92832394366197268</v>
      </c>
      <c r="N290" s="248">
        <f t="shared" si="743"/>
        <v>2487.7833195389812</v>
      </c>
      <c r="O290" s="665"/>
      <c r="P290" s="666"/>
      <c r="Q290" s="666"/>
      <c r="R290" s="666"/>
      <c r="S290" s="666"/>
      <c r="T290" s="666"/>
      <c r="U290" s="666"/>
      <c r="V290" s="666"/>
      <c r="W290" s="666"/>
      <c r="X290" s="666"/>
      <c r="Y290" s="666"/>
      <c r="Z290" s="666"/>
      <c r="AA290" s="666"/>
      <c r="AB290" s="666"/>
      <c r="AC290" s="680"/>
      <c r="AD290" s="680"/>
      <c r="AE290" s="680"/>
      <c r="AF290" s="680"/>
      <c r="AG290" s="680"/>
      <c r="AH290" s="666"/>
      <c r="AI290" s="666"/>
      <c r="AJ290" s="666"/>
      <c r="AK290" s="666"/>
      <c r="AL290" s="666"/>
      <c r="AM290" s="666"/>
      <c r="AN290" s="666"/>
      <c r="AO290" s="666"/>
      <c r="AP290" s="666"/>
      <c r="AQ290" s="666"/>
      <c r="AR290" s="666"/>
      <c r="AS290" s="666"/>
      <c r="AT290" s="666"/>
      <c r="AU290" s="666"/>
      <c r="AV290" s="666"/>
      <c r="AW290" s="666"/>
      <c r="AX290" s="666"/>
      <c r="AY290" s="666"/>
    </row>
    <row r="291" spans="1:51" ht="32.25" customHeight="1">
      <c r="A291" s="243">
        <f t="shared" si="762"/>
        <v>190</v>
      </c>
      <c r="B291" s="373" t="s">
        <v>470</v>
      </c>
      <c r="C291" s="243" t="str">
        <f>$D$6</f>
        <v>PMCC-1</v>
      </c>
      <c r="D291" s="272" t="s">
        <v>595</v>
      </c>
      <c r="E291" s="351" t="s">
        <v>304</v>
      </c>
      <c r="F291" s="410"/>
      <c r="G291" s="246" t="s">
        <v>306</v>
      </c>
      <c r="H291" s="256">
        <v>1600</v>
      </c>
      <c r="I291" s="243" t="s">
        <v>319</v>
      </c>
      <c r="J291" s="243" t="s">
        <v>300</v>
      </c>
      <c r="K291" s="255">
        <v>400</v>
      </c>
      <c r="L291" s="249">
        <v>0.84664865012052015</v>
      </c>
      <c r="M291" s="256">
        <v>0.92832394366197268</v>
      </c>
      <c r="N291" s="248">
        <f t="shared" si="743"/>
        <v>2487.7833195389812</v>
      </c>
      <c r="O291" s="665"/>
      <c r="P291" s="666"/>
      <c r="Q291" s="666"/>
      <c r="R291" s="666"/>
      <c r="S291" s="666"/>
      <c r="T291" s="666"/>
      <c r="U291" s="666"/>
      <c r="V291" s="666"/>
      <c r="W291" s="666"/>
      <c r="X291" s="666"/>
      <c r="Y291" s="666"/>
      <c r="Z291" s="666"/>
      <c r="AA291" s="666"/>
      <c r="AB291" s="666"/>
      <c r="AC291" s="680"/>
      <c r="AD291" s="680"/>
      <c r="AE291" s="680"/>
      <c r="AF291" s="680"/>
      <c r="AG291" s="680"/>
      <c r="AH291" s="666"/>
      <c r="AI291" s="666"/>
      <c r="AJ291" s="666"/>
      <c r="AK291" s="666"/>
      <c r="AL291" s="666"/>
      <c r="AM291" s="666"/>
      <c r="AN291" s="666"/>
      <c r="AO291" s="666"/>
      <c r="AP291" s="666"/>
      <c r="AQ291" s="666"/>
      <c r="AR291" s="666"/>
      <c r="AS291" s="666"/>
      <c r="AT291" s="666"/>
      <c r="AU291" s="666"/>
      <c r="AV291" s="666"/>
      <c r="AW291" s="666"/>
      <c r="AX291" s="666"/>
      <c r="AY291" s="666"/>
    </row>
    <row r="292" spans="1:51" ht="32.25" customHeight="1">
      <c r="A292" s="243">
        <f t="shared" si="762"/>
        <v>191</v>
      </c>
      <c r="B292" s="373" t="s">
        <v>470</v>
      </c>
      <c r="C292" s="243" t="s">
        <v>476</v>
      </c>
      <c r="D292" s="272" t="s">
        <v>477</v>
      </c>
      <c r="E292" s="351" t="s">
        <v>304</v>
      </c>
      <c r="F292" s="410"/>
      <c r="G292" s="246" t="s">
        <v>306</v>
      </c>
      <c r="H292" s="256">
        <v>1600</v>
      </c>
      <c r="I292" s="243" t="s">
        <v>319</v>
      </c>
      <c r="J292" s="243" t="s">
        <v>300</v>
      </c>
      <c r="K292" s="255">
        <v>400</v>
      </c>
      <c r="L292" s="249">
        <v>0.84664865012052015</v>
      </c>
      <c r="M292" s="256">
        <v>0.92832394366197268</v>
      </c>
      <c r="N292" s="248">
        <f t="shared" si="743"/>
        <v>2487.7833195389812</v>
      </c>
      <c r="O292" s="665"/>
      <c r="P292" s="666"/>
      <c r="Q292" s="666"/>
      <c r="R292" s="666"/>
      <c r="S292" s="666"/>
      <c r="T292" s="666"/>
      <c r="U292" s="666"/>
      <c r="V292" s="666"/>
      <c r="W292" s="666"/>
      <c r="X292" s="666"/>
      <c r="Y292" s="666"/>
      <c r="Z292" s="666"/>
      <c r="AA292" s="666"/>
      <c r="AB292" s="666"/>
      <c r="AC292" s="680"/>
      <c r="AD292" s="680"/>
      <c r="AE292" s="680"/>
      <c r="AF292" s="680"/>
      <c r="AG292" s="680"/>
      <c r="AH292" s="666"/>
      <c r="AI292" s="666"/>
      <c r="AJ292" s="666"/>
      <c r="AK292" s="666"/>
      <c r="AL292" s="666"/>
      <c r="AM292" s="666"/>
      <c r="AN292" s="666"/>
      <c r="AO292" s="666"/>
      <c r="AP292" s="666"/>
      <c r="AQ292" s="666"/>
      <c r="AR292" s="666"/>
      <c r="AS292" s="666"/>
      <c r="AT292" s="666"/>
      <c r="AU292" s="666"/>
      <c r="AV292" s="666"/>
      <c r="AW292" s="666"/>
      <c r="AX292" s="666"/>
      <c r="AY292" s="666"/>
    </row>
    <row r="293" spans="1:51" s="70" customFormat="1" ht="22.5" customHeight="1">
      <c r="A293" s="376"/>
      <c r="B293" s="376"/>
      <c r="C293" s="376"/>
      <c r="D293" s="242" t="s">
        <v>596</v>
      </c>
      <c r="E293" s="378"/>
      <c r="F293" s="566"/>
      <c r="G293" s="376"/>
      <c r="H293" s="379"/>
      <c r="I293" s="376"/>
      <c r="J293" s="376"/>
      <c r="K293" s="380"/>
      <c r="L293" s="381"/>
      <c r="M293" s="379"/>
      <c r="N293" s="382"/>
      <c r="O293" s="382"/>
      <c r="P293" s="381"/>
      <c r="Q293" s="379"/>
      <c r="R293" s="379"/>
      <c r="S293" s="379"/>
      <c r="T293" s="381"/>
      <c r="U293" s="379"/>
      <c r="V293" s="381"/>
      <c r="W293" s="381"/>
      <c r="X293" s="381"/>
      <c r="Y293" s="381"/>
      <c r="Z293" s="383"/>
      <c r="AA293" s="384"/>
      <c r="AB293" s="384"/>
      <c r="AC293" s="570"/>
      <c r="AD293" s="570"/>
      <c r="AE293" s="570"/>
      <c r="AF293" s="570"/>
      <c r="AG293" s="570"/>
      <c r="AH293" s="385"/>
      <c r="AI293" s="383"/>
      <c r="AJ293" s="382"/>
      <c r="AK293" s="383"/>
      <c r="AL293" s="383"/>
      <c r="AM293" s="383"/>
      <c r="AN293" s="386"/>
      <c r="AO293" s="379"/>
      <c r="AP293" s="380"/>
      <c r="AQ293" s="379"/>
      <c r="AR293" s="386"/>
      <c r="AS293" s="381"/>
      <c r="AT293" s="386"/>
      <c r="AU293" s="386"/>
      <c r="AV293" s="387"/>
      <c r="AW293" s="387"/>
      <c r="AX293" s="381"/>
      <c r="AY293" s="388"/>
    </row>
    <row r="294" spans="1:51" s="70" customFormat="1" ht="26.25" customHeight="1">
      <c r="A294" s="273"/>
      <c r="B294" s="273"/>
      <c r="C294" s="273"/>
      <c r="D294" s="357" t="s">
        <v>597</v>
      </c>
      <c r="E294" s="358"/>
      <c r="F294" s="412"/>
      <c r="G294" s="273"/>
      <c r="H294" s="281"/>
      <c r="I294" s="273"/>
      <c r="J294" s="273"/>
      <c r="K294" s="280"/>
      <c r="L294" s="275"/>
      <c r="M294" s="281"/>
      <c r="N294" s="274"/>
      <c r="O294" s="274"/>
      <c r="P294" s="275"/>
      <c r="Q294" s="281"/>
      <c r="R294" s="281"/>
      <c r="S294" s="281"/>
      <c r="T294" s="275"/>
      <c r="U294" s="281"/>
      <c r="V294" s="275"/>
      <c r="W294" s="275"/>
      <c r="X294" s="275"/>
      <c r="Y294" s="275"/>
      <c r="Z294" s="276"/>
      <c r="AA294" s="277"/>
      <c r="AB294" s="277"/>
      <c r="AC294" s="277"/>
      <c r="AD294" s="277"/>
      <c r="AE294" s="277"/>
      <c r="AF294" s="277"/>
      <c r="AG294" s="277"/>
      <c r="AH294" s="277"/>
      <c r="AI294" s="276"/>
      <c r="AJ294" s="274"/>
      <c r="AK294" s="276"/>
      <c r="AL294" s="276"/>
      <c r="AM294" s="276"/>
      <c r="AN294" s="282"/>
      <c r="AO294" s="281"/>
      <c r="AP294" s="280"/>
      <c r="AQ294" s="281"/>
      <c r="AR294" s="282"/>
      <c r="AS294" s="275"/>
      <c r="AT294" s="282"/>
      <c r="AU294" s="282"/>
      <c r="AV294" s="283"/>
      <c r="AW294" s="283"/>
      <c r="AX294" s="275"/>
      <c r="AY294" s="284"/>
    </row>
    <row r="295" spans="1:51">
      <c r="A295" s="243">
        <f>1+A292</f>
        <v>192</v>
      </c>
      <c r="B295" s="249" t="s">
        <v>382</v>
      </c>
      <c r="C295" s="243" t="str">
        <f t="shared" ref="C295:C326" si="767">$D$293</f>
        <v>PDB-1</v>
      </c>
      <c r="D295" s="314" t="s">
        <v>598</v>
      </c>
      <c r="E295" s="351" t="s">
        <v>410</v>
      </c>
      <c r="F295" s="410" t="s">
        <v>28</v>
      </c>
      <c r="G295" s="243" t="s">
        <v>311</v>
      </c>
      <c r="H295" s="421">
        <v>75</v>
      </c>
      <c r="I295" s="243" t="s">
        <v>299</v>
      </c>
      <c r="J295" s="243" t="s">
        <v>300</v>
      </c>
      <c r="K295" s="255">
        <v>400</v>
      </c>
      <c r="L295" s="249">
        <v>0.85</v>
      </c>
      <c r="M295" s="256">
        <v>0.95400000000000007</v>
      </c>
      <c r="N295" s="248">
        <f t="shared" ref="N295:N339" si="768">IF(I295="kVA",IF(J295="3Ph",(H295*1000/(1.732*M295*K295)),(H295*1000/(M295*K295))),IF(I295="kW",IF(J295="3Ph",(H295*1000/(1.732*M295*K295*L295)),(H295*1000/(M295*K295*L295)))))</f>
        <v>133.50148111883212</v>
      </c>
      <c r="O295" s="248">
        <f t="shared" ref="O295:O348" si="769">IF(G295="MOTOR",(6*N295),IF(G295="VFD",(1*N295),0))</f>
        <v>801.00888671299276</v>
      </c>
      <c r="P295" s="249">
        <f t="shared" ref="P295:P339" si="770">IF(G295="MOTOR",0.2,"0.00")</f>
        <v>0.2</v>
      </c>
      <c r="Q295" s="256">
        <v>50</v>
      </c>
      <c r="R295" s="256">
        <v>0</v>
      </c>
      <c r="S295" s="256">
        <f t="shared" ref="S295:S339" si="771">(Q295*1000*SQRT(R295)/143)</f>
        <v>0</v>
      </c>
      <c r="T295" s="249" t="s">
        <v>301</v>
      </c>
      <c r="U295" s="256" t="s">
        <v>302</v>
      </c>
      <c r="V295" s="249">
        <v>70</v>
      </c>
      <c r="W295" s="249" t="str">
        <f t="shared" ref="W295:W339" si="772">CONCATENATE(U295," X ",V295)</f>
        <v>3C X 70</v>
      </c>
      <c r="X295" s="249" t="str">
        <f t="shared" ref="X295:X339" si="773">(IF(J295="1Ph",W295,IF(J295="3Ph",(IF(G295="MOTOR",(CONCATENATE(W295,"+PE")),W295)))))</f>
        <v>3C X 70+PE</v>
      </c>
      <c r="Y295" s="249" t="s">
        <v>314</v>
      </c>
      <c r="Z295" s="250">
        <f>IF(T295="AIR",VLOOKUP(W295,'Catalogue Aluminium'!$B$9:$G$91,2,FALSE),IF(T295="GROUND",VLOOKUP(W295,'Catalogue Aluminium'!$B$9:$G$91,3,FALSE),IF(T295="DUCT",VLOOKUP(W295,'Catalogue Aluminium'!$B$9:$G$91,4,FALSE),IF(T295="TRENCH",VLOOKUP(W295,'Catalogue Aluminium'!$B$9:$G$91,2,FALSE)))))</f>
        <v>177</v>
      </c>
      <c r="AA295" s="251">
        <f>VLOOKUP(W295,'Catalogue Aluminium'!$B$9:$G$91,5,FALSE)</f>
        <v>0.56699999999999995</v>
      </c>
      <c r="AB295" s="251">
        <f>VLOOKUP(W295,'Catalogue Aluminium'!$B$9:$G$91,6,FALSE)</f>
        <v>7.5200000000000003E-2</v>
      </c>
      <c r="AC295" s="323">
        <f>23+11</f>
        <v>34</v>
      </c>
      <c r="AD295" s="285">
        <f>31+10</f>
        <v>41</v>
      </c>
      <c r="AE295" s="323">
        <v>10</v>
      </c>
      <c r="AF295" s="294">
        <v>8</v>
      </c>
      <c r="AG295" s="294">
        <f t="shared" ref="AG295:AG339" si="774">ROUNDUP((SUM(AC295:AF295)*0.1),0)</f>
        <v>10</v>
      </c>
      <c r="AH295" s="253">
        <f t="shared" ref="AH295:AH339" si="775">SUM(AC295:AG295)</f>
        <v>103</v>
      </c>
      <c r="AI295" s="250">
        <f>IF(T295="AIR",'Catalogue Aluminium'!$K$9,IF(T295="TRENCH",'Catalogue Aluminium'!$K$12,"NA"))</f>
        <v>0.89</v>
      </c>
      <c r="AJ295" s="248">
        <f>IF(T295="Air",(IF(U295="1C",'Catalogue Aluminium'!$L$9,'Catalogue Aluminium'!$M$9)),IF(T295="DUCT",(IF($U295="1C",'Catalogue Aluminium'!$L$10,'Catalogue Aluminium'!$M$10)),IF(T295="GROUND",(IF($U295="1C",'Catalogue Aluminium'!$L$11,'Catalogue Aluminium'!$M$11)),IF(T295="TRENCH",(IF($U295="1C",'Catalogue Aluminium'!$L$12,'Catalogue Aluminium'!$M$12))))))</f>
        <v>0.66</v>
      </c>
      <c r="AK295" s="250" t="str">
        <f>IF(T295="Air",'Catalogue Aluminium'!$N$9,IF(T295="GROUND",'Catalogue Aluminium'!$N$10,IF(T295="DUCT",'Catalogue Aluminium'!$N$11,IF(T295="TRENCH",'Catalogue Aluminium'!$N$12,"NA"))))</f>
        <v>NA</v>
      </c>
      <c r="AL295" s="250" t="str">
        <f>IF(T295="Air",(IF(U295="1C",'Catalogue Aluminium'!$O$9,'Catalogue Aluminium'!$P$9)),IF(T295="DUCT",(IF($U295="1C",'Catalogue Aluminium'!$O$10,'Catalogue Aluminium'!$P$10)),IF(T295="GROUND",(IF($U295="1C",'Catalogue Aluminium'!$O$11,'Catalogue Aluminium'!$P$11)),IF(T295="TRENCH",(IF($U295="1C",'Catalogue Aluminium'!$O$12,'Catalogue Aluminium'!$P$12))))))</f>
        <v>NA</v>
      </c>
      <c r="AM295" s="250" t="str">
        <f>IF(T295="AIR","NA",IF(T295="TRENCH","NA",IF(T295="DUCT",IF(U295="1C",VLOOKUP(V295,'Catalogue Aluminium'!$Q$9:$S$28,2,FALSE),VLOOKUP(V295,'Catalogue Aluminium'!$Q$9:$S$28,3)),IF(T295="GROUND",IF(U295="1C",VLOOKUP(V295,'Catalogue Aluminium'!$Q$9:$S$28,2,FALSE),VLOOKUP(V295,'Catalogue Aluminium'!$Q$9:$S$28,3))))))</f>
        <v>NA</v>
      </c>
      <c r="AN295" s="257">
        <f t="shared" ref="AN295:AN339" si="776">IF(T295="AIR",AI295*AJ295,IF(T295="TRENCH",AI295*AJ295,IF(T295="DUCT",AJ295*AK295*AL295*AM295,IF(T295="GROUND",AJ295*AK295*AL295*AM295))))</f>
        <v>0.58740000000000003</v>
      </c>
      <c r="AO295" s="256">
        <f t="shared" ref="AO295:AO339" si="777">Z295*AN295</f>
        <v>103.96980000000001</v>
      </c>
      <c r="AP295" s="255">
        <f t="shared" ref="AP295:AP339" si="778">CEILING(((N295)/AO295),1)</f>
        <v>2</v>
      </c>
      <c r="AQ295" s="256" t="str">
        <f t="shared" ref="AQ295:AQ339" si="779">IF(AO295*AP295&gt;=N295,"YES","NO")</f>
        <v>YES</v>
      </c>
      <c r="AR295" s="257">
        <f t="shared" ref="AR295:AR339" si="780">SQRT(3)*AH295*N295*((AA295*L295)+(AB295*SIN(ACOS(L295))))*100/(AP295*K295*1000)</f>
        <v>1.5527502391329788</v>
      </c>
      <c r="AS295" s="249" t="str">
        <f t="shared" ref="AS295:AS339" si="781">IF(G295="INCOMER",(IF(AR295&lt;=2,"YES","NO")),IF(G295="POWER",(IF(AR295&lt;=2.5,"YES","NO")),IF(G295="MOTOR",(IF(AR295&lt;=3,"YES","NO")))))</f>
        <v>YES</v>
      </c>
      <c r="AT295" s="257">
        <f t="shared" ref="AT295:AT339" si="782">IF(G295="MOTOR",(SQRT(3)*AH295*O295*((AA295*P295)+(AB295*SIN(ACOS(P295))))*100/(AP295*K295*1000)),"NA")</f>
        <v>3.3417508945893983</v>
      </c>
      <c r="AU295" s="249" t="str">
        <f t="shared" ref="AU295:AU339" si="783">IF(G295="MOTOR",IF(AT295&lt;=15,"YES","NO"),"NA")</f>
        <v>YES</v>
      </c>
      <c r="AV295" s="260" t="str">
        <f t="shared" ref="AV295:AV339" si="784">IF(U295="1C",CONCATENATE(AP295,"R x ",Y295,"kV x ",U295," x ",V295," Sqmm/Phase"),CONCATENATE(AP295,"R x ",0.6,"/1kV x ",U295," x ",V295," Sqmm"))</f>
        <v>2R x 0.6/1kV x 3C x 70 Sqmm</v>
      </c>
      <c r="AW295" s="260" t="str">
        <f t="shared" ref="AW295:AW339" si="785">IF(U295="1C",CONCATENATE(AP295,"R x ",Y295,"kV x ",U295," x ",V295," Sqmm/Phase"),CONCATENATE(AP295,"R x ",0.6,"/1kV x ",U295," x ",V295,(IF(G295="MOTOR","+PE",""))," Sqmm"))</f>
        <v>2R x 0.6/1kV x 3C x 70+PE Sqmm</v>
      </c>
      <c r="AX295" s="249">
        <f t="shared" ref="AX295:AX302" si="786">(IF(K295=400,(IF(U295="1C",(4*AH295*AP295),(AH295*AP295))),IF(K295=230,(AH295*AP295))))</f>
        <v>206</v>
      </c>
      <c r="AY295" s="261"/>
    </row>
    <row r="296" spans="1:51">
      <c r="A296" s="285">
        <f t="shared" ref="A296:A301" si="787">1+A295</f>
        <v>193</v>
      </c>
      <c r="B296" s="294" t="s">
        <v>382</v>
      </c>
      <c r="C296" s="285" t="str">
        <f t="shared" si="767"/>
        <v>PDB-1</v>
      </c>
      <c r="D296" s="315" t="s">
        <v>599</v>
      </c>
      <c r="E296" s="352" t="s">
        <v>410</v>
      </c>
      <c r="F296" s="411" t="s">
        <v>28</v>
      </c>
      <c r="G296" s="285" t="s">
        <v>298</v>
      </c>
      <c r="H296" s="291">
        <v>0.2</v>
      </c>
      <c r="I296" s="285" t="s">
        <v>299</v>
      </c>
      <c r="J296" s="285" t="s">
        <v>313</v>
      </c>
      <c r="K296" s="309">
        <v>230</v>
      </c>
      <c r="L296" s="294">
        <v>0.85</v>
      </c>
      <c r="M296" s="304">
        <v>0.95</v>
      </c>
      <c r="N296" s="287">
        <f t="shared" si="768"/>
        <v>1.0768609503297888</v>
      </c>
      <c r="O296" s="287">
        <f t="shared" si="769"/>
        <v>0</v>
      </c>
      <c r="P296" s="294" t="str">
        <f t="shared" si="770"/>
        <v>0.00</v>
      </c>
      <c r="Q296" s="304">
        <v>65</v>
      </c>
      <c r="R296" s="304">
        <v>0</v>
      </c>
      <c r="S296" s="304">
        <f t="shared" si="771"/>
        <v>0</v>
      </c>
      <c r="T296" s="294" t="s">
        <v>131</v>
      </c>
      <c r="U296" s="304" t="s">
        <v>302</v>
      </c>
      <c r="V296" s="294">
        <v>2.5</v>
      </c>
      <c r="W296" s="294" t="str">
        <f t="shared" si="772"/>
        <v>3C X 2.5</v>
      </c>
      <c r="X296" s="294" t="str">
        <f t="shared" ref="X296" si="788">(IF(J296="1Ph",W296,IF(J296="3Ph",(IF(G296="MOTOR",(CONCATENATE(W296,"+PE")),W296)))))</f>
        <v>3C X 2.5</v>
      </c>
      <c r="Y296" s="294" t="s">
        <v>314</v>
      </c>
      <c r="Z296" s="288">
        <f>IF(T296="AIR",VLOOKUP(W296,'Catalogue Aluminium'!$B$9:$G$91,2,FALSE),IF(T296="GROUND",VLOOKUP(W296,'Catalogue Aluminium'!$B$9:$G$91,3,FALSE),IF(T296="DUCT",VLOOKUP(W296,'Catalogue Aluminium'!$B$9:$G$91,4,FALSE),IF(T296="TRENCH",VLOOKUP(W296,'Catalogue Aluminium'!$B$9:$G$91,2,FALSE)))))</f>
        <v>28</v>
      </c>
      <c r="AA296" s="295">
        <f>VLOOKUP(W296,'Catalogue Aluminium'!$B$9:$G$91,5,FALSE)</f>
        <v>9.48</v>
      </c>
      <c r="AB296" s="295">
        <f>VLOOKUP(W296,'Catalogue Aluminium'!$B$9:$G$91,6,FALSE)</f>
        <v>0.1007</v>
      </c>
      <c r="AC296" s="323">
        <f>23+11</f>
        <v>34</v>
      </c>
      <c r="AD296" s="285">
        <f>31+10</f>
        <v>41</v>
      </c>
      <c r="AE296" s="323">
        <v>10</v>
      </c>
      <c r="AF296" s="294">
        <v>8</v>
      </c>
      <c r="AG296" s="294">
        <f t="shared" ref="AG296" si="789">ROUNDUP((SUM(AC296:AF296)*0.1),0)</f>
        <v>10</v>
      </c>
      <c r="AH296" s="311">
        <f t="shared" ref="AH296" si="790">SUM(AC296:AG296)</f>
        <v>103</v>
      </c>
      <c r="AI296" s="288">
        <f>IF(T296="AIR",'Catalogue Aluminium'!$K$9,IF(T296="TRENCH",'Catalogue Aluminium'!$K$12,"NA"))</f>
        <v>0.89</v>
      </c>
      <c r="AJ296" s="287">
        <f>IF(T296="Air",(IF(U296="1C",'Catalogue Aluminium'!$L$9,'Catalogue Aluminium'!$M$9)),IF(T296="DUCT",(IF($U296="1C",'Catalogue Aluminium'!$L$10,'Catalogue Aluminium'!$M$10)),IF(T296="GROUND",(IF($U296="1C",'Catalogue Aluminium'!$L$11,'Catalogue Aluminium'!$M$11)),IF(T296="TRENCH",(IF($U296="1C",'Catalogue Aluminium'!$L$12,'Catalogue Aluminium'!$M$12))))))</f>
        <v>0.66</v>
      </c>
      <c r="AK296" s="288" t="str">
        <f>IF(T296="Air",'Catalogue Aluminium'!$N$9,IF(T296="GROUND",'Catalogue Aluminium'!$N$10,IF(T296="DUCT",'Catalogue Aluminium'!$N$11,IF(T296="TRENCH",'Catalogue Aluminium'!$N$12,"NA"))))</f>
        <v>NA</v>
      </c>
      <c r="AL296" s="288" t="str">
        <f>IF(T296="Air",(IF(U296="1C",'Catalogue Aluminium'!$O$9,'Catalogue Aluminium'!$P$9)),IF(T296="DUCT",(IF($U296="1C",'Catalogue Aluminium'!$O$10,'Catalogue Aluminium'!$P$10)),IF(T296="GROUND",(IF($U296="1C",'Catalogue Aluminium'!$O$11,'Catalogue Aluminium'!$P$11)),IF(T296="TRENCH",(IF($U296="1C",'Catalogue Aluminium'!$O$12,'Catalogue Aluminium'!$P$12))))))</f>
        <v>NA</v>
      </c>
      <c r="AM296" s="288" t="str">
        <f>IF(T296="AIR","NA",IF(T296="TRENCH","NA",IF(T296="DUCT",IF(U296="1C",VLOOKUP(V296,'Catalogue Aluminium'!$Q$9:$S$28,2,FALSE),VLOOKUP(V296,'Catalogue Aluminium'!$Q$9:$S$28,3)),IF(T296="GROUND",IF(U296="1C",VLOOKUP(V296,'Catalogue Aluminium'!$Q$9:$S$28,2,FALSE),VLOOKUP(V296,'Catalogue Aluminium'!$Q$9:$S$28,3))))))</f>
        <v>NA</v>
      </c>
      <c r="AN296" s="312">
        <f t="shared" ref="AN296" si="791">IF(T296="AIR",AI296*AJ296,IF(T296="TRENCH",AI296*AJ296,IF(T296="DUCT",AJ296*AK296*AL296*AM296,IF(T296="GROUND",AJ296*AK296*AL296*AM296))))</f>
        <v>0.58740000000000003</v>
      </c>
      <c r="AO296" s="304">
        <f t="shared" ref="AO296" si="792">Z296*AN296</f>
        <v>16.447200000000002</v>
      </c>
      <c r="AP296" s="309">
        <f t="shared" ref="AP296" si="793">CEILING(((N296)/AO296),1)</f>
        <v>1</v>
      </c>
      <c r="AQ296" s="304" t="str">
        <f t="shared" ref="AQ296" si="794">IF(AO296*AP296&gt;=N296,"YES","NO")</f>
        <v>YES</v>
      </c>
      <c r="AR296" s="312">
        <f t="shared" ref="AR296" si="795">SQRT(3)*AH296*N296*((AA296*L296)+(AB296*SIN(ACOS(L296))))*100/(AP296*K296*1000)</f>
        <v>0.67749573183692458</v>
      </c>
      <c r="AS296" s="294" t="str">
        <f t="shared" ref="AS296" si="796">IF(G296="INCOMER",(IF(AR296&lt;=2,"YES","NO")),IF(G296="POWER",(IF(AR296&lt;=2.5,"YES","NO")),IF(G296="MOTOR",(IF(AR296&lt;=3,"YES","NO")))))</f>
        <v>YES</v>
      </c>
      <c r="AT296" s="312" t="str">
        <f t="shared" si="782"/>
        <v>NA</v>
      </c>
      <c r="AU296" s="294" t="str">
        <f t="shared" si="783"/>
        <v>NA</v>
      </c>
      <c r="AV296" s="353" t="str">
        <f t="shared" si="784"/>
        <v>1R x 0.6/1kV x 3C x 2.5 Sqmm</v>
      </c>
      <c r="AW296" s="353" t="str">
        <f t="shared" si="785"/>
        <v>1R x 0.6/1kV x 3C x 2.5 Sqmm</v>
      </c>
      <c r="AX296" s="294">
        <f t="shared" si="786"/>
        <v>103</v>
      </c>
      <c r="AY296" s="354"/>
    </row>
    <row r="297" spans="1:51">
      <c r="A297" s="243">
        <f t="shared" si="787"/>
        <v>194</v>
      </c>
      <c r="B297" s="249" t="s">
        <v>382</v>
      </c>
      <c r="C297" s="243" t="str">
        <f t="shared" si="767"/>
        <v>PDB-1</v>
      </c>
      <c r="D297" s="314" t="s">
        <v>600</v>
      </c>
      <c r="E297" s="351" t="s">
        <v>410</v>
      </c>
      <c r="F297" s="410" t="s">
        <v>28</v>
      </c>
      <c r="G297" s="243" t="s">
        <v>298</v>
      </c>
      <c r="H297" s="304">
        <v>15</v>
      </c>
      <c r="I297" s="243" t="s">
        <v>299</v>
      </c>
      <c r="J297" s="243" t="s">
        <v>300</v>
      </c>
      <c r="K297" s="255">
        <v>400</v>
      </c>
      <c r="L297" s="249">
        <v>0.85</v>
      </c>
      <c r="M297" s="256">
        <v>0.95</v>
      </c>
      <c r="N297" s="248">
        <f t="shared" si="768"/>
        <v>26.81271852365597</v>
      </c>
      <c r="O297" s="248">
        <f t="shared" si="769"/>
        <v>0</v>
      </c>
      <c r="P297" s="249" t="str">
        <f t="shared" si="770"/>
        <v>0.00</v>
      </c>
      <c r="Q297" s="256">
        <v>50</v>
      </c>
      <c r="R297" s="256">
        <v>0</v>
      </c>
      <c r="S297" s="256">
        <f t="shared" si="771"/>
        <v>0</v>
      </c>
      <c r="T297" s="249" t="s">
        <v>301</v>
      </c>
      <c r="U297" s="256" t="s">
        <v>390</v>
      </c>
      <c r="V297" s="249">
        <v>25</v>
      </c>
      <c r="W297" s="249" t="str">
        <f t="shared" si="772"/>
        <v>3.5C X 25</v>
      </c>
      <c r="X297" s="249" t="str">
        <f t="shared" si="773"/>
        <v>3.5C X 25</v>
      </c>
      <c r="Y297" s="249" t="s">
        <v>314</v>
      </c>
      <c r="Z297" s="250">
        <f>IF(T297="AIR",VLOOKUP(W297,'Catalogue Aluminium'!$B$9:$G$91,2,FALSE),IF(T297="GROUND",VLOOKUP(W297,'Catalogue Aluminium'!$B$9:$G$91,3,FALSE),IF(T297="DUCT",VLOOKUP(W297,'Catalogue Aluminium'!$B$9:$G$91,4,FALSE),IF(T297="TRENCH",VLOOKUP(W297,'Catalogue Aluminium'!$B$9:$G$91,2,FALSE)))))</f>
        <v>95</v>
      </c>
      <c r="AA297" s="251">
        <f>VLOOKUP(W297,'Catalogue Aluminium'!$B$9:$G$91,5,FALSE)</f>
        <v>1.54</v>
      </c>
      <c r="AB297" s="251">
        <f>VLOOKUP(W297,'Catalogue Aluminium'!$B$9:$G$91,6,FALSE)</f>
        <v>8.1600000000000006E-2</v>
      </c>
      <c r="AC297" s="323">
        <f t="shared" ref="AC297:AC345" si="797">23+11</f>
        <v>34</v>
      </c>
      <c r="AD297" s="285">
        <f t="shared" ref="AD297:AD307" si="798">31+10</f>
        <v>41</v>
      </c>
      <c r="AE297" s="323">
        <v>10</v>
      </c>
      <c r="AF297" s="294">
        <v>8</v>
      </c>
      <c r="AG297" s="294">
        <f t="shared" si="774"/>
        <v>10</v>
      </c>
      <c r="AH297" s="253">
        <f t="shared" si="775"/>
        <v>103</v>
      </c>
      <c r="AI297" s="250">
        <f>IF(T297="AIR",'Catalogue Aluminium'!$K$9,IF(T297="TRENCH",'Catalogue Aluminium'!$K$12,"NA"))</f>
        <v>0.89</v>
      </c>
      <c r="AJ297" s="248">
        <f>IF(T297="Air",(IF(U297="1C",'Catalogue Aluminium'!$L$9,'Catalogue Aluminium'!$M$9)),IF(T297="DUCT",(IF($U297="1C",'Catalogue Aluminium'!$L$10,'Catalogue Aluminium'!$M$10)),IF(T297="GROUND",(IF($U297="1C",'Catalogue Aluminium'!$L$11,'Catalogue Aluminium'!$M$11)),IF(T297="TRENCH",(IF($U297="1C",'Catalogue Aluminium'!$L$12,'Catalogue Aluminium'!$M$12))))))</f>
        <v>0.66</v>
      </c>
      <c r="AK297" s="250" t="str">
        <f>IF(T297="Air",'Catalogue Aluminium'!$N$9,IF(T297="GROUND",'Catalogue Aluminium'!$N$10,IF(T297="DUCT",'Catalogue Aluminium'!$N$11,IF(T297="TRENCH",'Catalogue Aluminium'!$N$12,"NA"))))</f>
        <v>NA</v>
      </c>
      <c r="AL297" s="250" t="str">
        <f>IF(T297="Air",(IF(U297="1C",'Catalogue Aluminium'!$O$9,'Catalogue Aluminium'!$P$9)),IF(T297="DUCT",(IF($U297="1C",'Catalogue Aluminium'!$O$10,'Catalogue Aluminium'!$P$10)),IF(T297="GROUND",(IF($U297="1C",'Catalogue Aluminium'!$O$11,'Catalogue Aluminium'!$P$11)),IF(T297="TRENCH",(IF($U297="1C",'Catalogue Aluminium'!$O$12,'Catalogue Aluminium'!$P$12))))))</f>
        <v>NA</v>
      </c>
      <c r="AM297" s="250" t="str">
        <f>IF(T297="AIR","NA",IF(T297="TRENCH","NA",IF(T297="DUCT",IF(U297="1C",VLOOKUP(V297,'Catalogue Aluminium'!$Q$9:$S$28,2,FALSE),VLOOKUP(V297,'Catalogue Aluminium'!$Q$9:$S$28,3)),IF(T297="GROUND",IF(U297="1C",VLOOKUP(V297,'Catalogue Aluminium'!$Q$9:$S$28,2,FALSE),VLOOKUP(V297,'Catalogue Aluminium'!$Q$9:$S$28,3))))))</f>
        <v>NA</v>
      </c>
      <c r="AN297" s="257">
        <f t="shared" si="776"/>
        <v>0.58740000000000003</v>
      </c>
      <c r="AO297" s="256">
        <f t="shared" si="777"/>
        <v>55.803000000000004</v>
      </c>
      <c r="AP297" s="255">
        <f t="shared" si="778"/>
        <v>1</v>
      </c>
      <c r="AQ297" s="256" t="str">
        <f t="shared" si="779"/>
        <v>YES</v>
      </c>
      <c r="AR297" s="257">
        <f t="shared" si="780"/>
        <v>1.616779273741455</v>
      </c>
      <c r="AS297" s="249" t="str">
        <f t="shared" si="781"/>
        <v>YES</v>
      </c>
      <c r="AT297" s="257" t="str">
        <f t="shared" si="782"/>
        <v>NA</v>
      </c>
      <c r="AU297" s="249" t="str">
        <f t="shared" si="783"/>
        <v>NA</v>
      </c>
      <c r="AV297" s="260" t="str">
        <f t="shared" si="784"/>
        <v>1R x 0.6/1kV x 3.5C x 25 Sqmm</v>
      </c>
      <c r="AW297" s="260" t="str">
        <f t="shared" si="785"/>
        <v>1R x 0.6/1kV x 3.5C x 25 Sqmm</v>
      </c>
      <c r="AX297" s="249">
        <f t="shared" si="786"/>
        <v>103</v>
      </c>
      <c r="AY297" s="261"/>
    </row>
    <row r="298" spans="1:51">
      <c r="A298" s="243">
        <f t="shared" si="787"/>
        <v>195</v>
      </c>
      <c r="B298" s="249" t="s">
        <v>382</v>
      </c>
      <c r="C298" s="243" t="str">
        <f t="shared" si="767"/>
        <v>PDB-1</v>
      </c>
      <c r="D298" s="314" t="s">
        <v>601</v>
      </c>
      <c r="E298" s="351" t="s">
        <v>410</v>
      </c>
      <c r="F298" s="410" t="s">
        <v>28</v>
      </c>
      <c r="G298" s="243" t="s">
        <v>298</v>
      </c>
      <c r="H298" s="304">
        <v>18</v>
      </c>
      <c r="I298" s="243" t="s">
        <v>299</v>
      </c>
      <c r="J298" s="243" t="s">
        <v>300</v>
      </c>
      <c r="K298" s="255">
        <v>400</v>
      </c>
      <c r="L298" s="249">
        <v>0.85</v>
      </c>
      <c r="M298" s="256">
        <v>0.95</v>
      </c>
      <c r="N298" s="248">
        <f t="shared" si="768"/>
        <v>32.175262228387169</v>
      </c>
      <c r="O298" s="248">
        <f t="shared" si="769"/>
        <v>0</v>
      </c>
      <c r="P298" s="249" t="str">
        <f t="shared" si="770"/>
        <v>0.00</v>
      </c>
      <c r="Q298" s="256">
        <v>50</v>
      </c>
      <c r="R298" s="256">
        <v>0</v>
      </c>
      <c r="S298" s="256">
        <f t="shared" si="771"/>
        <v>0</v>
      </c>
      <c r="T298" s="249" t="s">
        <v>301</v>
      </c>
      <c r="U298" s="256" t="s">
        <v>390</v>
      </c>
      <c r="V298" s="249">
        <v>25</v>
      </c>
      <c r="W298" s="249" t="str">
        <f t="shared" si="772"/>
        <v>3.5C X 25</v>
      </c>
      <c r="X298" s="249" t="str">
        <f t="shared" si="773"/>
        <v>3.5C X 25</v>
      </c>
      <c r="Y298" s="249" t="s">
        <v>314</v>
      </c>
      <c r="Z298" s="250">
        <f>IF(T298="AIR",VLOOKUP(W298,'Catalogue Aluminium'!$B$9:$G$91,2,FALSE),IF(T298="GROUND",VLOOKUP(W298,'Catalogue Aluminium'!$B$9:$G$91,3,FALSE),IF(T298="DUCT",VLOOKUP(W298,'Catalogue Aluminium'!$B$9:$G$91,4,FALSE),IF(T298="TRENCH",VLOOKUP(W298,'Catalogue Aluminium'!$B$9:$G$91,2,FALSE)))))</f>
        <v>95</v>
      </c>
      <c r="AA298" s="251">
        <f>VLOOKUP(W298,'Catalogue Aluminium'!$B$9:$G$91,5,FALSE)</f>
        <v>1.54</v>
      </c>
      <c r="AB298" s="251">
        <f>VLOOKUP(W298,'Catalogue Aluminium'!$B$9:$G$91,6,FALSE)</f>
        <v>8.1600000000000006E-2</v>
      </c>
      <c r="AC298" s="323">
        <f t="shared" si="797"/>
        <v>34</v>
      </c>
      <c r="AD298" s="285">
        <f t="shared" si="798"/>
        <v>41</v>
      </c>
      <c r="AE298" s="323">
        <v>10</v>
      </c>
      <c r="AF298" s="294">
        <v>8</v>
      </c>
      <c r="AG298" s="294">
        <f t="shared" si="774"/>
        <v>10</v>
      </c>
      <c r="AH298" s="253">
        <f t="shared" si="775"/>
        <v>103</v>
      </c>
      <c r="AI298" s="250">
        <f>IF(T298="AIR",'Catalogue Aluminium'!$K$9,IF(T298="TRENCH",'Catalogue Aluminium'!$K$12,"NA"))</f>
        <v>0.89</v>
      </c>
      <c r="AJ298" s="248">
        <f>IF(T298="Air",(IF(U298="1C",'Catalogue Aluminium'!$L$9,'Catalogue Aluminium'!$M$9)),IF(T298="DUCT",(IF($U298="1C",'Catalogue Aluminium'!$L$10,'Catalogue Aluminium'!$M$10)),IF(T298="GROUND",(IF($U298="1C",'Catalogue Aluminium'!$L$11,'Catalogue Aluminium'!$M$11)),IF(T298="TRENCH",(IF($U298="1C",'Catalogue Aluminium'!$L$12,'Catalogue Aluminium'!$M$12))))))</f>
        <v>0.66</v>
      </c>
      <c r="AK298" s="250" t="str">
        <f>IF(T298="Air",'Catalogue Aluminium'!$N$9,IF(T298="GROUND",'Catalogue Aluminium'!$N$10,IF(T298="DUCT",'Catalogue Aluminium'!$N$11,IF(T298="TRENCH",'Catalogue Aluminium'!$N$12,"NA"))))</f>
        <v>NA</v>
      </c>
      <c r="AL298" s="250" t="str">
        <f>IF(T298="Air",(IF(U298="1C",'Catalogue Aluminium'!$O$9,'Catalogue Aluminium'!$P$9)),IF(T298="DUCT",(IF($U298="1C",'Catalogue Aluminium'!$O$10,'Catalogue Aluminium'!$P$10)),IF(T298="GROUND",(IF($U298="1C",'Catalogue Aluminium'!$O$11,'Catalogue Aluminium'!$P$11)),IF(T298="TRENCH",(IF($U298="1C",'Catalogue Aluminium'!$O$12,'Catalogue Aluminium'!$P$12))))))</f>
        <v>NA</v>
      </c>
      <c r="AM298" s="250" t="str">
        <f>IF(T298="AIR","NA",IF(T298="TRENCH","NA",IF(T298="DUCT",IF(U298="1C",VLOOKUP(V298,'Catalogue Aluminium'!$Q$9:$S$28,2,FALSE),VLOOKUP(V298,'Catalogue Aluminium'!$Q$9:$S$28,3)),IF(T298="GROUND",IF(U298="1C",VLOOKUP(V298,'Catalogue Aluminium'!$Q$9:$S$28,2,FALSE),VLOOKUP(V298,'Catalogue Aluminium'!$Q$9:$S$28,3))))))</f>
        <v>NA</v>
      </c>
      <c r="AN298" s="257">
        <f t="shared" si="776"/>
        <v>0.58740000000000003</v>
      </c>
      <c r="AO298" s="256">
        <f t="shared" si="777"/>
        <v>55.803000000000004</v>
      </c>
      <c r="AP298" s="255">
        <f t="shared" si="778"/>
        <v>1</v>
      </c>
      <c r="AQ298" s="256" t="str">
        <f t="shared" si="779"/>
        <v>YES</v>
      </c>
      <c r="AR298" s="257">
        <f t="shared" si="780"/>
        <v>1.9401351284897463</v>
      </c>
      <c r="AS298" s="249" t="str">
        <f t="shared" si="781"/>
        <v>YES</v>
      </c>
      <c r="AT298" s="257" t="str">
        <f t="shared" si="782"/>
        <v>NA</v>
      </c>
      <c r="AU298" s="249" t="str">
        <f t="shared" si="783"/>
        <v>NA</v>
      </c>
      <c r="AV298" s="260" t="str">
        <f t="shared" si="784"/>
        <v>1R x 0.6/1kV x 3.5C x 25 Sqmm</v>
      </c>
      <c r="AW298" s="260" t="str">
        <f t="shared" si="785"/>
        <v>1R x 0.6/1kV x 3.5C x 25 Sqmm</v>
      </c>
      <c r="AX298" s="249">
        <f t="shared" si="786"/>
        <v>103</v>
      </c>
      <c r="AY298" s="261"/>
    </row>
    <row r="299" spans="1:51">
      <c r="A299" s="243">
        <f t="shared" si="787"/>
        <v>196</v>
      </c>
      <c r="B299" s="249" t="s">
        <v>382</v>
      </c>
      <c r="C299" s="243" t="str">
        <f t="shared" si="767"/>
        <v>PDB-1</v>
      </c>
      <c r="D299" s="314" t="s">
        <v>602</v>
      </c>
      <c r="E299" s="351" t="s">
        <v>410</v>
      </c>
      <c r="F299" s="410" t="s">
        <v>29</v>
      </c>
      <c r="G299" s="243" t="s">
        <v>311</v>
      </c>
      <c r="H299" s="421">
        <v>75</v>
      </c>
      <c r="I299" s="243" t="s">
        <v>299</v>
      </c>
      <c r="J299" s="243" t="s">
        <v>300</v>
      </c>
      <c r="K299" s="255">
        <v>400</v>
      </c>
      <c r="L299" s="249">
        <v>0.85</v>
      </c>
      <c r="M299" s="256">
        <v>0.95400000000000007</v>
      </c>
      <c r="N299" s="248">
        <f t="shared" si="768"/>
        <v>133.50148111883212</v>
      </c>
      <c r="O299" s="248">
        <f t="shared" si="769"/>
        <v>801.00888671299276</v>
      </c>
      <c r="P299" s="249">
        <f t="shared" si="770"/>
        <v>0.2</v>
      </c>
      <c r="Q299" s="256">
        <v>50</v>
      </c>
      <c r="R299" s="256">
        <v>0</v>
      </c>
      <c r="S299" s="256">
        <f t="shared" si="771"/>
        <v>0</v>
      </c>
      <c r="T299" s="249" t="s">
        <v>301</v>
      </c>
      <c r="U299" s="256" t="s">
        <v>302</v>
      </c>
      <c r="V299" s="249">
        <v>70</v>
      </c>
      <c r="W299" s="249" t="str">
        <f t="shared" si="772"/>
        <v>3C X 70</v>
      </c>
      <c r="X299" s="249" t="str">
        <f t="shared" si="773"/>
        <v>3C X 70+PE</v>
      </c>
      <c r="Y299" s="249" t="s">
        <v>314</v>
      </c>
      <c r="Z299" s="250">
        <f>IF(T299="AIR",VLOOKUP(W299,'Catalogue Aluminium'!$B$9:$G$91,2,FALSE),IF(T299="GROUND",VLOOKUP(W299,'Catalogue Aluminium'!$B$9:$G$91,3,FALSE),IF(T299="DUCT",VLOOKUP(W299,'Catalogue Aluminium'!$B$9:$G$91,4,FALSE),IF(T299="TRENCH",VLOOKUP(W299,'Catalogue Aluminium'!$B$9:$G$91,2,FALSE)))))</f>
        <v>177</v>
      </c>
      <c r="AA299" s="251">
        <f>VLOOKUP(W299,'Catalogue Aluminium'!$B$9:$G$91,5,FALSE)</f>
        <v>0.56699999999999995</v>
      </c>
      <c r="AB299" s="251">
        <f>VLOOKUP(W299,'Catalogue Aluminium'!$B$9:$G$91,6,FALSE)</f>
        <v>7.5200000000000003E-2</v>
      </c>
      <c r="AC299" s="323">
        <f t="shared" si="797"/>
        <v>34</v>
      </c>
      <c r="AD299" s="285">
        <f t="shared" si="798"/>
        <v>41</v>
      </c>
      <c r="AE299" s="323">
        <v>10</v>
      </c>
      <c r="AF299" s="294">
        <v>8</v>
      </c>
      <c r="AG299" s="294">
        <f t="shared" si="774"/>
        <v>10</v>
      </c>
      <c r="AH299" s="253">
        <f t="shared" si="775"/>
        <v>103</v>
      </c>
      <c r="AI299" s="250">
        <f>IF(T299="AIR",'Catalogue Aluminium'!$K$9,IF(T299="TRENCH",'Catalogue Aluminium'!$K$12,"NA"))</f>
        <v>0.89</v>
      </c>
      <c r="AJ299" s="248">
        <f>IF(T299="Air",(IF(U299="1C",'Catalogue Aluminium'!$L$9,'Catalogue Aluminium'!$M$9)),IF(T299="DUCT",(IF($U299="1C",'Catalogue Aluminium'!$L$10,'Catalogue Aluminium'!$M$10)),IF(T299="GROUND",(IF($U299="1C",'Catalogue Aluminium'!$L$11,'Catalogue Aluminium'!$M$11)),IF(T299="TRENCH",(IF($U299="1C",'Catalogue Aluminium'!$L$12,'Catalogue Aluminium'!$M$12))))))</f>
        <v>0.66</v>
      </c>
      <c r="AK299" s="250" t="str">
        <f>IF(T299="Air",'Catalogue Aluminium'!$N$9,IF(T299="GROUND",'Catalogue Aluminium'!$N$10,IF(T299="DUCT",'Catalogue Aluminium'!$N$11,IF(T299="TRENCH",'Catalogue Aluminium'!$N$12,"NA"))))</f>
        <v>NA</v>
      </c>
      <c r="AL299" s="250" t="str">
        <f>IF(T299="Air",(IF(U299="1C",'Catalogue Aluminium'!$O$9,'Catalogue Aluminium'!$P$9)),IF(T299="DUCT",(IF($U299="1C",'Catalogue Aluminium'!$O$10,'Catalogue Aluminium'!$P$10)),IF(T299="GROUND",(IF($U299="1C",'Catalogue Aluminium'!$O$11,'Catalogue Aluminium'!$P$11)),IF(T299="TRENCH",(IF($U299="1C",'Catalogue Aluminium'!$O$12,'Catalogue Aluminium'!$P$12))))))</f>
        <v>NA</v>
      </c>
      <c r="AM299" s="250" t="str">
        <f>IF(T299="AIR","NA",IF(T299="TRENCH","NA",IF(T299="DUCT",IF(U299="1C",VLOOKUP(V299,'Catalogue Aluminium'!$Q$9:$S$28,2,FALSE),VLOOKUP(V299,'Catalogue Aluminium'!$Q$9:$S$28,3)),IF(T299="GROUND",IF(U299="1C",VLOOKUP(V299,'Catalogue Aluminium'!$Q$9:$S$28,2,FALSE),VLOOKUP(V299,'Catalogue Aluminium'!$Q$9:$S$28,3))))))</f>
        <v>NA</v>
      </c>
      <c r="AN299" s="257">
        <f t="shared" si="776"/>
        <v>0.58740000000000003</v>
      </c>
      <c r="AO299" s="256">
        <f t="shared" si="777"/>
        <v>103.96980000000001</v>
      </c>
      <c r="AP299" s="255">
        <f t="shared" si="778"/>
        <v>2</v>
      </c>
      <c r="AQ299" s="256" t="str">
        <f t="shared" si="779"/>
        <v>YES</v>
      </c>
      <c r="AR299" s="257">
        <f t="shared" si="780"/>
        <v>1.5527502391329788</v>
      </c>
      <c r="AS299" s="249" t="str">
        <f t="shared" si="781"/>
        <v>YES</v>
      </c>
      <c r="AT299" s="257">
        <f t="shared" si="782"/>
        <v>3.3417508945893983</v>
      </c>
      <c r="AU299" s="249" t="str">
        <f t="shared" si="783"/>
        <v>YES</v>
      </c>
      <c r="AV299" s="260" t="str">
        <f t="shared" si="784"/>
        <v>2R x 0.6/1kV x 3C x 70 Sqmm</v>
      </c>
      <c r="AW299" s="260" t="str">
        <f t="shared" si="785"/>
        <v>2R x 0.6/1kV x 3C x 70+PE Sqmm</v>
      </c>
      <c r="AX299" s="249">
        <f t="shared" si="786"/>
        <v>206</v>
      </c>
      <c r="AY299" s="261"/>
    </row>
    <row r="300" spans="1:51">
      <c r="A300" s="285">
        <f t="shared" si="787"/>
        <v>197</v>
      </c>
      <c r="B300" s="294" t="s">
        <v>382</v>
      </c>
      <c r="C300" s="285" t="str">
        <f t="shared" si="767"/>
        <v>PDB-1</v>
      </c>
      <c r="D300" s="315" t="s">
        <v>603</v>
      </c>
      <c r="E300" s="352" t="s">
        <v>410</v>
      </c>
      <c r="F300" s="411" t="s">
        <v>29</v>
      </c>
      <c r="G300" s="285" t="s">
        <v>298</v>
      </c>
      <c r="H300" s="291">
        <v>0.2</v>
      </c>
      <c r="I300" s="285" t="s">
        <v>299</v>
      </c>
      <c r="J300" s="285" t="s">
        <v>313</v>
      </c>
      <c r="K300" s="309">
        <v>230</v>
      </c>
      <c r="L300" s="294">
        <v>0.85</v>
      </c>
      <c r="M300" s="304">
        <v>0.95</v>
      </c>
      <c r="N300" s="287">
        <f t="shared" si="768"/>
        <v>1.0768609503297888</v>
      </c>
      <c r="O300" s="287">
        <f t="shared" si="769"/>
        <v>0</v>
      </c>
      <c r="P300" s="294" t="str">
        <f t="shared" si="770"/>
        <v>0.00</v>
      </c>
      <c r="Q300" s="304">
        <v>65</v>
      </c>
      <c r="R300" s="304">
        <v>0</v>
      </c>
      <c r="S300" s="304">
        <f t="shared" si="771"/>
        <v>0</v>
      </c>
      <c r="T300" s="294" t="s">
        <v>131</v>
      </c>
      <c r="U300" s="304" t="s">
        <v>302</v>
      </c>
      <c r="V300" s="294">
        <v>2.5</v>
      </c>
      <c r="W300" s="294" t="str">
        <f t="shared" si="772"/>
        <v>3C X 2.5</v>
      </c>
      <c r="X300" s="294" t="str">
        <f t="shared" ref="X300" si="799">(IF(J300="1Ph",W300,IF(J300="3Ph",(IF(G300="MOTOR",(CONCATENATE(W300,"+PE")),W300)))))</f>
        <v>3C X 2.5</v>
      </c>
      <c r="Y300" s="294" t="s">
        <v>314</v>
      </c>
      <c r="Z300" s="288">
        <f>IF(T300="AIR",VLOOKUP(W300,'Catalogue Aluminium'!$B$9:$G$91,2,FALSE),IF(T300="GROUND",VLOOKUP(W300,'Catalogue Aluminium'!$B$9:$G$91,3,FALSE),IF(T300="DUCT",VLOOKUP(W300,'Catalogue Aluminium'!$B$9:$G$91,4,FALSE),IF(T300="TRENCH",VLOOKUP(W300,'Catalogue Aluminium'!$B$9:$G$91,2,FALSE)))))</f>
        <v>28</v>
      </c>
      <c r="AA300" s="295">
        <f>VLOOKUP(W300,'Catalogue Aluminium'!$B$9:$G$91,5,FALSE)</f>
        <v>9.48</v>
      </c>
      <c r="AB300" s="295">
        <f>VLOOKUP(W300,'Catalogue Aluminium'!$B$9:$G$91,6,FALSE)</f>
        <v>0.1007</v>
      </c>
      <c r="AC300" s="323">
        <f t="shared" si="797"/>
        <v>34</v>
      </c>
      <c r="AD300" s="285">
        <f t="shared" si="798"/>
        <v>41</v>
      </c>
      <c r="AE300" s="323">
        <v>10</v>
      </c>
      <c r="AF300" s="294">
        <v>8</v>
      </c>
      <c r="AG300" s="294">
        <f t="shared" ref="AG300" si="800">ROUNDUP((SUM(AC300:AF300)*0.1),0)</f>
        <v>10</v>
      </c>
      <c r="AH300" s="311">
        <f t="shared" ref="AH300" si="801">SUM(AC300:AG300)</f>
        <v>103</v>
      </c>
      <c r="AI300" s="288">
        <f>IF(T300="AIR",'Catalogue Aluminium'!$K$9,IF(T300="TRENCH",'Catalogue Aluminium'!$K$12,"NA"))</f>
        <v>0.89</v>
      </c>
      <c r="AJ300" s="287">
        <f>IF(T300="Air",(IF(U300="1C",'Catalogue Aluminium'!$L$9,'Catalogue Aluminium'!$M$9)),IF(T300="DUCT",(IF($U300="1C",'Catalogue Aluminium'!$L$10,'Catalogue Aluminium'!$M$10)),IF(T300="GROUND",(IF($U300="1C",'Catalogue Aluminium'!$L$11,'Catalogue Aluminium'!$M$11)),IF(T300="TRENCH",(IF($U300="1C",'Catalogue Aluminium'!$L$12,'Catalogue Aluminium'!$M$12))))))</f>
        <v>0.66</v>
      </c>
      <c r="AK300" s="288" t="str">
        <f>IF(T300="Air",'Catalogue Aluminium'!$N$9,IF(T300="GROUND",'Catalogue Aluminium'!$N$10,IF(T300="DUCT",'Catalogue Aluminium'!$N$11,IF(T300="TRENCH",'Catalogue Aluminium'!$N$12,"NA"))))</f>
        <v>NA</v>
      </c>
      <c r="AL300" s="288" t="str">
        <f>IF(T300="Air",(IF(U300="1C",'Catalogue Aluminium'!$O$9,'Catalogue Aluminium'!$P$9)),IF(T300="DUCT",(IF($U300="1C",'Catalogue Aluminium'!$O$10,'Catalogue Aluminium'!$P$10)),IF(T300="GROUND",(IF($U300="1C",'Catalogue Aluminium'!$O$11,'Catalogue Aluminium'!$P$11)),IF(T300="TRENCH",(IF($U300="1C",'Catalogue Aluminium'!$O$12,'Catalogue Aluminium'!$P$12))))))</f>
        <v>NA</v>
      </c>
      <c r="AM300" s="288" t="str">
        <f>IF(T300="AIR","NA",IF(T300="TRENCH","NA",IF(T300="DUCT",IF(U300="1C",VLOOKUP(V300,'Catalogue Aluminium'!$Q$9:$S$28,2,FALSE),VLOOKUP(V300,'Catalogue Aluminium'!$Q$9:$S$28,3)),IF(T300="GROUND",IF(U300="1C",VLOOKUP(V300,'Catalogue Aluminium'!$Q$9:$S$28,2,FALSE),VLOOKUP(V300,'Catalogue Aluminium'!$Q$9:$S$28,3))))))</f>
        <v>NA</v>
      </c>
      <c r="AN300" s="312">
        <f t="shared" ref="AN300" si="802">IF(T300="AIR",AI300*AJ300,IF(T300="TRENCH",AI300*AJ300,IF(T300="DUCT",AJ300*AK300*AL300*AM300,IF(T300="GROUND",AJ300*AK300*AL300*AM300))))</f>
        <v>0.58740000000000003</v>
      </c>
      <c r="AO300" s="304">
        <f t="shared" ref="AO300" si="803">Z300*AN300</f>
        <v>16.447200000000002</v>
      </c>
      <c r="AP300" s="309">
        <f t="shared" ref="AP300" si="804">CEILING(((N300)/AO300),1)</f>
        <v>1</v>
      </c>
      <c r="AQ300" s="304" t="str">
        <f t="shared" ref="AQ300" si="805">IF(AO300*AP300&gt;=N300,"YES","NO")</f>
        <v>YES</v>
      </c>
      <c r="AR300" s="312">
        <f t="shared" ref="AR300" si="806">SQRT(3)*AH300*N300*((AA300*L300)+(AB300*SIN(ACOS(L300))))*100/(AP300*K300*1000)</f>
        <v>0.67749573183692458</v>
      </c>
      <c r="AS300" s="294" t="str">
        <f t="shared" ref="AS300" si="807">IF(G300="INCOMER",(IF(AR300&lt;=2,"YES","NO")),IF(G300="POWER",(IF(AR300&lt;=2.5,"YES","NO")),IF(G300="MOTOR",(IF(AR300&lt;=3,"YES","NO")))))</f>
        <v>YES</v>
      </c>
      <c r="AT300" s="312" t="str">
        <f t="shared" si="782"/>
        <v>NA</v>
      </c>
      <c r="AU300" s="294" t="str">
        <f t="shared" si="783"/>
        <v>NA</v>
      </c>
      <c r="AV300" s="353" t="str">
        <f t="shared" si="784"/>
        <v>1R x 0.6/1kV x 3C x 2.5 Sqmm</v>
      </c>
      <c r="AW300" s="353" t="str">
        <f t="shared" si="785"/>
        <v>1R x 0.6/1kV x 3C x 2.5 Sqmm</v>
      </c>
      <c r="AX300" s="294">
        <f t="shared" si="786"/>
        <v>103</v>
      </c>
      <c r="AY300" s="354"/>
    </row>
    <row r="301" spans="1:51">
      <c r="A301" s="243">
        <f t="shared" si="787"/>
        <v>198</v>
      </c>
      <c r="B301" s="249" t="s">
        <v>382</v>
      </c>
      <c r="C301" s="243" t="str">
        <f t="shared" si="767"/>
        <v>PDB-1</v>
      </c>
      <c r="D301" s="314" t="s">
        <v>604</v>
      </c>
      <c r="E301" s="351" t="s">
        <v>410</v>
      </c>
      <c r="F301" s="410" t="s">
        <v>29</v>
      </c>
      <c r="G301" s="243" t="s">
        <v>298</v>
      </c>
      <c r="H301" s="304">
        <v>15</v>
      </c>
      <c r="I301" s="243" t="s">
        <v>299</v>
      </c>
      <c r="J301" s="243" t="s">
        <v>300</v>
      </c>
      <c r="K301" s="255">
        <v>400</v>
      </c>
      <c r="L301" s="249">
        <v>0.85</v>
      </c>
      <c r="M301" s="256">
        <v>0.95</v>
      </c>
      <c r="N301" s="248">
        <f t="shared" si="768"/>
        <v>26.81271852365597</v>
      </c>
      <c r="O301" s="248">
        <f t="shared" si="769"/>
        <v>0</v>
      </c>
      <c r="P301" s="249" t="str">
        <f t="shared" si="770"/>
        <v>0.00</v>
      </c>
      <c r="Q301" s="256">
        <v>50</v>
      </c>
      <c r="R301" s="256">
        <v>0</v>
      </c>
      <c r="S301" s="256">
        <f t="shared" si="771"/>
        <v>0</v>
      </c>
      <c r="T301" s="249" t="s">
        <v>301</v>
      </c>
      <c r="U301" s="256" t="s">
        <v>390</v>
      </c>
      <c r="V301" s="249">
        <v>25</v>
      </c>
      <c r="W301" s="249" t="str">
        <f t="shared" si="772"/>
        <v>3.5C X 25</v>
      </c>
      <c r="X301" s="249" t="str">
        <f t="shared" si="773"/>
        <v>3.5C X 25</v>
      </c>
      <c r="Y301" s="249" t="s">
        <v>314</v>
      </c>
      <c r="Z301" s="250">
        <f>IF(T301="AIR",VLOOKUP(W301,'Catalogue Aluminium'!$B$9:$G$91,2,FALSE),IF(T301="GROUND",VLOOKUP(W301,'Catalogue Aluminium'!$B$9:$G$91,3,FALSE),IF(T301="DUCT",VLOOKUP(W301,'Catalogue Aluminium'!$B$9:$G$91,4,FALSE),IF(T301="TRENCH",VLOOKUP(W301,'Catalogue Aluminium'!$B$9:$G$91,2,FALSE)))))</f>
        <v>95</v>
      </c>
      <c r="AA301" s="251">
        <f>VLOOKUP(W301,'Catalogue Aluminium'!$B$9:$G$91,5,FALSE)</f>
        <v>1.54</v>
      </c>
      <c r="AB301" s="251">
        <f>VLOOKUP(W301,'Catalogue Aluminium'!$B$9:$G$91,6,FALSE)</f>
        <v>8.1600000000000006E-2</v>
      </c>
      <c r="AC301" s="323">
        <f t="shared" si="797"/>
        <v>34</v>
      </c>
      <c r="AD301" s="285">
        <f t="shared" si="798"/>
        <v>41</v>
      </c>
      <c r="AE301" s="323">
        <v>10</v>
      </c>
      <c r="AF301" s="294">
        <v>8</v>
      </c>
      <c r="AG301" s="294">
        <f t="shared" si="774"/>
        <v>10</v>
      </c>
      <c r="AH301" s="253">
        <f t="shared" si="775"/>
        <v>103</v>
      </c>
      <c r="AI301" s="250">
        <f>IF(T301="AIR",'Catalogue Aluminium'!$K$9,IF(T301="TRENCH",'Catalogue Aluminium'!$K$12,"NA"))</f>
        <v>0.89</v>
      </c>
      <c r="AJ301" s="248">
        <f>IF(T301="Air",(IF(U301="1C",'Catalogue Aluminium'!$L$9,'Catalogue Aluminium'!$M$9)),IF(T301="DUCT",(IF($U301="1C",'Catalogue Aluminium'!$L$10,'Catalogue Aluminium'!$M$10)),IF(T301="GROUND",(IF($U301="1C",'Catalogue Aluminium'!$L$11,'Catalogue Aluminium'!$M$11)),IF(T301="TRENCH",(IF($U301="1C",'Catalogue Aluminium'!$L$12,'Catalogue Aluminium'!$M$12))))))</f>
        <v>0.66</v>
      </c>
      <c r="AK301" s="250" t="str">
        <f>IF(T301="Air",'Catalogue Aluminium'!$N$9,IF(T301="GROUND",'Catalogue Aluminium'!$N$10,IF(T301="DUCT",'Catalogue Aluminium'!$N$11,IF(T301="TRENCH",'Catalogue Aluminium'!$N$12,"NA"))))</f>
        <v>NA</v>
      </c>
      <c r="AL301" s="250" t="str">
        <f>IF(T301="Air",(IF(U301="1C",'Catalogue Aluminium'!$O$9,'Catalogue Aluminium'!$P$9)),IF(T301="DUCT",(IF($U301="1C",'Catalogue Aluminium'!$O$10,'Catalogue Aluminium'!$P$10)),IF(T301="GROUND",(IF($U301="1C",'Catalogue Aluminium'!$O$11,'Catalogue Aluminium'!$P$11)),IF(T301="TRENCH",(IF($U301="1C",'Catalogue Aluminium'!$O$12,'Catalogue Aluminium'!$P$12))))))</f>
        <v>NA</v>
      </c>
      <c r="AM301" s="250" t="str">
        <f>IF(T301="AIR","NA",IF(T301="TRENCH","NA",IF(T301="DUCT",IF(U301="1C",VLOOKUP(V301,'Catalogue Aluminium'!$Q$9:$S$28,2,FALSE),VLOOKUP(V301,'Catalogue Aluminium'!$Q$9:$S$28,3)),IF(T301="GROUND",IF(U301="1C",VLOOKUP(V301,'Catalogue Aluminium'!$Q$9:$S$28,2,FALSE),VLOOKUP(V301,'Catalogue Aluminium'!$Q$9:$S$28,3))))))</f>
        <v>NA</v>
      </c>
      <c r="AN301" s="257">
        <f t="shared" si="776"/>
        <v>0.58740000000000003</v>
      </c>
      <c r="AO301" s="256">
        <f t="shared" si="777"/>
        <v>55.803000000000004</v>
      </c>
      <c r="AP301" s="255">
        <f t="shared" si="778"/>
        <v>1</v>
      </c>
      <c r="AQ301" s="256" t="str">
        <f t="shared" si="779"/>
        <v>YES</v>
      </c>
      <c r="AR301" s="257">
        <f t="shared" si="780"/>
        <v>1.616779273741455</v>
      </c>
      <c r="AS301" s="249" t="str">
        <f t="shared" si="781"/>
        <v>YES</v>
      </c>
      <c r="AT301" s="257" t="str">
        <f t="shared" si="782"/>
        <v>NA</v>
      </c>
      <c r="AU301" s="249" t="str">
        <f t="shared" si="783"/>
        <v>NA</v>
      </c>
      <c r="AV301" s="260" t="str">
        <f t="shared" si="784"/>
        <v>1R x 0.6/1kV x 3.5C x 25 Sqmm</v>
      </c>
      <c r="AW301" s="260" t="str">
        <f t="shared" si="785"/>
        <v>1R x 0.6/1kV x 3.5C x 25 Sqmm</v>
      </c>
      <c r="AX301" s="249">
        <f t="shared" si="786"/>
        <v>103</v>
      </c>
      <c r="AY301" s="261"/>
    </row>
    <row r="302" spans="1:51">
      <c r="A302" s="243">
        <f t="shared" ref="A302" si="808">1+A301</f>
        <v>199</v>
      </c>
      <c r="B302" s="249" t="s">
        <v>382</v>
      </c>
      <c r="C302" s="243" t="str">
        <f t="shared" si="767"/>
        <v>PDB-1</v>
      </c>
      <c r="D302" s="314" t="s">
        <v>605</v>
      </c>
      <c r="E302" s="351" t="s">
        <v>410</v>
      </c>
      <c r="F302" s="410" t="s">
        <v>29</v>
      </c>
      <c r="G302" s="243" t="s">
        <v>298</v>
      </c>
      <c r="H302" s="304">
        <v>18</v>
      </c>
      <c r="I302" s="243" t="s">
        <v>299</v>
      </c>
      <c r="J302" s="243" t="s">
        <v>300</v>
      </c>
      <c r="K302" s="255">
        <v>400</v>
      </c>
      <c r="L302" s="249">
        <v>0.85</v>
      </c>
      <c r="M302" s="256">
        <v>0.95</v>
      </c>
      <c r="N302" s="248">
        <f t="shared" si="768"/>
        <v>32.175262228387169</v>
      </c>
      <c r="O302" s="248">
        <f t="shared" si="769"/>
        <v>0</v>
      </c>
      <c r="P302" s="249" t="str">
        <f t="shared" si="770"/>
        <v>0.00</v>
      </c>
      <c r="Q302" s="256">
        <v>50</v>
      </c>
      <c r="R302" s="256">
        <v>0</v>
      </c>
      <c r="S302" s="256">
        <f t="shared" si="771"/>
        <v>0</v>
      </c>
      <c r="T302" s="249" t="s">
        <v>301</v>
      </c>
      <c r="U302" s="256" t="s">
        <v>390</v>
      </c>
      <c r="V302" s="249">
        <v>25</v>
      </c>
      <c r="W302" s="249" t="str">
        <f t="shared" si="772"/>
        <v>3.5C X 25</v>
      </c>
      <c r="X302" s="249" t="str">
        <f t="shared" si="773"/>
        <v>3.5C X 25</v>
      </c>
      <c r="Y302" s="249" t="s">
        <v>314</v>
      </c>
      <c r="Z302" s="250">
        <f>IF(T302="AIR",VLOOKUP(W302,'Catalogue Aluminium'!$B$9:$G$91,2,FALSE),IF(T302="GROUND",VLOOKUP(W302,'Catalogue Aluminium'!$B$9:$G$91,3,FALSE),IF(T302="DUCT",VLOOKUP(W302,'Catalogue Aluminium'!$B$9:$G$91,4,FALSE),IF(T302="TRENCH",VLOOKUP(W302,'Catalogue Aluminium'!$B$9:$G$91,2,FALSE)))))</f>
        <v>95</v>
      </c>
      <c r="AA302" s="251">
        <f>VLOOKUP(W302,'Catalogue Aluminium'!$B$9:$G$91,5,FALSE)</f>
        <v>1.54</v>
      </c>
      <c r="AB302" s="251">
        <f>VLOOKUP(W302,'Catalogue Aluminium'!$B$9:$G$91,6,FALSE)</f>
        <v>8.1600000000000006E-2</v>
      </c>
      <c r="AC302" s="323">
        <f t="shared" si="797"/>
        <v>34</v>
      </c>
      <c r="AD302" s="285">
        <f t="shared" si="798"/>
        <v>41</v>
      </c>
      <c r="AE302" s="323">
        <v>10</v>
      </c>
      <c r="AF302" s="294">
        <v>8</v>
      </c>
      <c r="AG302" s="294">
        <f t="shared" si="774"/>
        <v>10</v>
      </c>
      <c r="AH302" s="253">
        <f t="shared" si="775"/>
        <v>103</v>
      </c>
      <c r="AI302" s="250">
        <f>IF(T302="AIR",'Catalogue Aluminium'!$K$9,IF(T302="TRENCH",'Catalogue Aluminium'!$K$12,"NA"))</f>
        <v>0.89</v>
      </c>
      <c r="AJ302" s="248">
        <f>IF(T302="Air",(IF(U302="1C",'Catalogue Aluminium'!$L$9,'Catalogue Aluminium'!$M$9)),IF(T302="DUCT",(IF($U302="1C",'Catalogue Aluminium'!$L$10,'Catalogue Aluminium'!$M$10)),IF(T302="GROUND",(IF($U302="1C",'Catalogue Aluminium'!$L$11,'Catalogue Aluminium'!$M$11)),IF(T302="TRENCH",(IF($U302="1C",'Catalogue Aluminium'!$L$12,'Catalogue Aluminium'!$M$12))))))</f>
        <v>0.66</v>
      </c>
      <c r="AK302" s="250" t="str">
        <f>IF(T302="Air",'Catalogue Aluminium'!$N$9,IF(T302="GROUND",'Catalogue Aluminium'!$N$10,IF(T302="DUCT",'Catalogue Aluminium'!$N$11,IF(T302="TRENCH",'Catalogue Aluminium'!$N$12,"NA"))))</f>
        <v>NA</v>
      </c>
      <c r="AL302" s="250" t="str">
        <f>IF(T302="Air",(IF(U302="1C",'Catalogue Aluminium'!$O$9,'Catalogue Aluminium'!$P$9)),IF(T302="DUCT",(IF($U302="1C",'Catalogue Aluminium'!$O$10,'Catalogue Aluminium'!$P$10)),IF(T302="GROUND",(IF($U302="1C",'Catalogue Aluminium'!$O$11,'Catalogue Aluminium'!$P$11)),IF(T302="TRENCH",(IF($U302="1C",'Catalogue Aluminium'!$O$12,'Catalogue Aluminium'!$P$12))))))</f>
        <v>NA</v>
      </c>
      <c r="AM302" s="250" t="str">
        <f>IF(T302="AIR","NA",IF(T302="TRENCH","NA",IF(T302="DUCT",IF(U302="1C",VLOOKUP(V302,'Catalogue Aluminium'!$Q$9:$S$28,2,FALSE),VLOOKUP(V302,'Catalogue Aluminium'!$Q$9:$S$28,3)),IF(T302="GROUND",IF(U302="1C",VLOOKUP(V302,'Catalogue Aluminium'!$Q$9:$S$28,2,FALSE),VLOOKUP(V302,'Catalogue Aluminium'!$Q$9:$S$28,3))))))</f>
        <v>NA</v>
      </c>
      <c r="AN302" s="257">
        <f t="shared" si="776"/>
        <v>0.58740000000000003</v>
      </c>
      <c r="AO302" s="256">
        <f t="shared" si="777"/>
        <v>55.803000000000004</v>
      </c>
      <c r="AP302" s="255">
        <f t="shared" si="778"/>
        <v>1</v>
      </c>
      <c r="AQ302" s="256" t="str">
        <f t="shared" si="779"/>
        <v>YES</v>
      </c>
      <c r="AR302" s="257">
        <f t="shared" si="780"/>
        <v>1.9401351284897463</v>
      </c>
      <c r="AS302" s="249" t="str">
        <f t="shared" si="781"/>
        <v>YES</v>
      </c>
      <c r="AT302" s="257" t="str">
        <f t="shared" si="782"/>
        <v>NA</v>
      </c>
      <c r="AU302" s="249" t="str">
        <f t="shared" si="783"/>
        <v>NA</v>
      </c>
      <c r="AV302" s="260" t="str">
        <f t="shared" si="784"/>
        <v>1R x 0.6/1kV x 3.5C x 25 Sqmm</v>
      </c>
      <c r="AW302" s="260" t="str">
        <f t="shared" si="785"/>
        <v>1R x 0.6/1kV x 3.5C x 25 Sqmm</v>
      </c>
      <c r="AX302" s="249">
        <f t="shared" si="786"/>
        <v>103</v>
      </c>
      <c r="AY302" s="261"/>
    </row>
    <row r="303" spans="1:51" s="576" customFormat="1">
      <c r="A303" s="298">
        <f>1+A300</f>
        <v>198</v>
      </c>
      <c r="B303" s="301" t="s">
        <v>382</v>
      </c>
      <c r="C303" s="298" t="str">
        <f t="shared" si="767"/>
        <v>PDB-1</v>
      </c>
      <c r="D303" s="603" t="s">
        <v>1060</v>
      </c>
      <c r="E303" s="418" t="s">
        <v>410</v>
      </c>
      <c r="F303" s="420" t="s">
        <v>28</v>
      </c>
      <c r="G303" s="298" t="s">
        <v>311</v>
      </c>
      <c r="H303" s="421">
        <v>75</v>
      </c>
      <c r="I303" s="298" t="s">
        <v>299</v>
      </c>
      <c r="J303" s="298" t="s">
        <v>300</v>
      </c>
      <c r="K303" s="423">
        <v>400</v>
      </c>
      <c r="L303" s="301">
        <v>0.85</v>
      </c>
      <c r="M303" s="421">
        <v>0.95400000000000007</v>
      </c>
      <c r="N303" s="299">
        <f t="shared" ref="N303:N306" si="809">IF(I303="kVA",IF(J303="3Ph",(H303*1000/(1.732*M303*K303)),(H303*1000/(M303*K303))),IF(I303="kW",IF(J303="3Ph",(H303*1000/(1.732*M303*K303*L303)),(H303*1000/(M303*K303*L303)))))</f>
        <v>133.50148111883212</v>
      </c>
      <c r="O303" s="299">
        <f t="shared" ref="O303:O306" si="810">IF(G303="MOTOR",(6*N303),IF(G303="VFD",(1*N303),0))</f>
        <v>801.00888671299276</v>
      </c>
      <c r="P303" s="301">
        <f t="shared" ref="P303:P306" si="811">IF(G303="MOTOR",0.2,"0.00")</f>
        <v>0.2</v>
      </c>
      <c r="Q303" s="421">
        <v>50</v>
      </c>
      <c r="R303" s="421">
        <v>0</v>
      </c>
      <c r="S303" s="421">
        <f t="shared" ref="S303:S306" si="812">(Q303*1000*SQRT(R303)/143)</f>
        <v>0</v>
      </c>
      <c r="T303" s="301" t="s">
        <v>301</v>
      </c>
      <c r="U303" s="421" t="s">
        <v>302</v>
      </c>
      <c r="V303" s="301">
        <v>70</v>
      </c>
      <c r="W303" s="301" t="str">
        <f t="shared" ref="W303:W306" si="813">CONCATENATE(U303," X ",V303)</f>
        <v>3C X 70</v>
      </c>
      <c r="X303" s="301" t="str">
        <f t="shared" ref="X303:X306" si="814">(IF(J303="1Ph",W303,IF(J303="3Ph",(IF(G303="MOTOR",(CONCATENATE(W303,"+PE")),W303)))))</f>
        <v>3C X 70+PE</v>
      </c>
      <c r="Y303" s="301" t="s">
        <v>314</v>
      </c>
      <c r="Z303" s="300">
        <f>IF(T303="AIR",VLOOKUP(W303,'Catalogue Aluminium'!$B$9:$G$91,2,FALSE),IF(T303="GROUND",VLOOKUP(W303,'Catalogue Aluminium'!$B$9:$G$91,3,FALSE),IF(T303="DUCT",VLOOKUP(W303,'Catalogue Aluminium'!$B$9:$G$91,4,FALSE),IF(T303="TRENCH",VLOOKUP(W303,'Catalogue Aluminium'!$B$9:$G$91,2,FALSE)))))</f>
        <v>177</v>
      </c>
      <c r="AA303" s="302">
        <f>VLOOKUP(W303,'Catalogue Aluminium'!$B$9:$G$91,5,FALSE)</f>
        <v>0.56699999999999995</v>
      </c>
      <c r="AB303" s="302">
        <f>VLOOKUP(W303,'Catalogue Aluminium'!$B$9:$G$91,6,FALSE)</f>
        <v>7.5200000000000003E-2</v>
      </c>
      <c r="AC303" s="598">
        <f>23+11</f>
        <v>34</v>
      </c>
      <c r="AD303" s="298">
        <f>31+10</f>
        <v>41</v>
      </c>
      <c r="AE303" s="598">
        <v>10</v>
      </c>
      <c r="AF303" s="301">
        <v>8</v>
      </c>
      <c r="AG303" s="301">
        <f t="shared" ref="AG303:AG306" si="815">ROUNDUP((SUM(AC303:AF303)*0.1),0)</f>
        <v>10</v>
      </c>
      <c r="AH303" s="574">
        <f t="shared" ref="AH303:AH305" si="816">SUM(AC303:AG303)</f>
        <v>103</v>
      </c>
      <c r="AI303" s="300">
        <f>IF(T303="AIR",'Catalogue Aluminium'!$K$9,IF(T303="TRENCH",'Catalogue Aluminium'!$K$12,"NA"))</f>
        <v>0.89</v>
      </c>
      <c r="AJ303" s="299">
        <f>IF(T303="Air",(IF(U303="1C",'Catalogue Aluminium'!$L$9,'Catalogue Aluminium'!$M$9)),IF(T303="DUCT",(IF($U303="1C",'Catalogue Aluminium'!$L$10,'Catalogue Aluminium'!$M$10)),IF(T303="GROUND",(IF($U303="1C",'Catalogue Aluminium'!$L$11,'Catalogue Aluminium'!$M$11)),IF(T303="TRENCH",(IF($U303="1C",'Catalogue Aluminium'!$L$12,'Catalogue Aluminium'!$M$12))))))</f>
        <v>0.66</v>
      </c>
      <c r="AK303" s="300" t="str">
        <f>IF(T303="Air",'Catalogue Aluminium'!$N$9,IF(T303="GROUND",'Catalogue Aluminium'!$N$10,IF(T303="DUCT",'Catalogue Aluminium'!$N$11,IF(T303="TRENCH",'Catalogue Aluminium'!$N$12,"NA"))))</f>
        <v>NA</v>
      </c>
      <c r="AL303" s="300" t="str">
        <f>IF(T303="Air",(IF(U303="1C",'Catalogue Aluminium'!$O$9,'Catalogue Aluminium'!$P$9)),IF(T303="DUCT",(IF($U303="1C",'Catalogue Aluminium'!$O$10,'Catalogue Aluminium'!$P$10)),IF(T303="GROUND",(IF($U303="1C",'Catalogue Aluminium'!$O$11,'Catalogue Aluminium'!$P$11)),IF(T303="TRENCH",(IF($U303="1C",'Catalogue Aluminium'!$O$12,'Catalogue Aluminium'!$P$12))))))</f>
        <v>NA</v>
      </c>
      <c r="AM303" s="300" t="str">
        <f>IF(T303="AIR","NA",IF(T303="TRENCH","NA",IF(T303="DUCT",IF(U303="1C",VLOOKUP(V303,'Catalogue Aluminium'!$Q$9:$S$28,2,FALSE),VLOOKUP(V303,'Catalogue Aluminium'!$Q$9:$S$28,3)),IF(T303="GROUND",IF(U303="1C",VLOOKUP(V303,'Catalogue Aluminium'!$Q$9:$S$28,2,FALSE),VLOOKUP(V303,'Catalogue Aluminium'!$Q$9:$S$28,3))))))</f>
        <v>NA</v>
      </c>
      <c r="AN303" s="422">
        <f t="shared" ref="AN303:AN306" si="817">IF(T303="AIR",AI303*AJ303,IF(T303="TRENCH",AI303*AJ303,IF(T303="DUCT",AJ303*AK303*AL303*AM303,IF(T303="GROUND",AJ303*AK303*AL303*AM303))))</f>
        <v>0.58740000000000003</v>
      </c>
      <c r="AO303" s="421">
        <f t="shared" ref="AO303:AO306" si="818">Z303*AN303</f>
        <v>103.96980000000001</v>
      </c>
      <c r="AP303" s="423">
        <f t="shared" ref="AP303:AP306" si="819">CEILING(((N303)/AO303),1)</f>
        <v>2</v>
      </c>
      <c r="AQ303" s="421" t="str">
        <f t="shared" ref="AQ303:AQ306" si="820">IF(AO303*AP303&gt;=N303,"YES","NO")</f>
        <v>YES</v>
      </c>
      <c r="AR303" s="422">
        <f t="shared" ref="AR303:AR305" si="821">SQRT(3)*AH303*N303*((AA303*L303)+(AB303*SIN(ACOS(L303))))*100/(AP303*K303*1000)</f>
        <v>1.5527502391329788</v>
      </c>
      <c r="AS303" s="301" t="str">
        <f t="shared" ref="AS303:AS306" si="822">IF(G303="INCOMER",(IF(AR303&lt;=2,"YES","NO")),IF(G303="POWER",(IF(AR303&lt;=2.5,"YES","NO")),IF(G303="MOTOR",(IF(AR303&lt;=3,"YES","NO")))))</f>
        <v>YES</v>
      </c>
      <c r="AT303" s="422">
        <f t="shared" ref="AT303:AT305" si="823">IF(G303="MOTOR",(SQRT(3)*AH303*O303*((AA303*P303)+(AB303*SIN(ACOS(P303))))*100/(AP303*K303*1000)),"NA")</f>
        <v>3.3417508945893983</v>
      </c>
      <c r="AU303" s="301" t="str">
        <f t="shared" ref="AU303:AU306" si="824">IF(G303="MOTOR",IF(AT303&lt;=15,"YES","NO"),"NA")</f>
        <v>YES</v>
      </c>
      <c r="AV303" s="424" t="str">
        <f t="shared" ref="AV303:AV306" si="825">IF(U303="1C",CONCATENATE(AP303,"R x ",Y303,"kV x ",U303," x ",V303," Sqmm/Phase"),CONCATENATE(AP303,"R x ",0.6,"/1kV x ",U303," x ",V303," Sqmm"))</f>
        <v>2R x 0.6/1kV x 3C x 70 Sqmm</v>
      </c>
      <c r="AW303" s="424" t="str">
        <f t="shared" ref="AW303:AW306" si="826">IF(U303="1C",CONCATENATE(AP303,"R x ",Y303,"kV x ",U303," x ",V303," Sqmm/Phase"),CONCATENATE(AP303,"R x ",0.6,"/1kV x ",U303," x ",V303,(IF(G303="MOTOR","+PE",""))," Sqmm"))</f>
        <v>2R x 0.6/1kV x 3C x 70+PE Sqmm</v>
      </c>
      <c r="AX303" s="301">
        <f t="shared" ref="AX303:AX305" si="827">(IF(K303=400,(IF(U303="1C",(4*AH303*AP303),(AH303*AP303))),IF(K303=230,(AH303*AP303))))</f>
        <v>206</v>
      </c>
      <c r="AY303" s="575"/>
    </row>
    <row r="304" spans="1:51" s="576" customFormat="1">
      <c r="A304" s="298">
        <f t="shared" ref="A304:A306" si="828">1+A303</f>
        <v>199</v>
      </c>
      <c r="B304" s="301" t="s">
        <v>382</v>
      </c>
      <c r="C304" s="298" t="str">
        <f t="shared" si="767"/>
        <v>PDB-1</v>
      </c>
      <c r="D304" s="603" t="s">
        <v>1061</v>
      </c>
      <c r="E304" s="418" t="s">
        <v>410</v>
      </c>
      <c r="F304" s="420" t="s">
        <v>28</v>
      </c>
      <c r="G304" s="298" t="s">
        <v>298</v>
      </c>
      <c r="H304" s="573">
        <v>0.2</v>
      </c>
      <c r="I304" s="298" t="s">
        <v>299</v>
      </c>
      <c r="J304" s="298" t="s">
        <v>313</v>
      </c>
      <c r="K304" s="423">
        <v>230</v>
      </c>
      <c r="L304" s="301">
        <v>0.85</v>
      </c>
      <c r="M304" s="421">
        <v>0.95</v>
      </c>
      <c r="N304" s="299">
        <f t="shared" si="809"/>
        <v>1.0768609503297888</v>
      </c>
      <c r="O304" s="299">
        <f t="shared" si="810"/>
        <v>0</v>
      </c>
      <c r="P304" s="301" t="str">
        <f t="shared" si="811"/>
        <v>0.00</v>
      </c>
      <c r="Q304" s="421">
        <v>65</v>
      </c>
      <c r="R304" s="421">
        <v>0</v>
      </c>
      <c r="S304" s="421">
        <f t="shared" si="812"/>
        <v>0</v>
      </c>
      <c r="T304" s="301" t="s">
        <v>131</v>
      </c>
      <c r="U304" s="421" t="s">
        <v>302</v>
      </c>
      <c r="V304" s="301">
        <v>2.5</v>
      </c>
      <c r="W304" s="301" t="str">
        <f t="shared" si="813"/>
        <v>3C X 2.5</v>
      </c>
      <c r="X304" s="301" t="str">
        <f t="shared" si="814"/>
        <v>3C X 2.5</v>
      </c>
      <c r="Y304" s="301" t="s">
        <v>314</v>
      </c>
      <c r="Z304" s="300">
        <f>IF(T304="AIR",VLOOKUP(W304,'Catalogue Aluminium'!$B$9:$G$91,2,FALSE),IF(T304="GROUND",VLOOKUP(W304,'Catalogue Aluminium'!$B$9:$G$91,3,FALSE),IF(T304="DUCT",VLOOKUP(W304,'Catalogue Aluminium'!$B$9:$G$91,4,FALSE),IF(T304="TRENCH",VLOOKUP(W304,'Catalogue Aluminium'!$B$9:$G$91,2,FALSE)))))</f>
        <v>28</v>
      </c>
      <c r="AA304" s="302">
        <f>VLOOKUP(W304,'Catalogue Aluminium'!$B$9:$G$91,5,FALSE)</f>
        <v>9.48</v>
      </c>
      <c r="AB304" s="302">
        <f>VLOOKUP(W304,'Catalogue Aluminium'!$B$9:$G$91,6,FALSE)</f>
        <v>0.1007</v>
      </c>
      <c r="AC304" s="598">
        <f>23+11</f>
        <v>34</v>
      </c>
      <c r="AD304" s="298">
        <f>31+10</f>
        <v>41</v>
      </c>
      <c r="AE304" s="598">
        <v>10</v>
      </c>
      <c r="AF304" s="301">
        <v>8</v>
      </c>
      <c r="AG304" s="301">
        <f t="shared" si="815"/>
        <v>10</v>
      </c>
      <c r="AH304" s="574">
        <f t="shared" si="816"/>
        <v>103</v>
      </c>
      <c r="AI304" s="300">
        <f>IF(T304="AIR",'Catalogue Aluminium'!$K$9,IF(T304="TRENCH",'Catalogue Aluminium'!$K$12,"NA"))</f>
        <v>0.89</v>
      </c>
      <c r="AJ304" s="299">
        <f>IF(T304="Air",(IF(U304="1C",'Catalogue Aluminium'!$L$9,'Catalogue Aluminium'!$M$9)),IF(T304="DUCT",(IF($U304="1C",'Catalogue Aluminium'!$L$10,'Catalogue Aluminium'!$M$10)),IF(T304="GROUND",(IF($U304="1C",'Catalogue Aluminium'!$L$11,'Catalogue Aluminium'!$M$11)),IF(T304="TRENCH",(IF($U304="1C",'Catalogue Aluminium'!$L$12,'Catalogue Aluminium'!$M$12))))))</f>
        <v>0.66</v>
      </c>
      <c r="AK304" s="300" t="str">
        <f>IF(T304="Air",'Catalogue Aluminium'!$N$9,IF(T304="GROUND",'Catalogue Aluminium'!$N$10,IF(T304="DUCT",'Catalogue Aluminium'!$N$11,IF(T304="TRENCH",'Catalogue Aluminium'!$N$12,"NA"))))</f>
        <v>NA</v>
      </c>
      <c r="AL304" s="300" t="str">
        <f>IF(T304="Air",(IF(U304="1C",'Catalogue Aluminium'!$O$9,'Catalogue Aluminium'!$P$9)),IF(T304="DUCT",(IF($U304="1C",'Catalogue Aluminium'!$O$10,'Catalogue Aluminium'!$P$10)),IF(T304="GROUND",(IF($U304="1C",'Catalogue Aluminium'!$O$11,'Catalogue Aluminium'!$P$11)),IF(T304="TRENCH",(IF($U304="1C",'Catalogue Aluminium'!$O$12,'Catalogue Aluminium'!$P$12))))))</f>
        <v>NA</v>
      </c>
      <c r="AM304" s="300" t="str">
        <f>IF(T304="AIR","NA",IF(T304="TRENCH","NA",IF(T304="DUCT",IF(U304="1C",VLOOKUP(V304,'Catalogue Aluminium'!$Q$9:$S$28,2,FALSE),VLOOKUP(V304,'Catalogue Aluminium'!$Q$9:$S$28,3)),IF(T304="GROUND",IF(U304="1C",VLOOKUP(V304,'Catalogue Aluminium'!$Q$9:$S$28,2,FALSE),VLOOKUP(V304,'Catalogue Aluminium'!$Q$9:$S$28,3))))))</f>
        <v>NA</v>
      </c>
      <c r="AN304" s="422">
        <f t="shared" si="817"/>
        <v>0.58740000000000003</v>
      </c>
      <c r="AO304" s="421">
        <f t="shared" si="818"/>
        <v>16.447200000000002</v>
      </c>
      <c r="AP304" s="423">
        <f t="shared" si="819"/>
        <v>1</v>
      </c>
      <c r="AQ304" s="421" t="str">
        <f t="shared" si="820"/>
        <v>YES</v>
      </c>
      <c r="AR304" s="422">
        <f t="shared" si="821"/>
        <v>0.67749573183692458</v>
      </c>
      <c r="AS304" s="301" t="str">
        <f t="shared" si="822"/>
        <v>YES</v>
      </c>
      <c r="AT304" s="422" t="str">
        <f t="shared" si="823"/>
        <v>NA</v>
      </c>
      <c r="AU304" s="301" t="str">
        <f t="shared" si="824"/>
        <v>NA</v>
      </c>
      <c r="AV304" s="424" t="str">
        <f t="shared" si="825"/>
        <v>1R x 0.6/1kV x 3C x 2.5 Sqmm</v>
      </c>
      <c r="AW304" s="424" t="str">
        <f t="shared" si="826"/>
        <v>1R x 0.6/1kV x 3C x 2.5 Sqmm</v>
      </c>
      <c r="AX304" s="301">
        <f t="shared" si="827"/>
        <v>103</v>
      </c>
      <c r="AY304" s="575"/>
    </row>
    <row r="305" spans="1:51" s="576" customFormat="1">
      <c r="A305" s="298">
        <f t="shared" si="828"/>
        <v>200</v>
      </c>
      <c r="B305" s="301" t="s">
        <v>382</v>
      </c>
      <c r="C305" s="298" t="str">
        <f t="shared" si="767"/>
        <v>PDB-1</v>
      </c>
      <c r="D305" s="603" t="s">
        <v>1062</v>
      </c>
      <c r="E305" s="418" t="s">
        <v>410</v>
      </c>
      <c r="F305" s="420" t="s">
        <v>28</v>
      </c>
      <c r="G305" s="298" t="s">
        <v>298</v>
      </c>
      <c r="H305" s="421">
        <v>15</v>
      </c>
      <c r="I305" s="298" t="s">
        <v>299</v>
      </c>
      <c r="J305" s="298" t="s">
        <v>300</v>
      </c>
      <c r="K305" s="423">
        <v>400</v>
      </c>
      <c r="L305" s="301">
        <v>0.85</v>
      </c>
      <c r="M305" s="421">
        <v>0.95</v>
      </c>
      <c r="N305" s="299">
        <f t="shared" si="809"/>
        <v>26.81271852365597</v>
      </c>
      <c r="O305" s="299">
        <f t="shared" si="810"/>
        <v>0</v>
      </c>
      <c r="P305" s="301" t="str">
        <f t="shared" si="811"/>
        <v>0.00</v>
      </c>
      <c r="Q305" s="421">
        <v>50</v>
      </c>
      <c r="R305" s="421">
        <v>0</v>
      </c>
      <c r="S305" s="421">
        <f t="shared" si="812"/>
        <v>0</v>
      </c>
      <c r="T305" s="301" t="s">
        <v>301</v>
      </c>
      <c r="U305" s="421" t="s">
        <v>390</v>
      </c>
      <c r="V305" s="301">
        <v>25</v>
      </c>
      <c r="W305" s="301" t="str">
        <f t="shared" si="813"/>
        <v>3.5C X 25</v>
      </c>
      <c r="X305" s="301" t="str">
        <f t="shared" si="814"/>
        <v>3.5C X 25</v>
      </c>
      <c r="Y305" s="301" t="s">
        <v>314</v>
      </c>
      <c r="Z305" s="300">
        <f>IF(T305="AIR",VLOOKUP(W305,'Catalogue Aluminium'!$B$9:$G$91,2,FALSE),IF(T305="GROUND",VLOOKUP(W305,'Catalogue Aluminium'!$B$9:$G$91,3,FALSE),IF(T305="DUCT",VLOOKUP(W305,'Catalogue Aluminium'!$B$9:$G$91,4,FALSE),IF(T305="TRENCH",VLOOKUP(W305,'Catalogue Aluminium'!$B$9:$G$91,2,FALSE)))))</f>
        <v>95</v>
      </c>
      <c r="AA305" s="302">
        <f>VLOOKUP(W305,'Catalogue Aluminium'!$B$9:$G$91,5,FALSE)</f>
        <v>1.54</v>
      </c>
      <c r="AB305" s="302">
        <f>VLOOKUP(W305,'Catalogue Aluminium'!$B$9:$G$91,6,FALSE)</f>
        <v>8.1600000000000006E-2</v>
      </c>
      <c r="AC305" s="598">
        <f t="shared" si="797"/>
        <v>34</v>
      </c>
      <c r="AD305" s="298">
        <f t="shared" si="798"/>
        <v>41</v>
      </c>
      <c r="AE305" s="598">
        <v>10</v>
      </c>
      <c r="AF305" s="301">
        <v>8</v>
      </c>
      <c r="AG305" s="301">
        <f t="shared" si="815"/>
        <v>10</v>
      </c>
      <c r="AH305" s="574">
        <f t="shared" si="816"/>
        <v>103</v>
      </c>
      <c r="AI305" s="300">
        <f>IF(T305="AIR",'Catalogue Aluminium'!$K$9,IF(T305="TRENCH",'Catalogue Aluminium'!$K$12,"NA"))</f>
        <v>0.89</v>
      </c>
      <c r="AJ305" s="299">
        <f>IF(T305="Air",(IF(U305="1C",'Catalogue Aluminium'!$L$9,'Catalogue Aluminium'!$M$9)),IF(T305="DUCT",(IF($U305="1C",'Catalogue Aluminium'!$L$10,'Catalogue Aluminium'!$M$10)),IF(T305="GROUND",(IF($U305="1C",'Catalogue Aluminium'!$L$11,'Catalogue Aluminium'!$M$11)),IF(T305="TRENCH",(IF($U305="1C",'Catalogue Aluminium'!$L$12,'Catalogue Aluminium'!$M$12))))))</f>
        <v>0.66</v>
      </c>
      <c r="AK305" s="300" t="str">
        <f>IF(T305="Air",'Catalogue Aluminium'!$N$9,IF(T305="GROUND",'Catalogue Aluminium'!$N$10,IF(T305="DUCT",'Catalogue Aluminium'!$N$11,IF(T305="TRENCH",'Catalogue Aluminium'!$N$12,"NA"))))</f>
        <v>NA</v>
      </c>
      <c r="AL305" s="300" t="str">
        <f>IF(T305="Air",(IF(U305="1C",'Catalogue Aluminium'!$O$9,'Catalogue Aluminium'!$P$9)),IF(T305="DUCT",(IF($U305="1C",'Catalogue Aluminium'!$O$10,'Catalogue Aluminium'!$P$10)),IF(T305="GROUND",(IF($U305="1C",'Catalogue Aluminium'!$O$11,'Catalogue Aluminium'!$P$11)),IF(T305="TRENCH",(IF($U305="1C",'Catalogue Aluminium'!$O$12,'Catalogue Aluminium'!$P$12))))))</f>
        <v>NA</v>
      </c>
      <c r="AM305" s="300" t="str">
        <f>IF(T305="AIR","NA",IF(T305="TRENCH","NA",IF(T305="DUCT",IF(U305="1C",VLOOKUP(V305,'Catalogue Aluminium'!$Q$9:$S$28,2,FALSE),VLOOKUP(V305,'Catalogue Aluminium'!$Q$9:$S$28,3)),IF(T305="GROUND",IF(U305="1C",VLOOKUP(V305,'Catalogue Aluminium'!$Q$9:$S$28,2,FALSE),VLOOKUP(V305,'Catalogue Aluminium'!$Q$9:$S$28,3))))))</f>
        <v>NA</v>
      </c>
      <c r="AN305" s="422">
        <f t="shared" si="817"/>
        <v>0.58740000000000003</v>
      </c>
      <c r="AO305" s="421">
        <f t="shared" si="818"/>
        <v>55.803000000000004</v>
      </c>
      <c r="AP305" s="423">
        <f t="shared" si="819"/>
        <v>1</v>
      </c>
      <c r="AQ305" s="421" t="str">
        <f t="shared" si="820"/>
        <v>YES</v>
      </c>
      <c r="AR305" s="422">
        <f t="shared" si="821"/>
        <v>1.616779273741455</v>
      </c>
      <c r="AS305" s="301" t="str">
        <f t="shared" si="822"/>
        <v>YES</v>
      </c>
      <c r="AT305" s="422" t="str">
        <f t="shared" si="823"/>
        <v>NA</v>
      </c>
      <c r="AU305" s="301" t="str">
        <f t="shared" si="824"/>
        <v>NA</v>
      </c>
      <c r="AV305" s="424" t="str">
        <f t="shared" si="825"/>
        <v>1R x 0.6/1kV x 3.5C x 25 Sqmm</v>
      </c>
      <c r="AW305" s="424" t="str">
        <f t="shared" si="826"/>
        <v>1R x 0.6/1kV x 3.5C x 25 Sqmm</v>
      </c>
      <c r="AX305" s="301">
        <f t="shared" si="827"/>
        <v>103</v>
      </c>
      <c r="AY305" s="575"/>
    </row>
    <row r="306" spans="1:51" s="576" customFormat="1">
      <c r="A306" s="298">
        <f t="shared" si="828"/>
        <v>201</v>
      </c>
      <c r="B306" s="301" t="s">
        <v>382</v>
      </c>
      <c r="C306" s="298" t="str">
        <f t="shared" si="767"/>
        <v>PDB-1</v>
      </c>
      <c r="D306" s="603" t="s">
        <v>1063</v>
      </c>
      <c r="E306" s="418" t="s">
        <v>410</v>
      </c>
      <c r="F306" s="420" t="s">
        <v>28</v>
      </c>
      <c r="G306" s="298" t="s">
        <v>298</v>
      </c>
      <c r="H306" s="421">
        <v>18</v>
      </c>
      <c r="I306" s="298" t="s">
        <v>299</v>
      </c>
      <c r="J306" s="298" t="s">
        <v>300</v>
      </c>
      <c r="K306" s="423">
        <v>400</v>
      </c>
      <c r="L306" s="301">
        <v>0.85</v>
      </c>
      <c r="M306" s="421">
        <v>0.95</v>
      </c>
      <c r="N306" s="299">
        <f t="shared" si="809"/>
        <v>32.175262228387169</v>
      </c>
      <c r="O306" s="299">
        <f t="shared" si="810"/>
        <v>0</v>
      </c>
      <c r="P306" s="301" t="str">
        <f t="shared" si="811"/>
        <v>0.00</v>
      </c>
      <c r="Q306" s="421">
        <v>50</v>
      </c>
      <c r="R306" s="421">
        <v>0</v>
      </c>
      <c r="S306" s="421">
        <f t="shared" si="812"/>
        <v>0</v>
      </c>
      <c r="T306" s="301" t="s">
        <v>301</v>
      </c>
      <c r="U306" s="421" t="s">
        <v>390</v>
      </c>
      <c r="V306" s="301">
        <v>25</v>
      </c>
      <c r="W306" s="301" t="str">
        <f t="shared" si="813"/>
        <v>3.5C X 25</v>
      </c>
      <c r="X306" s="301" t="str">
        <f t="shared" si="814"/>
        <v>3.5C X 25</v>
      </c>
      <c r="Y306" s="301" t="s">
        <v>314</v>
      </c>
      <c r="Z306" s="300">
        <f>IF(T306="AIR",VLOOKUP(W306,'Catalogue Aluminium'!$B$9:$G$91,2,FALSE),IF(T306="GROUND",VLOOKUP(W306,'Catalogue Aluminium'!$B$9:$G$91,3,FALSE),IF(T306="DUCT",VLOOKUP(W306,'Catalogue Aluminium'!$B$9:$G$91,4,FALSE),IF(T306="TRENCH",VLOOKUP(W306,'Catalogue Aluminium'!$B$9:$G$91,2,FALSE)))))</f>
        <v>95</v>
      </c>
      <c r="AA306" s="302">
        <f>VLOOKUP(W306,'Catalogue Aluminium'!$B$9:$G$91,5,FALSE)</f>
        <v>1.54</v>
      </c>
      <c r="AB306" s="302">
        <f>VLOOKUP(W306,'Catalogue Aluminium'!$B$9:$G$91,6,FALSE)</f>
        <v>8.1600000000000006E-2</v>
      </c>
      <c r="AC306" s="598">
        <f t="shared" si="797"/>
        <v>34</v>
      </c>
      <c r="AD306" s="298">
        <f t="shared" si="798"/>
        <v>41</v>
      </c>
      <c r="AE306" s="598">
        <v>10</v>
      </c>
      <c r="AF306" s="301">
        <v>8</v>
      </c>
      <c r="AG306" s="301">
        <f t="shared" si="815"/>
        <v>10</v>
      </c>
      <c r="AH306" s="574">
        <f>SUM(AC306:AG306)</f>
        <v>103</v>
      </c>
      <c r="AI306" s="300">
        <f>IF(T306="AIR",'Catalogue Aluminium'!$K$9,IF(T306="TRENCH",'Catalogue Aluminium'!$K$12,"NA"))</f>
        <v>0.89</v>
      </c>
      <c r="AJ306" s="299">
        <f>IF(T306="Air",(IF(U306="1C",'Catalogue Aluminium'!$L$9,'Catalogue Aluminium'!$M$9)),IF(T306="DUCT",(IF($U306="1C",'Catalogue Aluminium'!$L$10,'Catalogue Aluminium'!$M$10)),IF(T306="GROUND",(IF($U306="1C",'Catalogue Aluminium'!$L$11,'Catalogue Aluminium'!$M$11)),IF(T306="TRENCH",(IF($U306="1C",'Catalogue Aluminium'!$L$12,'Catalogue Aluminium'!$M$12))))))</f>
        <v>0.66</v>
      </c>
      <c r="AK306" s="300" t="str">
        <f>IF(T306="Air",'Catalogue Aluminium'!$N$9,IF(T306="GROUND",'Catalogue Aluminium'!$N$10,IF(T306="DUCT",'Catalogue Aluminium'!$N$11,IF(T306="TRENCH",'Catalogue Aluminium'!$N$12,"NA"))))</f>
        <v>NA</v>
      </c>
      <c r="AL306" s="300" t="str">
        <f>IF(T306="Air",(IF(U306="1C",'Catalogue Aluminium'!$O$9,'Catalogue Aluminium'!$P$9)),IF(T306="DUCT",(IF($U306="1C",'Catalogue Aluminium'!$O$10,'Catalogue Aluminium'!$P$10)),IF(T306="GROUND",(IF($U306="1C",'Catalogue Aluminium'!$O$11,'Catalogue Aluminium'!$P$11)),IF(T306="TRENCH",(IF($U306="1C",'Catalogue Aluminium'!$O$12,'Catalogue Aluminium'!$P$12))))))</f>
        <v>NA</v>
      </c>
      <c r="AM306" s="300" t="str">
        <f>IF(T306="AIR","NA",IF(T306="TRENCH","NA",IF(T306="DUCT",IF(U306="1C",VLOOKUP(V306,'Catalogue Aluminium'!$Q$9:$S$28,2,FALSE),VLOOKUP(V306,'Catalogue Aluminium'!$Q$9:$S$28,3)),IF(T306="GROUND",IF(U306="1C",VLOOKUP(V306,'Catalogue Aluminium'!$Q$9:$S$28,2,FALSE),VLOOKUP(V306,'Catalogue Aluminium'!$Q$9:$S$28,3))))))</f>
        <v>NA</v>
      </c>
      <c r="AN306" s="422">
        <f t="shared" si="817"/>
        <v>0.58740000000000003</v>
      </c>
      <c r="AO306" s="421">
        <f t="shared" si="818"/>
        <v>55.803000000000004</v>
      </c>
      <c r="AP306" s="423">
        <f t="shared" si="819"/>
        <v>1</v>
      </c>
      <c r="AQ306" s="421" t="str">
        <f t="shared" si="820"/>
        <v>YES</v>
      </c>
      <c r="AR306" s="422">
        <f>SQRT(3)*AH306*N306*((AA306*L306)+(AB306*SIN(ACOS(L306))))*100/(AP306*K306*1000)</f>
        <v>1.9401351284897463</v>
      </c>
      <c r="AS306" s="301" t="str">
        <f t="shared" si="822"/>
        <v>YES</v>
      </c>
      <c r="AT306" s="422" t="str">
        <f>IF(G306="MOTOR",(SQRT(3)*AH306*O306*((AA306*P306)+(AB306*SIN(ACOS(P306))))*100/(AP306*K306*1000)),"NA")</f>
        <v>NA</v>
      </c>
      <c r="AU306" s="301" t="str">
        <f t="shared" si="824"/>
        <v>NA</v>
      </c>
      <c r="AV306" s="424" t="str">
        <f t="shared" si="825"/>
        <v>1R x 0.6/1kV x 3.5C x 25 Sqmm</v>
      </c>
      <c r="AW306" s="424" t="str">
        <f t="shared" si="826"/>
        <v>1R x 0.6/1kV x 3.5C x 25 Sqmm</v>
      </c>
      <c r="AX306" s="301">
        <f>(IF(K306=400,(IF(U306="1C",(4*AH306*AP306),(AH306*AP306))),IF(K306=230,(AH306*AP306))))</f>
        <v>103</v>
      </c>
      <c r="AY306" s="575"/>
    </row>
    <row r="307" spans="1:51" ht="27" customHeight="1">
      <c r="A307" s="243">
        <f>1+A302</f>
        <v>200</v>
      </c>
      <c r="B307" s="249" t="s">
        <v>607</v>
      </c>
      <c r="C307" s="243" t="str">
        <f t="shared" si="767"/>
        <v>PDB-1</v>
      </c>
      <c r="D307" s="314" t="s">
        <v>606</v>
      </c>
      <c r="E307" s="351" t="s">
        <v>410</v>
      </c>
      <c r="F307" s="410" t="s">
        <v>29</v>
      </c>
      <c r="G307" s="243" t="s">
        <v>298</v>
      </c>
      <c r="H307" s="256">
        <v>72.623000000000005</v>
      </c>
      <c r="I307" s="243" t="s">
        <v>299</v>
      </c>
      <c r="J307" s="243" t="s">
        <v>300</v>
      </c>
      <c r="K307" s="255">
        <v>400</v>
      </c>
      <c r="L307" s="249">
        <v>0.85</v>
      </c>
      <c r="M307" s="256">
        <v>0.95</v>
      </c>
      <c r="N307" s="248">
        <f t="shared" si="768"/>
        <v>129.81467048956452</v>
      </c>
      <c r="O307" s="248">
        <f t="shared" si="769"/>
        <v>0</v>
      </c>
      <c r="P307" s="249" t="str">
        <f t="shared" si="770"/>
        <v>0.00</v>
      </c>
      <c r="Q307" s="256">
        <v>50</v>
      </c>
      <c r="R307" s="256">
        <v>0</v>
      </c>
      <c r="S307" s="256">
        <f t="shared" si="771"/>
        <v>0</v>
      </c>
      <c r="T307" s="249" t="s">
        <v>301</v>
      </c>
      <c r="U307" s="609" t="s">
        <v>390</v>
      </c>
      <c r="V307" s="608">
        <v>95</v>
      </c>
      <c r="W307" s="249" t="str">
        <f t="shared" si="772"/>
        <v>3.5C X 95</v>
      </c>
      <c r="X307" s="249" t="str">
        <f t="shared" si="773"/>
        <v>3.5C X 95</v>
      </c>
      <c r="Y307" s="249" t="s">
        <v>314</v>
      </c>
      <c r="Z307" s="250">
        <f>IF(T307="AIR",VLOOKUP(W307,'Catalogue Aluminium'!$B$9:$G$91,2,FALSE),IF(T307="GROUND",VLOOKUP(W307,'Catalogue Aluminium'!$B$9:$G$91,3,FALSE),IF(T307="DUCT",VLOOKUP(W307,'Catalogue Aluminium'!$B$9:$G$91,4,FALSE),IF(T307="TRENCH",VLOOKUP(W307,'Catalogue Aluminium'!$B$9:$G$91,2,FALSE)))))</f>
        <v>221</v>
      </c>
      <c r="AA307" s="251">
        <f>VLOOKUP(W307,'Catalogue Aluminium'!$B$9:$G$91,5,FALSE)</f>
        <v>0.41</v>
      </c>
      <c r="AB307" s="251">
        <f>VLOOKUP(W307,'Catalogue Aluminium'!$B$9:$G$91,6,FALSE)</f>
        <v>7.3400000000000007E-2</v>
      </c>
      <c r="AC307" s="323">
        <f t="shared" si="797"/>
        <v>34</v>
      </c>
      <c r="AD307" s="285">
        <f t="shared" si="798"/>
        <v>41</v>
      </c>
      <c r="AE307" s="323">
        <v>10</v>
      </c>
      <c r="AF307" s="294">
        <v>8</v>
      </c>
      <c r="AG307" s="294">
        <f t="shared" si="774"/>
        <v>10</v>
      </c>
      <c r="AH307" s="253">
        <f>SUM(AC307:AG307)</f>
        <v>103</v>
      </c>
      <c r="AI307" s="250">
        <f>IF(T307="AIR",'Catalogue Aluminium'!$K$9,IF(T307="TRENCH",'Catalogue Aluminium'!$K$12,"NA"))</f>
        <v>0.89</v>
      </c>
      <c r="AJ307" s="248">
        <f>IF(T307="Air",(IF(U307="1C",'Catalogue Aluminium'!$L$9,'Catalogue Aluminium'!$M$9)),IF(T307="DUCT",(IF($U307="1C",'Catalogue Aluminium'!$L$10,'Catalogue Aluminium'!$M$10)),IF(T307="GROUND",(IF($U307="1C",'Catalogue Aluminium'!$L$11,'Catalogue Aluminium'!$M$11)),IF(T307="TRENCH",(IF($U307="1C",'Catalogue Aluminium'!$L$12,'Catalogue Aluminium'!$M$12))))))</f>
        <v>0.66</v>
      </c>
      <c r="AK307" s="250" t="str">
        <f>IF(T307="Air",'Catalogue Aluminium'!$N$9,IF(T307="GROUND",'Catalogue Aluminium'!$N$10,IF(T307="DUCT",'Catalogue Aluminium'!$N$11,IF(T307="TRENCH",'Catalogue Aluminium'!$N$12,"NA"))))</f>
        <v>NA</v>
      </c>
      <c r="AL307" s="250" t="str">
        <f>IF(T307="Air",(IF(U307="1C",'Catalogue Aluminium'!$O$9,'Catalogue Aluminium'!$P$9)),IF(T307="DUCT",(IF($U307="1C",'Catalogue Aluminium'!$O$10,'Catalogue Aluminium'!$P$10)),IF(T307="GROUND",(IF($U307="1C",'Catalogue Aluminium'!$O$11,'Catalogue Aluminium'!$P$11)),IF(T307="TRENCH",(IF($U307="1C",'Catalogue Aluminium'!$O$12,'Catalogue Aluminium'!$P$12))))))</f>
        <v>NA</v>
      </c>
      <c r="AM307" s="250" t="str">
        <f>IF(T307="AIR","NA",IF(T307="TRENCH","NA",IF(T307="DUCT",IF(U307="1C",VLOOKUP(V307,'Catalogue Aluminium'!$Q$9:$S$28,2,FALSE),VLOOKUP(V307,'Catalogue Aluminium'!$Q$9:$S$28,3)),IF(T307="GROUND",IF(U307="1C",VLOOKUP(V307,'Catalogue Aluminium'!$Q$9:$S$28,2,FALSE),VLOOKUP(V307,'Catalogue Aluminium'!$Q$9:$S$28,3))))))</f>
        <v>NA</v>
      </c>
      <c r="AN307" s="257">
        <f t="shared" si="776"/>
        <v>0.58740000000000003</v>
      </c>
      <c r="AO307" s="256">
        <f t="shared" si="777"/>
        <v>129.81540000000001</v>
      </c>
      <c r="AP307" s="255">
        <f>CEILING(((N307)/AO307),1)</f>
        <v>1</v>
      </c>
      <c r="AQ307" s="256" t="str">
        <f t="shared" si="779"/>
        <v>YES</v>
      </c>
      <c r="AR307" s="257">
        <f>SQRT(3)*AH307*N307*((AA307*L307)+(AB307*SIN(ACOS(L307))))*100/(AP307*K307*1000)</f>
        <v>2.2416028936511072</v>
      </c>
      <c r="AS307" s="249" t="str">
        <f t="shared" si="781"/>
        <v>YES</v>
      </c>
      <c r="AT307" s="257" t="str">
        <f>IF(G307="MOTOR",(SQRT(3)*AH307*O307*((AA307*P307)+(AB307*SIN(ACOS(P307))))*100/(AP307*K307*1000)),"NA")</f>
        <v>NA</v>
      </c>
      <c r="AU307" s="249" t="str">
        <f t="shared" si="783"/>
        <v>NA</v>
      </c>
      <c r="AV307" s="260" t="str">
        <f t="shared" si="784"/>
        <v>1R x 0.6/1kV x 3.5C x 95 Sqmm</v>
      </c>
      <c r="AW307" s="260" t="str">
        <f t="shared" si="785"/>
        <v>1R x 0.6/1kV x 3.5C x 95 Sqmm</v>
      </c>
      <c r="AX307" s="249">
        <f>(IF(K307=400,(IF(U307="1C",(4*AH307*AP307),(AH307*AP307))),IF(K307=230,(AH307*AP307))))</f>
        <v>103</v>
      </c>
      <c r="AY307" s="261"/>
    </row>
    <row r="308" spans="1:51" s="592" customFormat="1">
      <c r="A308" s="577">
        <f t="shared" ref="A308:A345" si="829">1+A307</f>
        <v>201</v>
      </c>
      <c r="B308" s="583" t="s">
        <v>382</v>
      </c>
      <c r="C308" s="577" t="str">
        <f t="shared" si="767"/>
        <v>PDB-1</v>
      </c>
      <c r="D308" s="604" t="s">
        <v>608</v>
      </c>
      <c r="E308" s="580" t="s">
        <v>463</v>
      </c>
      <c r="F308" s="605" t="s">
        <v>29</v>
      </c>
      <c r="G308" s="577" t="s">
        <v>311</v>
      </c>
      <c r="H308" s="584">
        <v>62</v>
      </c>
      <c r="I308" s="577" t="s">
        <v>299</v>
      </c>
      <c r="J308" s="577" t="s">
        <v>300</v>
      </c>
      <c r="K308" s="582">
        <v>400</v>
      </c>
      <c r="L308" s="583">
        <v>0.85</v>
      </c>
      <c r="M308" s="584">
        <v>0.95400000000000007</v>
      </c>
      <c r="N308" s="585">
        <f t="shared" si="768"/>
        <v>110.36122439156789</v>
      </c>
      <c r="O308" s="585">
        <f t="shared" si="769"/>
        <v>662.16734634940735</v>
      </c>
      <c r="P308" s="583">
        <f t="shared" si="770"/>
        <v>0.2</v>
      </c>
      <c r="Q308" s="584">
        <v>50</v>
      </c>
      <c r="R308" s="584">
        <v>0</v>
      </c>
      <c r="S308" s="584">
        <f t="shared" si="771"/>
        <v>0</v>
      </c>
      <c r="T308" s="583" t="s">
        <v>131</v>
      </c>
      <c r="U308" s="584" t="s">
        <v>302</v>
      </c>
      <c r="V308" s="583">
        <v>50</v>
      </c>
      <c r="W308" s="583" t="str">
        <f t="shared" si="772"/>
        <v>3C X 50</v>
      </c>
      <c r="X308" s="583" t="str">
        <f t="shared" si="773"/>
        <v>3C X 50+PE</v>
      </c>
      <c r="Y308" s="583" t="s">
        <v>314</v>
      </c>
      <c r="Z308" s="586">
        <f>IF(T308="AIR",VLOOKUP(W308,'Catalogue Aluminium'!$B$9:$G$91,2,FALSE),IF(T308="GROUND",VLOOKUP(W308,'Catalogue Aluminium'!$B$9:$G$91,3,FALSE),IF(T308="DUCT",VLOOKUP(W308,'Catalogue Aluminium'!$B$9:$G$91,4,FALSE),IF(T308="TRENCH",VLOOKUP(W308,'Catalogue Aluminium'!$B$9:$G$91,2,FALSE)))))</f>
        <v>141</v>
      </c>
      <c r="AA308" s="587">
        <f>VLOOKUP(W308,'Catalogue Aluminium'!$B$9:$G$91,5,FALSE)</f>
        <v>0.82</v>
      </c>
      <c r="AB308" s="587">
        <f>VLOOKUP(W308,'Catalogue Aluminium'!$B$9:$G$91,6,FALSE)</f>
        <v>7.9200000000000007E-2</v>
      </c>
      <c r="AC308" s="602">
        <f t="shared" si="797"/>
        <v>34</v>
      </c>
      <c r="AD308" s="577">
        <f>10</f>
        <v>10</v>
      </c>
      <c r="AE308" s="602">
        <v>10</v>
      </c>
      <c r="AF308" s="583">
        <v>8</v>
      </c>
      <c r="AG308" s="583">
        <f t="shared" si="774"/>
        <v>7</v>
      </c>
      <c r="AH308" s="588">
        <f t="shared" si="775"/>
        <v>69</v>
      </c>
      <c r="AI308" s="586">
        <f>IF(T308="AIR",'Catalogue Aluminium'!$K$9,IF(T308="TRENCH",'Catalogue Aluminium'!$K$12,"NA"))</f>
        <v>0.89</v>
      </c>
      <c r="AJ308" s="585">
        <f>IF(T308="Air",(IF(U308="1C",'Catalogue Aluminium'!$L$9,'Catalogue Aluminium'!$M$9)),IF(T308="DUCT",(IF($U308="1C",'Catalogue Aluminium'!$L$10,'Catalogue Aluminium'!$M$10)),IF(T308="GROUND",(IF($U308="1C",'Catalogue Aluminium'!$L$11,'Catalogue Aluminium'!$M$11)),IF(T308="TRENCH",(IF($U308="1C",'Catalogue Aluminium'!$L$12,'Catalogue Aluminium'!$M$12))))))</f>
        <v>0.66</v>
      </c>
      <c r="AK308" s="586" t="str">
        <f>IF(T308="Air",'Catalogue Aluminium'!$N$9,IF(T308="GROUND",'Catalogue Aluminium'!$N$10,IF(T308="DUCT",'Catalogue Aluminium'!$N$11,IF(T308="TRENCH",'Catalogue Aluminium'!$N$12,"NA"))))</f>
        <v>NA</v>
      </c>
      <c r="AL308" s="586" t="str">
        <f>IF(T308="Air",(IF(U308="1C",'Catalogue Aluminium'!$O$9,'Catalogue Aluminium'!$P$9)),IF(T308="DUCT",(IF($U308="1C",'Catalogue Aluminium'!$O$10,'Catalogue Aluminium'!$P$10)),IF(T308="GROUND",(IF($U308="1C",'Catalogue Aluminium'!$O$11,'Catalogue Aluminium'!$P$11)),IF(T308="TRENCH",(IF($U308="1C",'Catalogue Aluminium'!$O$12,'Catalogue Aluminium'!$P$12))))))</f>
        <v>NA</v>
      </c>
      <c r="AM308" s="586" t="str">
        <f>IF(T308="AIR","NA",IF(T308="TRENCH","NA",IF(T308="DUCT",IF(U308="1C",VLOOKUP(V308,'Catalogue Aluminium'!$Q$9:$S$28,2,FALSE),VLOOKUP(V308,'Catalogue Aluminium'!$Q$9:$S$28,3)),IF(T308="GROUND",IF(U308="1C",VLOOKUP(V308,'Catalogue Aluminium'!$Q$9:$S$28,2,FALSE),VLOOKUP(V308,'Catalogue Aluminium'!$Q$9:$S$28,3))))))</f>
        <v>NA</v>
      </c>
      <c r="AN308" s="589">
        <f t="shared" si="776"/>
        <v>0.58740000000000003</v>
      </c>
      <c r="AO308" s="584">
        <f t="shared" si="777"/>
        <v>82.823400000000007</v>
      </c>
      <c r="AP308" s="582">
        <f t="shared" si="778"/>
        <v>2</v>
      </c>
      <c r="AQ308" s="584" t="str">
        <f t="shared" si="779"/>
        <v>YES</v>
      </c>
      <c r="AR308" s="589">
        <f t="shared" si="780"/>
        <v>1.2179144895610599</v>
      </c>
      <c r="AS308" s="583" t="str">
        <f t="shared" si="781"/>
        <v>YES</v>
      </c>
      <c r="AT308" s="589">
        <f t="shared" si="782"/>
        <v>2.3899241897056931</v>
      </c>
      <c r="AU308" s="583" t="str">
        <f t="shared" si="783"/>
        <v>YES</v>
      </c>
      <c r="AV308" s="590" t="str">
        <f t="shared" si="784"/>
        <v>2R x 0.6/1kV x 3C x 50 Sqmm</v>
      </c>
      <c r="AW308" s="590" t="str">
        <f t="shared" si="785"/>
        <v>2R x 0.6/1kV x 3C x 50+PE Sqmm</v>
      </c>
      <c r="AX308" s="583"/>
      <c r="AY308" s="591"/>
    </row>
    <row r="309" spans="1:51" s="592" customFormat="1">
      <c r="A309" s="577">
        <f t="shared" si="829"/>
        <v>202</v>
      </c>
      <c r="B309" s="583" t="s">
        <v>382</v>
      </c>
      <c r="C309" s="577" t="str">
        <f t="shared" si="767"/>
        <v>PDB-1</v>
      </c>
      <c r="D309" s="604" t="s">
        <v>609</v>
      </c>
      <c r="E309" s="580" t="s">
        <v>463</v>
      </c>
      <c r="F309" s="605" t="s">
        <v>29</v>
      </c>
      <c r="G309" s="577" t="s">
        <v>298</v>
      </c>
      <c r="H309" s="581">
        <v>0.2</v>
      </c>
      <c r="I309" s="577" t="s">
        <v>299</v>
      </c>
      <c r="J309" s="577" t="s">
        <v>313</v>
      </c>
      <c r="K309" s="582">
        <v>230</v>
      </c>
      <c r="L309" s="583">
        <v>0.85</v>
      </c>
      <c r="M309" s="584">
        <v>0.95</v>
      </c>
      <c r="N309" s="585">
        <f t="shared" si="768"/>
        <v>1.0768609503297888</v>
      </c>
      <c r="O309" s="585">
        <f t="shared" si="769"/>
        <v>0</v>
      </c>
      <c r="P309" s="583" t="str">
        <f t="shared" si="770"/>
        <v>0.00</v>
      </c>
      <c r="Q309" s="584">
        <v>65</v>
      </c>
      <c r="R309" s="584">
        <v>0</v>
      </c>
      <c r="S309" s="584">
        <f t="shared" si="771"/>
        <v>0</v>
      </c>
      <c r="T309" s="583" t="s">
        <v>131</v>
      </c>
      <c r="U309" s="584" t="s">
        <v>302</v>
      </c>
      <c r="V309" s="583">
        <v>2.5</v>
      </c>
      <c r="W309" s="583" t="str">
        <f t="shared" si="772"/>
        <v>3C X 2.5</v>
      </c>
      <c r="X309" s="583" t="str">
        <f t="shared" ref="X309" si="830">(IF(J309="1Ph",W309,IF(J309="3Ph",(IF(G309="MOTOR",(CONCATENATE(W309,"+PE")),W309)))))</f>
        <v>3C X 2.5</v>
      </c>
      <c r="Y309" s="583" t="s">
        <v>314</v>
      </c>
      <c r="Z309" s="586">
        <f>IF(T309="AIR",VLOOKUP(W309,'Catalogue Aluminium'!$B$9:$G$91,2,FALSE),IF(T309="GROUND",VLOOKUP(W309,'Catalogue Aluminium'!$B$9:$G$91,3,FALSE),IF(T309="DUCT",VLOOKUP(W309,'Catalogue Aluminium'!$B$9:$G$91,4,FALSE),IF(T309="TRENCH",VLOOKUP(W309,'Catalogue Aluminium'!$B$9:$G$91,2,FALSE)))))</f>
        <v>28</v>
      </c>
      <c r="AA309" s="587">
        <f>VLOOKUP(W309,'Catalogue Aluminium'!$B$9:$G$91,5,FALSE)</f>
        <v>9.48</v>
      </c>
      <c r="AB309" s="587">
        <f>VLOOKUP(W309,'Catalogue Aluminium'!$B$9:$G$91,6,FALSE)</f>
        <v>0.1007</v>
      </c>
      <c r="AC309" s="602">
        <f t="shared" si="797"/>
        <v>34</v>
      </c>
      <c r="AD309" s="577">
        <f>10</f>
        <v>10</v>
      </c>
      <c r="AE309" s="602">
        <v>10</v>
      </c>
      <c r="AF309" s="583">
        <v>8</v>
      </c>
      <c r="AG309" s="583">
        <f t="shared" ref="AG309" si="831">ROUNDUP((SUM(AC309:AF309)*0.1),0)</f>
        <v>7</v>
      </c>
      <c r="AH309" s="588">
        <f t="shared" ref="AH309" si="832">SUM(AC309:AG309)</f>
        <v>69</v>
      </c>
      <c r="AI309" s="586">
        <f>IF(T309="AIR",'Catalogue Aluminium'!$K$9,IF(T309="TRENCH",'Catalogue Aluminium'!$K$12,"NA"))</f>
        <v>0.89</v>
      </c>
      <c r="AJ309" s="585">
        <f>IF(T309="Air",(IF(U309="1C",'Catalogue Aluminium'!$L$9,'Catalogue Aluminium'!$M$9)),IF(T309="DUCT",(IF($U309="1C",'Catalogue Aluminium'!$L$10,'Catalogue Aluminium'!$M$10)),IF(T309="GROUND",(IF($U309="1C",'Catalogue Aluminium'!$L$11,'Catalogue Aluminium'!$M$11)),IF(T309="TRENCH",(IF($U309="1C",'Catalogue Aluminium'!$L$12,'Catalogue Aluminium'!$M$12))))))</f>
        <v>0.66</v>
      </c>
      <c r="AK309" s="586" t="str">
        <f>IF(T309="Air",'Catalogue Aluminium'!$N$9,IF(T309="GROUND",'Catalogue Aluminium'!$N$10,IF(T309="DUCT",'Catalogue Aluminium'!$N$11,IF(T309="TRENCH",'Catalogue Aluminium'!$N$12,"NA"))))</f>
        <v>NA</v>
      </c>
      <c r="AL309" s="586" t="str">
        <f>IF(T309="Air",(IF(U309="1C",'Catalogue Aluminium'!$O$9,'Catalogue Aluminium'!$P$9)),IF(T309="DUCT",(IF($U309="1C",'Catalogue Aluminium'!$O$10,'Catalogue Aluminium'!$P$10)),IF(T309="GROUND",(IF($U309="1C",'Catalogue Aluminium'!$O$11,'Catalogue Aluminium'!$P$11)),IF(T309="TRENCH",(IF($U309="1C",'Catalogue Aluminium'!$O$12,'Catalogue Aluminium'!$P$12))))))</f>
        <v>NA</v>
      </c>
      <c r="AM309" s="586" t="str">
        <f>IF(T309="AIR","NA",IF(T309="TRENCH","NA",IF(T309="DUCT",IF(U309="1C",VLOOKUP(V309,'Catalogue Aluminium'!$Q$9:$S$28,2,FALSE),VLOOKUP(V309,'Catalogue Aluminium'!$Q$9:$S$28,3)),IF(T309="GROUND",IF(U309="1C",VLOOKUP(V309,'Catalogue Aluminium'!$Q$9:$S$28,2,FALSE),VLOOKUP(V309,'Catalogue Aluminium'!$Q$9:$S$28,3))))))</f>
        <v>NA</v>
      </c>
      <c r="AN309" s="589">
        <f t="shared" ref="AN309" si="833">IF(T309="AIR",AI309*AJ309,IF(T309="TRENCH",AI309*AJ309,IF(T309="DUCT",AJ309*AK309*AL309*AM309,IF(T309="GROUND",AJ309*AK309*AL309*AM309))))</f>
        <v>0.58740000000000003</v>
      </c>
      <c r="AO309" s="584">
        <f t="shared" ref="AO309" si="834">Z309*AN309</f>
        <v>16.447200000000002</v>
      </c>
      <c r="AP309" s="582">
        <f t="shared" ref="AP309" si="835">CEILING(((N309)/AO309),1)</f>
        <v>1</v>
      </c>
      <c r="AQ309" s="584" t="str">
        <f t="shared" ref="AQ309" si="836">IF(AO309*AP309&gt;=N309,"YES","NO")</f>
        <v>YES</v>
      </c>
      <c r="AR309" s="589">
        <f t="shared" ref="AR309" si="837">SQRT(3)*AH309*N309*((AA309*L309)+(AB309*SIN(ACOS(L309))))*100/(AP309*K309*1000)</f>
        <v>0.45385636404609503</v>
      </c>
      <c r="AS309" s="583" t="str">
        <f t="shared" ref="AS309" si="838">IF(G309="INCOMER",(IF(AR309&lt;=2,"YES","NO")),IF(G309="POWER",(IF(AR309&lt;=2.5,"YES","NO")),IF(G309="MOTOR",(IF(AR309&lt;=3,"YES","NO")))))</f>
        <v>YES</v>
      </c>
      <c r="AT309" s="589" t="str">
        <f t="shared" si="782"/>
        <v>NA</v>
      </c>
      <c r="AU309" s="583" t="str">
        <f t="shared" si="783"/>
        <v>NA</v>
      </c>
      <c r="AV309" s="590" t="str">
        <f t="shared" si="784"/>
        <v>1R x 0.6/1kV x 3C x 2.5 Sqmm</v>
      </c>
      <c r="AW309" s="590" t="str">
        <f t="shared" si="785"/>
        <v>1R x 0.6/1kV x 3C x 2.5 Sqmm</v>
      </c>
      <c r="AX309" s="583"/>
      <c r="AY309" s="591"/>
    </row>
    <row r="310" spans="1:51" s="592" customFormat="1">
      <c r="A310" s="577">
        <f t="shared" si="829"/>
        <v>203</v>
      </c>
      <c r="B310" s="583" t="s">
        <v>382</v>
      </c>
      <c r="C310" s="577" t="str">
        <f t="shared" si="767"/>
        <v>PDB-1</v>
      </c>
      <c r="D310" s="604" t="s">
        <v>600</v>
      </c>
      <c r="E310" s="580" t="s">
        <v>463</v>
      </c>
      <c r="F310" s="605" t="s">
        <v>29</v>
      </c>
      <c r="G310" s="577" t="s">
        <v>298</v>
      </c>
      <c r="H310" s="584">
        <v>15</v>
      </c>
      <c r="I310" s="577" t="s">
        <v>299</v>
      </c>
      <c r="J310" s="577" t="s">
        <v>300</v>
      </c>
      <c r="K310" s="582">
        <v>400</v>
      </c>
      <c r="L310" s="583">
        <v>0.85</v>
      </c>
      <c r="M310" s="584">
        <v>0.95</v>
      </c>
      <c r="N310" s="585">
        <f t="shared" si="768"/>
        <v>26.81271852365597</v>
      </c>
      <c r="O310" s="585">
        <f t="shared" si="769"/>
        <v>0</v>
      </c>
      <c r="P310" s="583" t="str">
        <f t="shared" si="770"/>
        <v>0.00</v>
      </c>
      <c r="Q310" s="584">
        <v>50</v>
      </c>
      <c r="R310" s="584">
        <v>0</v>
      </c>
      <c r="S310" s="584">
        <f t="shared" si="771"/>
        <v>0</v>
      </c>
      <c r="T310" s="583" t="s">
        <v>131</v>
      </c>
      <c r="U310" s="584" t="s">
        <v>377</v>
      </c>
      <c r="V310" s="583">
        <v>16</v>
      </c>
      <c r="W310" s="583" t="str">
        <f t="shared" si="772"/>
        <v>4C X 16</v>
      </c>
      <c r="X310" s="583" t="str">
        <f t="shared" si="773"/>
        <v>4C X 16</v>
      </c>
      <c r="Y310" s="583" t="s">
        <v>314</v>
      </c>
      <c r="Z310" s="586">
        <f>IF(T310="AIR",VLOOKUP(W310,'Catalogue Aluminium'!$B$9:$G$91,2,FALSE),IF(T310="GROUND",VLOOKUP(W310,'Catalogue Aluminium'!$B$9:$G$91,3,FALSE),IF(T310="DUCT",VLOOKUP(W310,'Catalogue Aluminium'!$B$9:$G$91,4,FALSE),IF(T310="TRENCH",VLOOKUP(W310,'Catalogue Aluminium'!$B$9:$G$91,2,FALSE)))))</f>
        <v>70</v>
      </c>
      <c r="AA310" s="587">
        <f>VLOOKUP(W310,'Catalogue Aluminium'!$B$9:$G$91,5,FALSE)</f>
        <v>2.44</v>
      </c>
      <c r="AB310" s="587">
        <f>VLOOKUP(W310,'Catalogue Aluminium'!$B$9:$G$91,6,FALSE)</f>
        <v>8.1500000000000003E-2</v>
      </c>
      <c r="AC310" s="602">
        <f t="shared" si="797"/>
        <v>34</v>
      </c>
      <c r="AD310" s="577">
        <f>10</f>
        <v>10</v>
      </c>
      <c r="AE310" s="602">
        <v>10</v>
      </c>
      <c r="AF310" s="583">
        <v>8</v>
      </c>
      <c r="AG310" s="583">
        <f t="shared" si="774"/>
        <v>7</v>
      </c>
      <c r="AH310" s="588">
        <f t="shared" si="775"/>
        <v>69</v>
      </c>
      <c r="AI310" s="586">
        <f>IF(T310="AIR",'Catalogue Aluminium'!$K$9,IF(T310="TRENCH",'Catalogue Aluminium'!$K$12,"NA"))</f>
        <v>0.89</v>
      </c>
      <c r="AJ310" s="585">
        <f>IF(T310="Air",(IF(U310="1C",'Catalogue Aluminium'!$L$9,'Catalogue Aluminium'!$M$9)),IF(T310="DUCT",(IF($U310="1C",'Catalogue Aluminium'!$L$10,'Catalogue Aluminium'!$M$10)),IF(T310="GROUND",(IF($U310="1C",'Catalogue Aluminium'!$L$11,'Catalogue Aluminium'!$M$11)),IF(T310="TRENCH",(IF($U310="1C",'Catalogue Aluminium'!$L$12,'Catalogue Aluminium'!$M$12))))))</f>
        <v>0.66</v>
      </c>
      <c r="AK310" s="586" t="str">
        <f>IF(T310="Air",'Catalogue Aluminium'!$N$9,IF(T310="GROUND",'Catalogue Aluminium'!$N$10,IF(T310="DUCT",'Catalogue Aluminium'!$N$11,IF(T310="TRENCH",'Catalogue Aluminium'!$N$12,"NA"))))</f>
        <v>NA</v>
      </c>
      <c r="AL310" s="586" t="str">
        <f>IF(T310="Air",(IF(U310="1C",'Catalogue Aluminium'!$O$9,'Catalogue Aluminium'!$P$9)),IF(T310="DUCT",(IF($U310="1C",'Catalogue Aluminium'!$O$10,'Catalogue Aluminium'!$P$10)),IF(T310="GROUND",(IF($U310="1C",'Catalogue Aluminium'!$O$11,'Catalogue Aluminium'!$P$11)),IF(T310="TRENCH",(IF($U310="1C",'Catalogue Aluminium'!$O$12,'Catalogue Aluminium'!$P$12))))))</f>
        <v>NA</v>
      </c>
      <c r="AM310" s="586" t="str">
        <f>IF(T310="AIR","NA",IF(T310="TRENCH","NA",IF(T310="DUCT",IF(U310="1C",VLOOKUP(V310,'Catalogue Aluminium'!$Q$9:$S$28,2,FALSE),VLOOKUP(V310,'Catalogue Aluminium'!$Q$9:$S$28,3)),IF(T310="GROUND",IF(U310="1C",VLOOKUP(V310,'Catalogue Aluminium'!$Q$9:$S$28,2,FALSE),VLOOKUP(V310,'Catalogue Aluminium'!$Q$9:$S$28,3))))))</f>
        <v>NA</v>
      </c>
      <c r="AN310" s="589">
        <f t="shared" si="776"/>
        <v>0.58740000000000003</v>
      </c>
      <c r="AO310" s="584">
        <f t="shared" si="777"/>
        <v>41.118000000000002</v>
      </c>
      <c r="AP310" s="582">
        <f t="shared" si="778"/>
        <v>1</v>
      </c>
      <c r="AQ310" s="584" t="str">
        <f t="shared" si="779"/>
        <v>YES</v>
      </c>
      <c r="AR310" s="589">
        <f t="shared" si="780"/>
        <v>1.6958898680858145</v>
      </c>
      <c r="AS310" s="583" t="str">
        <f t="shared" si="781"/>
        <v>YES</v>
      </c>
      <c r="AT310" s="589" t="str">
        <f t="shared" si="782"/>
        <v>NA</v>
      </c>
      <c r="AU310" s="583" t="str">
        <f t="shared" si="783"/>
        <v>NA</v>
      </c>
      <c r="AV310" s="590" t="str">
        <f t="shared" si="784"/>
        <v>1R x 0.6/1kV x 4C x 16 Sqmm</v>
      </c>
      <c r="AW310" s="590" t="str">
        <f t="shared" si="785"/>
        <v>1R x 0.6/1kV x 4C x 16 Sqmm</v>
      </c>
      <c r="AX310" s="583"/>
      <c r="AY310" s="591"/>
    </row>
    <row r="311" spans="1:51" s="592" customFormat="1">
      <c r="A311" s="577">
        <f t="shared" si="829"/>
        <v>204</v>
      </c>
      <c r="B311" s="583" t="s">
        <v>382</v>
      </c>
      <c r="C311" s="577" t="str">
        <f t="shared" si="767"/>
        <v>PDB-1</v>
      </c>
      <c r="D311" s="604" t="s">
        <v>601</v>
      </c>
      <c r="E311" s="580" t="s">
        <v>463</v>
      </c>
      <c r="F311" s="605" t="s">
        <v>29</v>
      </c>
      <c r="G311" s="577" t="s">
        <v>298</v>
      </c>
      <c r="H311" s="584">
        <v>10</v>
      </c>
      <c r="I311" s="577" t="s">
        <v>299</v>
      </c>
      <c r="J311" s="577" t="s">
        <v>300</v>
      </c>
      <c r="K311" s="582">
        <v>400</v>
      </c>
      <c r="L311" s="583">
        <v>0.85</v>
      </c>
      <c r="M311" s="584">
        <v>0.95</v>
      </c>
      <c r="N311" s="585">
        <f t="shared" si="768"/>
        <v>17.875145682437314</v>
      </c>
      <c r="O311" s="585">
        <f t="shared" si="769"/>
        <v>0</v>
      </c>
      <c r="P311" s="583" t="str">
        <f t="shared" si="770"/>
        <v>0.00</v>
      </c>
      <c r="Q311" s="584">
        <v>50</v>
      </c>
      <c r="R311" s="584">
        <v>0</v>
      </c>
      <c r="S311" s="584">
        <f t="shared" si="771"/>
        <v>0</v>
      </c>
      <c r="T311" s="583" t="s">
        <v>131</v>
      </c>
      <c r="U311" s="584" t="s">
        <v>377</v>
      </c>
      <c r="V311" s="583">
        <v>6</v>
      </c>
      <c r="W311" s="583" t="str">
        <f t="shared" si="772"/>
        <v>4C X 6</v>
      </c>
      <c r="X311" s="583" t="str">
        <f t="shared" si="773"/>
        <v>4C X 6</v>
      </c>
      <c r="Y311" s="583" t="s">
        <v>314</v>
      </c>
      <c r="Z311" s="586">
        <f>IF(T311="AIR",VLOOKUP(W311,'Catalogue Aluminium'!$B$9:$G$91,2,FALSE),IF(T311="GROUND",VLOOKUP(W311,'Catalogue Aluminium'!$B$9:$G$91,3,FALSE),IF(T311="DUCT",VLOOKUP(W311,'Catalogue Aluminium'!$B$9:$G$91,4,FALSE),IF(T311="TRENCH",VLOOKUP(W311,'Catalogue Aluminium'!$B$9:$G$91,2,FALSE)))))</f>
        <v>51</v>
      </c>
      <c r="AA311" s="587">
        <f>VLOOKUP(W311,'Catalogue Aluminium'!$B$9:$G$91,5,FALSE)</f>
        <v>3.94</v>
      </c>
      <c r="AB311" s="587">
        <f>VLOOKUP(W311,'Catalogue Aluminium'!$B$9:$G$91,6,FALSE)</f>
        <v>9.0200000000000002E-2</v>
      </c>
      <c r="AC311" s="602">
        <f t="shared" si="797"/>
        <v>34</v>
      </c>
      <c r="AD311" s="577">
        <f>10</f>
        <v>10</v>
      </c>
      <c r="AE311" s="602">
        <v>10</v>
      </c>
      <c r="AF311" s="583">
        <v>8</v>
      </c>
      <c r="AG311" s="583">
        <f t="shared" si="774"/>
        <v>7</v>
      </c>
      <c r="AH311" s="588">
        <f t="shared" si="775"/>
        <v>69</v>
      </c>
      <c r="AI311" s="586">
        <f>IF(T311="AIR",'Catalogue Aluminium'!$K$9,IF(T311="TRENCH",'Catalogue Aluminium'!$K$12,"NA"))</f>
        <v>0.89</v>
      </c>
      <c r="AJ311" s="585">
        <f>IF(T311="Air",(IF(U311="1C",'Catalogue Aluminium'!$L$9,'Catalogue Aluminium'!$M$9)),IF(T311="DUCT",(IF($U311="1C",'Catalogue Aluminium'!$L$10,'Catalogue Aluminium'!$M$10)),IF(T311="GROUND",(IF($U311="1C",'Catalogue Aluminium'!$L$11,'Catalogue Aluminium'!$M$11)),IF(T311="TRENCH",(IF($U311="1C",'Catalogue Aluminium'!$L$12,'Catalogue Aluminium'!$M$12))))))</f>
        <v>0.66</v>
      </c>
      <c r="AK311" s="586" t="str">
        <f>IF(T311="Air",'Catalogue Aluminium'!$N$9,IF(T311="GROUND",'Catalogue Aluminium'!$N$10,IF(T311="DUCT",'Catalogue Aluminium'!$N$11,IF(T311="TRENCH",'Catalogue Aluminium'!$N$12,"NA"))))</f>
        <v>NA</v>
      </c>
      <c r="AL311" s="586" t="str">
        <f>IF(T311="Air",(IF(U311="1C",'Catalogue Aluminium'!$O$9,'Catalogue Aluminium'!$P$9)),IF(T311="DUCT",(IF($U311="1C",'Catalogue Aluminium'!$O$10,'Catalogue Aluminium'!$P$10)),IF(T311="GROUND",(IF($U311="1C",'Catalogue Aluminium'!$O$11,'Catalogue Aluminium'!$P$11)),IF(T311="TRENCH",(IF($U311="1C",'Catalogue Aluminium'!$O$12,'Catalogue Aluminium'!$P$12))))))</f>
        <v>NA</v>
      </c>
      <c r="AM311" s="586" t="str">
        <f>IF(T311="AIR","NA",IF(T311="TRENCH","NA",IF(T311="DUCT",IF(U311="1C",VLOOKUP(V311,'Catalogue Aluminium'!$Q$9:$S$28,2,FALSE),VLOOKUP(V311,'Catalogue Aluminium'!$Q$9:$S$28,3)),IF(T311="GROUND",IF(U311="1C",VLOOKUP(V311,'Catalogue Aluminium'!$Q$9:$S$28,2,FALSE),VLOOKUP(V311,'Catalogue Aluminium'!$Q$9:$S$28,3))))))</f>
        <v>NA</v>
      </c>
      <c r="AN311" s="589">
        <f t="shared" si="776"/>
        <v>0.58740000000000003</v>
      </c>
      <c r="AO311" s="584">
        <f t="shared" si="777"/>
        <v>29.957400000000003</v>
      </c>
      <c r="AP311" s="582">
        <f t="shared" si="778"/>
        <v>1</v>
      </c>
      <c r="AQ311" s="584" t="str">
        <f t="shared" si="779"/>
        <v>YES</v>
      </c>
      <c r="AR311" s="589">
        <f t="shared" si="780"/>
        <v>1.8139819267942812</v>
      </c>
      <c r="AS311" s="583" t="str">
        <f t="shared" si="781"/>
        <v>YES</v>
      </c>
      <c r="AT311" s="589" t="str">
        <f t="shared" si="782"/>
        <v>NA</v>
      </c>
      <c r="AU311" s="583" t="str">
        <f t="shared" si="783"/>
        <v>NA</v>
      </c>
      <c r="AV311" s="590" t="str">
        <f t="shared" si="784"/>
        <v>1R x 0.6/1kV x 4C x 6 Sqmm</v>
      </c>
      <c r="AW311" s="590" t="str">
        <f t="shared" si="785"/>
        <v>1R x 0.6/1kV x 4C x 6 Sqmm</v>
      </c>
      <c r="AX311" s="583"/>
      <c r="AY311" s="591"/>
    </row>
    <row r="312" spans="1:51" s="592" customFormat="1">
      <c r="A312" s="577">
        <f t="shared" si="829"/>
        <v>205</v>
      </c>
      <c r="B312" s="583" t="s">
        <v>382</v>
      </c>
      <c r="C312" s="577" t="str">
        <f t="shared" si="767"/>
        <v>PDB-1</v>
      </c>
      <c r="D312" s="604" t="s">
        <v>610</v>
      </c>
      <c r="E312" s="580" t="s">
        <v>463</v>
      </c>
      <c r="F312" s="605" t="s">
        <v>28</v>
      </c>
      <c r="G312" s="577" t="s">
        <v>311</v>
      </c>
      <c r="H312" s="584">
        <v>45</v>
      </c>
      <c r="I312" s="577" t="s">
        <v>299</v>
      </c>
      <c r="J312" s="577" t="s">
        <v>300</v>
      </c>
      <c r="K312" s="582">
        <v>400</v>
      </c>
      <c r="L312" s="583">
        <v>0.85</v>
      </c>
      <c r="M312" s="584">
        <v>0.95400000000000007</v>
      </c>
      <c r="N312" s="585">
        <f t="shared" si="768"/>
        <v>80.100888671299273</v>
      </c>
      <c r="O312" s="585">
        <f t="shared" si="769"/>
        <v>480.60533202779561</v>
      </c>
      <c r="P312" s="583">
        <f t="shared" si="770"/>
        <v>0.2</v>
      </c>
      <c r="Q312" s="584">
        <v>50</v>
      </c>
      <c r="R312" s="584">
        <v>0</v>
      </c>
      <c r="S312" s="584">
        <f t="shared" si="771"/>
        <v>0</v>
      </c>
      <c r="T312" s="583" t="s">
        <v>131</v>
      </c>
      <c r="U312" s="584" t="s">
        <v>302</v>
      </c>
      <c r="V312" s="583">
        <v>50</v>
      </c>
      <c r="W312" s="583" t="str">
        <f t="shared" si="772"/>
        <v>3C X 50</v>
      </c>
      <c r="X312" s="583" t="str">
        <f t="shared" si="773"/>
        <v>3C X 50+PE</v>
      </c>
      <c r="Y312" s="583" t="s">
        <v>314</v>
      </c>
      <c r="Z312" s="586">
        <f>IF(T312="AIR",VLOOKUP(W312,'Catalogue Aluminium'!$B$9:$G$91,2,FALSE),IF(T312="GROUND",VLOOKUP(W312,'Catalogue Aluminium'!$B$9:$G$91,3,FALSE),IF(T312="DUCT",VLOOKUP(W312,'Catalogue Aluminium'!$B$9:$G$91,4,FALSE),IF(T312="TRENCH",VLOOKUP(W312,'Catalogue Aluminium'!$B$9:$G$91,2,FALSE)))))</f>
        <v>141</v>
      </c>
      <c r="AA312" s="587">
        <f>VLOOKUP(W312,'Catalogue Aluminium'!$B$9:$G$91,5,FALSE)</f>
        <v>0.82</v>
      </c>
      <c r="AB312" s="587">
        <f>VLOOKUP(W312,'Catalogue Aluminium'!$B$9:$G$91,6,FALSE)</f>
        <v>7.9200000000000007E-2</v>
      </c>
      <c r="AC312" s="602">
        <f t="shared" si="797"/>
        <v>34</v>
      </c>
      <c r="AD312" s="577">
        <f>10</f>
        <v>10</v>
      </c>
      <c r="AE312" s="602">
        <v>10</v>
      </c>
      <c r="AF312" s="583">
        <v>8</v>
      </c>
      <c r="AG312" s="583">
        <f t="shared" si="774"/>
        <v>7</v>
      </c>
      <c r="AH312" s="588">
        <f t="shared" si="775"/>
        <v>69</v>
      </c>
      <c r="AI312" s="586">
        <f>IF(T312="AIR",'Catalogue Aluminium'!$K$9,IF(T312="TRENCH",'Catalogue Aluminium'!$K$12,"NA"))</f>
        <v>0.89</v>
      </c>
      <c r="AJ312" s="585">
        <f>IF(T312="Air",(IF(U312="1C",'Catalogue Aluminium'!$L$9,'Catalogue Aluminium'!$M$9)),IF(T312="DUCT",(IF($U312="1C",'Catalogue Aluminium'!$L$10,'Catalogue Aluminium'!$M$10)),IF(T312="GROUND",(IF($U312="1C",'Catalogue Aluminium'!$L$11,'Catalogue Aluminium'!$M$11)),IF(T312="TRENCH",(IF($U312="1C",'Catalogue Aluminium'!$L$12,'Catalogue Aluminium'!$M$12))))))</f>
        <v>0.66</v>
      </c>
      <c r="AK312" s="586" t="str">
        <f>IF(T312="Air",'Catalogue Aluminium'!$N$9,IF(T312="GROUND",'Catalogue Aluminium'!$N$10,IF(T312="DUCT",'Catalogue Aluminium'!$N$11,IF(T312="TRENCH",'Catalogue Aluminium'!$N$12,"NA"))))</f>
        <v>NA</v>
      </c>
      <c r="AL312" s="586" t="str">
        <f>IF(T312="Air",(IF(U312="1C",'Catalogue Aluminium'!$O$9,'Catalogue Aluminium'!$P$9)),IF(T312="DUCT",(IF($U312="1C",'Catalogue Aluminium'!$O$10,'Catalogue Aluminium'!$P$10)),IF(T312="GROUND",(IF($U312="1C",'Catalogue Aluminium'!$O$11,'Catalogue Aluminium'!$P$11)),IF(T312="TRENCH",(IF($U312="1C",'Catalogue Aluminium'!$O$12,'Catalogue Aluminium'!$P$12))))))</f>
        <v>NA</v>
      </c>
      <c r="AM312" s="586" t="str">
        <f>IF(T312="AIR","NA",IF(T312="TRENCH","NA",IF(T312="DUCT",IF(U312="1C",VLOOKUP(V312,'Catalogue Aluminium'!$Q$9:$S$28,2,FALSE),VLOOKUP(V312,'Catalogue Aluminium'!$Q$9:$S$28,3)),IF(T312="GROUND",IF(U312="1C",VLOOKUP(V312,'Catalogue Aluminium'!$Q$9:$S$28,2,FALSE),VLOOKUP(V312,'Catalogue Aluminium'!$Q$9:$S$28,3))))))</f>
        <v>NA</v>
      </c>
      <c r="AN312" s="589">
        <f t="shared" si="776"/>
        <v>0.58740000000000003</v>
      </c>
      <c r="AO312" s="584">
        <f t="shared" si="777"/>
        <v>82.823400000000007</v>
      </c>
      <c r="AP312" s="582">
        <f t="shared" si="778"/>
        <v>1</v>
      </c>
      <c r="AQ312" s="584" t="str">
        <f t="shared" si="779"/>
        <v>YES</v>
      </c>
      <c r="AR312" s="589">
        <f t="shared" si="780"/>
        <v>1.7679403880725062</v>
      </c>
      <c r="AS312" s="583" t="str">
        <f t="shared" si="781"/>
        <v>YES</v>
      </c>
      <c r="AT312" s="589">
        <f t="shared" si="782"/>
        <v>3.4692447915082645</v>
      </c>
      <c r="AU312" s="583" t="str">
        <f t="shared" si="783"/>
        <v>YES</v>
      </c>
      <c r="AV312" s="590" t="str">
        <f t="shared" si="784"/>
        <v>1R x 0.6/1kV x 3C x 50 Sqmm</v>
      </c>
      <c r="AW312" s="590" t="str">
        <f t="shared" si="785"/>
        <v>1R x 0.6/1kV x 3C x 50+PE Sqmm</v>
      </c>
      <c r="AX312" s="583"/>
      <c r="AY312" s="591"/>
    </row>
    <row r="313" spans="1:51" s="592" customFormat="1">
      <c r="A313" s="577">
        <f t="shared" si="829"/>
        <v>206</v>
      </c>
      <c r="B313" s="583" t="s">
        <v>382</v>
      </c>
      <c r="C313" s="577" t="str">
        <f t="shared" si="767"/>
        <v>PDB-1</v>
      </c>
      <c r="D313" s="604" t="s">
        <v>611</v>
      </c>
      <c r="E313" s="580" t="s">
        <v>463</v>
      </c>
      <c r="F313" s="605" t="s">
        <v>28</v>
      </c>
      <c r="G313" s="577" t="s">
        <v>298</v>
      </c>
      <c r="H313" s="581">
        <v>0.2</v>
      </c>
      <c r="I313" s="577" t="s">
        <v>299</v>
      </c>
      <c r="J313" s="577" t="s">
        <v>313</v>
      </c>
      <c r="K313" s="582">
        <v>230</v>
      </c>
      <c r="L313" s="583">
        <v>0.85</v>
      </c>
      <c r="M313" s="584">
        <v>0.95</v>
      </c>
      <c r="N313" s="585">
        <f t="shared" si="768"/>
        <v>1.0768609503297888</v>
      </c>
      <c r="O313" s="585">
        <f t="shared" si="769"/>
        <v>0</v>
      </c>
      <c r="P313" s="583" t="str">
        <f t="shared" si="770"/>
        <v>0.00</v>
      </c>
      <c r="Q313" s="584">
        <v>65</v>
      </c>
      <c r="R313" s="584">
        <v>0</v>
      </c>
      <c r="S313" s="584">
        <f t="shared" si="771"/>
        <v>0</v>
      </c>
      <c r="T313" s="583" t="s">
        <v>131</v>
      </c>
      <c r="U313" s="584" t="s">
        <v>302</v>
      </c>
      <c r="V313" s="583">
        <v>2.5</v>
      </c>
      <c r="W313" s="583" t="str">
        <f t="shared" si="772"/>
        <v>3C X 2.5</v>
      </c>
      <c r="X313" s="583" t="str">
        <f t="shared" ref="X313" si="839">(IF(J313="1Ph",W313,IF(J313="3Ph",(IF(G313="MOTOR",(CONCATENATE(W313,"+PE")),W313)))))</f>
        <v>3C X 2.5</v>
      </c>
      <c r="Y313" s="583" t="s">
        <v>314</v>
      </c>
      <c r="Z313" s="586">
        <f>IF(T313="AIR",VLOOKUP(W313,'Catalogue Aluminium'!$B$9:$G$91,2,FALSE),IF(T313="GROUND",VLOOKUP(W313,'Catalogue Aluminium'!$B$9:$G$91,3,FALSE),IF(T313="DUCT",VLOOKUP(W313,'Catalogue Aluminium'!$B$9:$G$91,4,FALSE),IF(T313="TRENCH",VLOOKUP(W313,'Catalogue Aluminium'!$B$9:$G$91,2,FALSE)))))</f>
        <v>28</v>
      </c>
      <c r="AA313" s="587">
        <f>VLOOKUP(W313,'Catalogue Aluminium'!$B$9:$G$91,5,FALSE)</f>
        <v>9.48</v>
      </c>
      <c r="AB313" s="587">
        <f>VLOOKUP(W313,'Catalogue Aluminium'!$B$9:$G$91,6,FALSE)</f>
        <v>0.1007</v>
      </c>
      <c r="AC313" s="602">
        <f t="shared" si="797"/>
        <v>34</v>
      </c>
      <c r="AD313" s="577">
        <f>10</f>
        <v>10</v>
      </c>
      <c r="AE313" s="602">
        <v>10</v>
      </c>
      <c r="AF313" s="583">
        <v>8</v>
      </c>
      <c r="AG313" s="583">
        <f t="shared" ref="AG313" si="840">ROUNDUP((SUM(AC313:AF313)*0.1),0)</f>
        <v>7</v>
      </c>
      <c r="AH313" s="588">
        <f t="shared" ref="AH313" si="841">SUM(AC313:AG313)</f>
        <v>69</v>
      </c>
      <c r="AI313" s="586">
        <f>IF(T313="AIR",'Catalogue Aluminium'!$K$9,IF(T313="TRENCH",'Catalogue Aluminium'!$K$12,"NA"))</f>
        <v>0.89</v>
      </c>
      <c r="AJ313" s="585">
        <f>IF(T313="Air",(IF(U313="1C",'Catalogue Aluminium'!$L$9,'Catalogue Aluminium'!$M$9)),IF(T313="DUCT",(IF($U313="1C",'Catalogue Aluminium'!$L$10,'Catalogue Aluminium'!$M$10)),IF(T313="GROUND",(IF($U313="1C",'Catalogue Aluminium'!$L$11,'Catalogue Aluminium'!$M$11)),IF(T313="TRENCH",(IF($U313="1C",'Catalogue Aluminium'!$L$12,'Catalogue Aluminium'!$M$12))))))</f>
        <v>0.66</v>
      </c>
      <c r="AK313" s="586" t="str">
        <f>IF(T313="Air",'Catalogue Aluminium'!$N$9,IF(T313="GROUND",'Catalogue Aluminium'!$N$10,IF(T313="DUCT",'Catalogue Aluminium'!$N$11,IF(T313="TRENCH",'Catalogue Aluminium'!$N$12,"NA"))))</f>
        <v>NA</v>
      </c>
      <c r="AL313" s="586" t="str">
        <f>IF(T313="Air",(IF(U313="1C",'Catalogue Aluminium'!$O$9,'Catalogue Aluminium'!$P$9)),IF(T313="DUCT",(IF($U313="1C",'Catalogue Aluminium'!$O$10,'Catalogue Aluminium'!$P$10)),IF(T313="GROUND",(IF($U313="1C",'Catalogue Aluminium'!$O$11,'Catalogue Aluminium'!$P$11)),IF(T313="TRENCH",(IF($U313="1C",'Catalogue Aluminium'!$O$12,'Catalogue Aluminium'!$P$12))))))</f>
        <v>NA</v>
      </c>
      <c r="AM313" s="586" t="str">
        <f>IF(T313="AIR","NA",IF(T313="TRENCH","NA",IF(T313="DUCT",IF(U313="1C",VLOOKUP(V313,'Catalogue Aluminium'!$Q$9:$S$28,2,FALSE),VLOOKUP(V313,'Catalogue Aluminium'!$Q$9:$S$28,3)),IF(T313="GROUND",IF(U313="1C",VLOOKUP(V313,'Catalogue Aluminium'!$Q$9:$S$28,2,FALSE),VLOOKUP(V313,'Catalogue Aluminium'!$Q$9:$S$28,3))))))</f>
        <v>NA</v>
      </c>
      <c r="AN313" s="589">
        <f t="shared" ref="AN313" si="842">IF(T313="AIR",AI313*AJ313,IF(T313="TRENCH",AI313*AJ313,IF(T313="DUCT",AJ313*AK313*AL313*AM313,IF(T313="GROUND",AJ313*AK313*AL313*AM313))))</f>
        <v>0.58740000000000003</v>
      </c>
      <c r="AO313" s="584">
        <f t="shared" ref="AO313" si="843">Z313*AN313</f>
        <v>16.447200000000002</v>
      </c>
      <c r="AP313" s="582">
        <f t="shared" ref="AP313" si="844">CEILING(((N313)/AO313),1)</f>
        <v>1</v>
      </c>
      <c r="AQ313" s="584" t="str">
        <f t="shared" ref="AQ313" si="845">IF(AO313*AP313&gt;=N313,"YES","NO")</f>
        <v>YES</v>
      </c>
      <c r="AR313" s="589">
        <f t="shared" ref="AR313" si="846">SQRT(3)*AH313*N313*((AA313*L313)+(AB313*SIN(ACOS(L313))))*100/(AP313*K313*1000)</f>
        <v>0.45385636404609503</v>
      </c>
      <c r="AS313" s="583" t="str">
        <f t="shared" ref="AS313" si="847">IF(G313="INCOMER",(IF(AR313&lt;=2,"YES","NO")),IF(G313="POWER",(IF(AR313&lt;=2.5,"YES","NO")),IF(G313="MOTOR",(IF(AR313&lt;=3,"YES","NO")))))</f>
        <v>YES</v>
      </c>
      <c r="AT313" s="589" t="str">
        <f t="shared" si="782"/>
        <v>NA</v>
      </c>
      <c r="AU313" s="583" t="str">
        <f t="shared" si="783"/>
        <v>NA</v>
      </c>
      <c r="AV313" s="590" t="str">
        <f t="shared" si="784"/>
        <v>1R x 0.6/1kV x 3C x 2.5 Sqmm</v>
      </c>
      <c r="AW313" s="590" t="str">
        <f t="shared" si="785"/>
        <v>1R x 0.6/1kV x 3C x 2.5 Sqmm</v>
      </c>
      <c r="AX313" s="583"/>
      <c r="AY313" s="591"/>
    </row>
    <row r="314" spans="1:51" s="592" customFormat="1">
      <c r="A314" s="577">
        <f>1+A313</f>
        <v>207</v>
      </c>
      <c r="B314" s="583" t="s">
        <v>382</v>
      </c>
      <c r="C314" s="577" t="str">
        <f t="shared" si="767"/>
        <v>PDB-1</v>
      </c>
      <c r="D314" s="604" t="s">
        <v>604</v>
      </c>
      <c r="E314" s="580" t="s">
        <v>463</v>
      </c>
      <c r="F314" s="605" t="s">
        <v>28</v>
      </c>
      <c r="G314" s="577" t="s">
        <v>298</v>
      </c>
      <c r="H314" s="584">
        <v>15</v>
      </c>
      <c r="I314" s="577" t="s">
        <v>299</v>
      </c>
      <c r="J314" s="577" t="s">
        <v>300</v>
      </c>
      <c r="K314" s="582">
        <v>400</v>
      </c>
      <c r="L314" s="583">
        <v>0.85</v>
      </c>
      <c r="M314" s="584">
        <v>0.95</v>
      </c>
      <c r="N314" s="585">
        <f t="shared" si="768"/>
        <v>26.81271852365597</v>
      </c>
      <c r="O314" s="585">
        <f t="shared" si="769"/>
        <v>0</v>
      </c>
      <c r="P314" s="583" t="str">
        <f t="shared" si="770"/>
        <v>0.00</v>
      </c>
      <c r="Q314" s="584">
        <v>50</v>
      </c>
      <c r="R314" s="584">
        <v>0</v>
      </c>
      <c r="S314" s="584">
        <f t="shared" si="771"/>
        <v>0</v>
      </c>
      <c r="T314" s="583" t="s">
        <v>131</v>
      </c>
      <c r="U314" s="584" t="s">
        <v>377</v>
      </c>
      <c r="V314" s="583">
        <v>16</v>
      </c>
      <c r="W314" s="583" t="str">
        <f t="shared" si="772"/>
        <v>4C X 16</v>
      </c>
      <c r="X314" s="583" t="str">
        <f t="shared" si="773"/>
        <v>4C X 16</v>
      </c>
      <c r="Y314" s="583" t="s">
        <v>314</v>
      </c>
      <c r="Z314" s="586">
        <f>IF(T314="AIR",VLOOKUP(W314,'Catalogue Aluminium'!$B$9:$G$91,2,FALSE),IF(T314="GROUND",VLOOKUP(W314,'Catalogue Aluminium'!$B$9:$G$91,3,FALSE),IF(T314="DUCT",VLOOKUP(W314,'Catalogue Aluminium'!$B$9:$G$91,4,FALSE),IF(T314="TRENCH",VLOOKUP(W314,'Catalogue Aluminium'!$B$9:$G$91,2,FALSE)))))</f>
        <v>70</v>
      </c>
      <c r="AA314" s="587">
        <f>VLOOKUP(W314,'Catalogue Aluminium'!$B$9:$G$91,5,FALSE)</f>
        <v>2.44</v>
      </c>
      <c r="AB314" s="587">
        <f>VLOOKUP(W314,'Catalogue Aluminium'!$B$9:$G$91,6,FALSE)</f>
        <v>8.1500000000000003E-2</v>
      </c>
      <c r="AC314" s="602">
        <f t="shared" si="797"/>
        <v>34</v>
      </c>
      <c r="AD314" s="577">
        <f>10</f>
        <v>10</v>
      </c>
      <c r="AE314" s="602">
        <v>10</v>
      </c>
      <c r="AF314" s="583">
        <v>8</v>
      </c>
      <c r="AG314" s="583">
        <f t="shared" si="774"/>
        <v>7</v>
      </c>
      <c r="AH314" s="588">
        <f t="shared" si="775"/>
        <v>69</v>
      </c>
      <c r="AI314" s="586">
        <f>IF(T314="AIR",'Catalogue Aluminium'!$K$9,IF(T314="TRENCH",'Catalogue Aluminium'!$K$12,"NA"))</f>
        <v>0.89</v>
      </c>
      <c r="AJ314" s="585">
        <f>IF(T314="Air",(IF(U314="1C",'Catalogue Aluminium'!$L$9,'Catalogue Aluminium'!$M$9)),IF(T314="DUCT",(IF($U314="1C",'Catalogue Aluminium'!$L$10,'Catalogue Aluminium'!$M$10)),IF(T314="GROUND",(IF($U314="1C",'Catalogue Aluminium'!$L$11,'Catalogue Aluminium'!$M$11)),IF(T314="TRENCH",(IF($U314="1C",'Catalogue Aluminium'!$L$12,'Catalogue Aluminium'!$M$12))))))</f>
        <v>0.66</v>
      </c>
      <c r="AK314" s="586" t="str">
        <f>IF(T314="Air",'Catalogue Aluminium'!$N$9,IF(T314="GROUND",'Catalogue Aluminium'!$N$10,IF(T314="DUCT",'Catalogue Aluminium'!$N$11,IF(T314="TRENCH",'Catalogue Aluminium'!$N$12,"NA"))))</f>
        <v>NA</v>
      </c>
      <c r="AL314" s="586" t="str">
        <f>IF(T314="Air",(IF(U314="1C",'Catalogue Aluminium'!$O$9,'Catalogue Aluminium'!$P$9)),IF(T314="DUCT",(IF($U314="1C",'Catalogue Aluminium'!$O$10,'Catalogue Aluminium'!$P$10)),IF(T314="GROUND",(IF($U314="1C",'Catalogue Aluminium'!$O$11,'Catalogue Aluminium'!$P$11)),IF(T314="TRENCH",(IF($U314="1C",'Catalogue Aluminium'!$O$12,'Catalogue Aluminium'!$P$12))))))</f>
        <v>NA</v>
      </c>
      <c r="AM314" s="586" t="str">
        <f>IF(T314="AIR","NA",IF(T314="TRENCH","NA",IF(T314="DUCT",IF(U314="1C",VLOOKUP(V314,'Catalogue Aluminium'!$Q$9:$S$28,2,FALSE),VLOOKUP(V314,'Catalogue Aluminium'!$Q$9:$S$28,3)),IF(T314="GROUND",IF(U314="1C",VLOOKUP(V314,'Catalogue Aluminium'!$Q$9:$S$28,2,FALSE),VLOOKUP(V314,'Catalogue Aluminium'!$Q$9:$S$28,3))))))</f>
        <v>NA</v>
      </c>
      <c r="AN314" s="589">
        <f t="shared" si="776"/>
        <v>0.58740000000000003</v>
      </c>
      <c r="AO314" s="584">
        <f t="shared" si="777"/>
        <v>41.118000000000002</v>
      </c>
      <c r="AP314" s="582">
        <f t="shared" si="778"/>
        <v>1</v>
      </c>
      <c r="AQ314" s="584" t="str">
        <f t="shared" si="779"/>
        <v>YES</v>
      </c>
      <c r="AR314" s="589">
        <f t="shared" si="780"/>
        <v>1.6958898680858145</v>
      </c>
      <c r="AS314" s="583" t="str">
        <f t="shared" si="781"/>
        <v>YES</v>
      </c>
      <c r="AT314" s="589" t="str">
        <f t="shared" si="782"/>
        <v>NA</v>
      </c>
      <c r="AU314" s="583" t="str">
        <f t="shared" si="783"/>
        <v>NA</v>
      </c>
      <c r="AV314" s="590" t="str">
        <f t="shared" si="784"/>
        <v>1R x 0.6/1kV x 4C x 16 Sqmm</v>
      </c>
      <c r="AW314" s="590" t="str">
        <f t="shared" si="785"/>
        <v>1R x 0.6/1kV x 4C x 16 Sqmm</v>
      </c>
      <c r="AX314" s="583"/>
      <c r="AY314" s="591"/>
    </row>
    <row r="315" spans="1:51" s="592" customFormat="1">
      <c r="A315" s="577">
        <f t="shared" si="829"/>
        <v>208</v>
      </c>
      <c r="B315" s="583" t="s">
        <v>382</v>
      </c>
      <c r="C315" s="577" t="str">
        <f t="shared" si="767"/>
        <v>PDB-1</v>
      </c>
      <c r="D315" s="604" t="s">
        <v>605</v>
      </c>
      <c r="E315" s="580" t="s">
        <v>463</v>
      </c>
      <c r="F315" s="605" t="s">
        <v>28</v>
      </c>
      <c r="G315" s="577" t="s">
        <v>298</v>
      </c>
      <c r="H315" s="584">
        <v>10</v>
      </c>
      <c r="I315" s="577" t="s">
        <v>299</v>
      </c>
      <c r="J315" s="577" t="s">
        <v>300</v>
      </c>
      <c r="K315" s="582">
        <v>400</v>
      </c>
      <c r="L315" s="583">
        <v>0.85</v>
      </c>
      <c r="M315" s="584">
        <v>0.95</v>
      </c>
      <c r="N315" s="585">
        <f t="shared" si="768"/>
        <v>17.875145682437314</v>
      </c>
      <c r="O315" s="585">
        <f t="shared" si="769"/>
        <v>0</v>
      </c>
      <c r="P315" s="583" t="str">
        <f t="shared" si="770"/>
        <v>0.00</v>
      </c>
      <c r="Q315" s="584">
        <v>50</v>
      </c>
      <c r="R315" s="584">
        <v>0</v>
      </c>
      <c r="S315" s="584">
        <f t="shared" si="771"/>
        <v>0</v>
      </c>
      <c r="T315" s="583" t="s">
        <v>131</v>
      </c>
      <c r="U315" s="584" t="s">
        <v>377</v>
      </c>
      <c r="V315" s="583">
        <v>6</v>
      </c>
      <c r="W315" s="583" t="str">
        <f t="shared" si="772"/>
        <v>4C X 6</v>
      </c>
      <c r="X315" s="583" t="str">
        <f t="shared" si="773"/>
        <v>4C X 6</v>
      </c>
      <c r="Y315" s="583" t="s">
        <v>314</v>
      </c>
      <c r="Z315" s="586">
        <f>IF(T315="AIR",VLOOKUP(W315,'Catalogue Aluminium'!$B$9:$G$91,2,FALSE),IF(T315="GROUND",VLOOKUP(W315,'Catalogue Aluminium'!$B$9:$G$91,3,FALSE),IF(T315="DUCT",VLOOKUP(W315,'Catalogue Aluminium'!$B$9:$G$91,4,FALSE),IF(T315="TRENCH",VLOOKUP(W315,'Catalogue Aluminium'!$B$9:$G$91,2,FALSE)))))</f>
        <v>51</v>
      </c>
      <c r="AA315" s="587">
        <f>VLOOKUP(W315,'Catalogue Aluminium'!$B$9:$G$91,5,FALSE)</f>
        <v>3.94</v>
      </c>
      <c r="AB315" s="587">
        <f>VLOOKUP(W315,'Catalogue Aluminium'!$B$9:$G$91,6,FALSE)</f>
        <v>9.0200000000000002E-2</v>
      </c>
      <c r="AC315" s="602">
        <f t="shared" si="797"/>
        <v>34</v>
      </c>
      <c r="AD315" s="577">
        <f>10</f>
        <v>10</v>
      </c>
      <c r="AE315" s="602">
        <v>10</v>
      </c>
      <c r="AF315" s="583">
        <v>8</v>
      </c>
      <c r="AG315" s="583">
        <f t="shared" si="774"/>
        <v>7</v>
      </c>
      <c r="AH315" s="588">
        <f t="shared" si="775"/>
        <v>69</v>
      </c>
      <c r="AI315" s="586">
        <f>IF(T315="AIR",'Catalogue Aluminium'!$K$9,IF(T315="TRENCH",'Catalogue Aluminium'!$K$12,"NA"))</f>
        <v>0.89</v>
      </c>
      <c r="AJ315" s="585">
        <f>IF(T315="Air",(IF(U315="1C",'Catalogue Aluminium'!$L$9,'Catalogue Aluminium'!$M$9)),IF(T315="DUCT",(IF($U315="1C",'Catalogue Aluminium'!$L$10,'Catalogue Aluminium'!$M$10)),IF(T315="GROUND",(IF($U315="1C",'Catalogue Aluminium'!$L$11,'Catalogue Aluminium'!$M$11)),IF(T315="TRENCH",(IF($U315="1C",'Catalogue Aluminium'!$L$12,'Catalogue Aluminium'!$M$12))))))</f>
        <v>0.66</v>
      </c>
      <c r="AK315" s="586" t="str">
        <f>IF(T315="Air",'Catalogue Aluminium'!$N$9,IF(T315="GROUND",'Catalogue Aluminium'!$N$10,IF(T315="DUCT",'Catalogue Aluminium'!$N$11,IF(T315="TRENCH",'Catalogue Aluminium'!$N$12,"NA"))))</f>
        <v>NA</v>
      </c>
      <c r="AL315" s="586" t="str">
        <f>IF(T315="Air",(IF(U315="1C",'Catalogue Aluminium'!$O$9,'Catalogue Aluminium'!$P$9)),IF(T315="DUCT",(IF($U315="1C",'Catalogue Aluminium'!$O$10,'Catalogue Aluminium'!$P$10)),IF(T315="GROUND",(IF($U315="1C",'Catalogue Aluminium'!$O$11,'Catalogue Aluminium'!$P$11)),IF(T315="TRENCH",(IF($U315="1C",'Catalogue Aluminium'!$O$12,'Catalogue Aluminium'!$P$12))))))</f>
        <v>NA</v>
      </c>
      <c r="AM315" s="586" t="str">
        <f>IF(T315="AIR","NA",IF(T315="TRENCH","NA",IF(T315="DUCT",IF(U315="1C",VLOOKUP(V315,'Catalogue Aluminium'!$Q$9:$S$28,2,FALSE),VLOOKUP(V315,'Catalogue Aluminium'!$Q$9:$S$28,3)),IF(T315="GROUND",IF(U315="1C",VLOOKUP(V315,'Catalogue Aluminium'!$Q$9:$S$28,2,FALSE),VLOOKUP(V315,'Catalogue Aluminium'!$Q$9:$S$28,3))))))</f>
        <v>NA</v>
      </c>
      <c r="AN315" s="589">
        <f t="shared" si="776"/>
        <v>0.58740000000000003</v>
      </c>
      <c r="AO315" s="584">
        <f t="shared" si="777"/>
        <v>29.957400000000003</v>
      </c>
      <c r="AP315" s="582">
        <f t="shared" si="778"/>
        <v>1</v>
      </c>
      <c r="AQ315" s="584" t="str">
        <f t="shared" si="779"/>
        <v>YES</v>
      </c>
      <c r="AR315" s="589">
        <f t="shared" si="780"/>
        <v>1.8139819267942812</v>
      </c>
      <c r="AS315" s="583" t="str">
        <f t="shared" si="781"/>
        <v>YES</v>
      </c>
      <c r="AT315" s="589" t="str">
        <f t="shared" si="782"/>
        <v>NA</v>
      </c>
      <c r="AU315" s="583" t="str">
        <f t="shared" si="783"/>
        <v>NA</v>
      </c>
      <c r="AV315" s="590" t="str">
        <f t="shared" si="784"/>
        <v>1R x 0.6/1kV x 4C x 6 Sqmm</v>
      </c>
      <c r="AW315" s="590" t="str">
        <f t="shared" si="785"/>
        <v>1R x 0.6/1kV x 4C x 6 Sqmm</v>
      </c>
      <c r="AX315" s="583"/>
      <c r="AY315" s="591"/>
    </row>
    <row r="316" spans="1:51" s="576" customFormat="1" ht="27" customHeight="1">
      <c r="A316" s="298">
        <f t="shared" ref="A316:A326" si="848">1+A311</f>
        <v>205</v>
      </c>
      <c r="B316" s="301" t="s">
        <v>382</v>
      </c>
      <c r="C316" s="298" t="str">
        <f t="shared" si="767"/>
        <v>PDB-1</v>
      </c>
      <c r="D316" s="603" t="s">
        <v>1064</v>
      </c>
      <c r="E316" s="418" t="s">
        <v>463</v>
      </c>
      <c r="F316" s="420" t="s">
        <v>29</v>
      </c>
      <c r="G316" s="298" t="s">
        <v>298</v>
      </c>
      <c r="H316" s="421">
        <v>3.5</v>
      </c>
      <c r="I316" s="298" t="s">
        <v>299</v>
      </c>
      <c r="J316" s="298" t="s">
        <v>313</v>
      </c>
      <c r="K316" s="423">
        <v>230</v>
      </c>
      <c r="L316" s="301">
        <v>0.85</v>
      </c>
      <c r="M316" s="421">
        <v>0.95</v>
      </c>
      <c r="N316" s="299">
        <f t="shared" ref="N316:N326" si="849">IF(I316="kVA",IF(J316="3Ph",(H316*1000/(1.732*M316*K316)),(H316*1000/(M316*K316))),IF(I316="kW",IF(J316="3Ph",(H316*1000/(1.732*M316*K316*L316)),(H316*1000/(M316*K316*L316)))))</f>
        <v>18.845066630771303</v>
      </c>
      <c r="O316" s="299">
        <f t="shared" ref="O316:O326" si="850">IF(G316="MOTOR",(6*N316),IF(G316="VFD",(1*N316),0))</f>
        <v>0</v>
      </c>
      <c r="P316" s="301" t="str">
        <f t="shared" ref="P316:P326" si="851">IF(G316="MOTOR",0.2,"0.00")</f>
        <v>0.00</v>
      </c>
      <c r="Q316" s="421">
        <v>50</v>
      </c>
      <c r="R316" s="421">
        <v>0</v>
      </c>
      <c r="S316" s="421">
        <f t="shared" ref="S316:S326" si="852">(Q316*1000*SQRT(R316)/143)</f>
        <v>0</v>
      </c>
      <c r="T316" s="301" t="s">
        <v>131</v>
      </c>
      <c r="U316" s="421" t="s">
        <v>302</v>
      </c>
      <c r="V316" s="301">
        <v>50</v>
      </c>
      <c r="W316" s="301" t="str">
        <f t="shared" ref="W316:W326" si="853">CONCATENATE(U316," X ",V316)</f>
        <v>3C X 50</v>
      </c>
      <c r="X316" s="301" t="str">
        <f t="shared" ref="X316:X326" si="854">(IF(J316="1Ph",W316,IF(J316="3Ph",(IF(G316="MOTOR",(CONCATENATE(W316,"+PE")),W316)))))</f>
        <v>3C X 50</v>
      </c>
      <c r="Y316" s="301" t="s">
        <v>314</v>
      </c>
      <c r="Z316" s="300">
        <f>IF(T316="AIR",VLOOKUP(W316,'Catalogue Aluminium'!$B$9:$G$91,2,FALSE),IF(T316="GROUND",VLOOKUP(W316,'Catalogue Aluminium'!$B$9:$G$91,3,FALSE),IF(T316="DUCT",VLOOKUP(W316,'Catalogue Aluminium'!$B$9:$G$91,4,FALSE),IF(T316="TRENCH",VLOOKUP(W316,'Catalogue Aluminium'!$B$9:$G$91,2,FALSE)))))</f>
        <v>141</v>
      </c>
      <c r="AA316" s="302">
        <f>VLOOKUP(W316,'Catalogue Aluminium'!$B$9:$G$91,5,FALSE)</f>
        <v>0.82</v>
      </c>
      <c r="AB316" s="302">
        <f>VLOOKUP(W316,'Catalogue Aluminium'!$B$9:$G$91,6,FALSE)</f>
        <v>7.9200000000000007E-2</v>
      </c>
      <c r="AC316" s="598">
        <f t="shared" si="797"/>
        <v>34</v>
      </c>
      <c r="AD316" s="298">
        <f t="shared" ref="AD316:AD326" si="855">31+10</f>
        <v>41</v>
      </c>
      <c r="AE316" s="598">
        <v>10</v>
      </c>
      <c r="AF316" s="301">
        <v>8</v>
      </c>
      <c r="AG316" s="301">
        <f t="shared" ref="AG316:AG326" si="856">ROUNDUP((SUM(AC316:AF316)*0.1),0)</f>
        <v>10</v>
      </c>
      <c r="AH316" s="574">
        <f t="shared" ref="AH316:AH326" si="857">SUM(AC316:AG316)</f>
        <v>103</v>
      </c>
      <c r="AI316" s="300">
        <f>IF(T316="AIR",'Catalogue Aluminium'!$K$9,IF(T316="TRENCH",'Catalogue Aluminium'!$K$12,"NA"))</f>
        <v>0.89</v>
      </c>
      <c r="AJ316" s="299">
        <f>IF(T316="Air",(IF(U316="1C",'Catalogue Aluminium'!$L$9,'Catalogue Aluminium'!$M$9)),IF(T316="DUCT",(IF($U316="1C",'Catalogue Aluminium'!$L$10,'Catalogue Aluminium'!$M$10)),IF(T316="GROUND",(IF($U316="1C",'Catalogue Aluminium'!$L$11,'Catalogue Aluminium'!$M$11)),IF(T316="TRENCH",(IF($U316="1C",'Catalogue Aluminium'!$L$12,'Catalogue Aluminium'!$M$12))))))</f>
        <v>0.66</v>
      </c>
      <c r="AK316" s="300" t="str">
        <f>IF(T316="Air",'Catalogue Aluminium'!$N$9,IF(T316="GROUND",'Catalogue Aluminium'!$N$10,IF(T316="DUCT",'Catalogue Aluminium'!$N$11,IF(T316="TRENCH",'Catalogue Aluminium'!$N$12,"NA"))))</f>
        <v>NA</v>
      </c>
      <c r="AL316" s="300" t="str">
        <f>IF(T316="Air",(IF(U316="1C",'Catalogue Aluminium'!$O$9,'Catalogue Aluminium'!$P$9)),IF(T316="DUCT",(IF($U316="1C",'Catalogue Aluminium'!$O$10,'Catalogue Aluminium'!$P$10)),IF(T316="GROUND",(IF($U316="1C",'Catalogue Aluminium'!$O$11,'Catalogue Aluminium'!$P$11)),IF(T316="TRENCH",(IF($U316="1C",'Catalogue Aluminium'!$O$12,'Catalogue Aluminium'!$P$12))))))</f>
        <v>NA</v>
      </c>
      <c r="AM316" s="300" t="str">
        <f>IF(T316="AIR","NA",IF(T316="TRENCH","NA",IF(T316="DUCT",IF(U316="1C",VLOOKUP(V316,'Catalogue Aluminium'!$Q$9:$S$28,2,FALSE),VLOOKUP(V316,'Catalogue Aluminium'!$Q$9:$S$28,3)),IF(T316="GROUND",IF(U316="1C",VLOOKUP(V316,'Catalogue Aluminium'!$Q$9:$S$28,2,FALSE),VLOOKUP(V316,'Catalogue Aluminium'!$Q$9:$S$28,3))))))</f>
        <v>NA</v>
      </c>
      <c r="AN316" s="422">
        <f t="shared" ref="AN316:AN326" si="858">IF(T316="AIR",AI316*AJ316,IF(T316="TRENCH",AI316*AJ316,IF(T316="DUCT",AJ316*AK316*AL316*AM316,IF(T316="GROUND",AJ316*AK316*AL316*AM316))))</f>
        <v>0.58740000000000003</v>
      </c>
      <c r="AO316" s="421">
        <f t="shared" ref="AO316:AO326" si="859">Z316*AN316</f>
        <v>82.823400000000007</v>
      </c>
      <c r="AP316" s="423">
        <f t="shared" ref="AP316:AP326" si="860">CEILING(((N316)/AO316),1)</f>
        <v>1</v>
      </c>
      <c r="AQ316" s="421" t="str">
        <f t="shared" ref="AQ316:AQ326" si="861">IF(AO316*AP316&gt;=N316,"YES","NO")</f>
        <v>YES</v>
      </c>
      <c r="AR316" s="422">
        <f t="shared" ref="AR316:AR326" si="862">SQRT(3)*AH316*N316*((AA316*L316)+(AB316*SIN(ACOS(L316))))*100/(AP316*K316*1000)</f>
        <v>1.0798122486861237</v>
      </c>
      <c r="AS316" s="301" t="str">
        <f t="shared" ref="AS316:AS326" si="863">IF(G316="INCOMER",(IF(AR316&lt;=2,"YES","NO")),IF(G316="POWER",(IF(AR316&lt;=2.5,"YES","NO")),IF(G316="MOTOR",(IF(AR316&lt;=3,"YES","NO")))))</f>
        <v>YES</v>
      </c>
      <c r="AT316" s="422" t="str">
        <f t="shared" ref="AT316:AT326" si="864">IF(G316="MOTOR",(SQRT(3)*AH316*O316*((AA316*P316)+(AB316*SIN(ACOS(P316))))*100/(AP316*K316*1000)),"NA")</f>
        <v>NA</v>
      </c>
      <c r="AU316" s="301" t="str">
        <f t="shared" ref="AU316:AU326" si="865">IF(G316="MOTOR",IF(AT316&lt;=15,"YES","NO"),"NA")</f>
        <v>NA</v>
      </c>
      <c r="AV316" s="424" t="str">
        <f t="shared" ref="AV316:AV326" si="866">IF(U316="1C",CONCATENATE(AP316,"R x ",Y316,"kV x ",U316," x ",V316," Sqmm/Phase"),CONCATENATE(AP316,"R x ",0.6,"/1kV x ",U316," x ",V316," Sqmm"))</f>
        <v>1R x 0.6/1kV x 3C x 50 Sqmm</v>
      </c>
      <c r="AW316" s="424" t="str">
        <f t="shared" ref="AW316:AW326" si="867">IF(U316="1C",CONCATENATE(AP316,"R x ",Y316,"kV x ",U316," x ",V316," Sqmm/Phase"),CONCATENATE(AP316,"R x ",0.6,"/1kV x ",U316," x ",V316,(IF(G316="MOTOR","+PE",""))," Sqmm"))</f>
        <v>1R x 0.6/1kV x 3C x 50 Sqmm</v>
      </c>
      <c r="AX316" s="301">
        <f t="shared" ref="AX316:AX326" si="868">(IF(K316=400,(IF(U316="1C",(4*AH316*AP316),(AH316*AP316))),IF(K316=230,(AH316*AP316))))</f>
        <v>103</v>
      </c>
      <c r="AY316" s="575"/>
    </row>
    <row r="317" spans="1:51" s="576" customFormat="1" ht="27" customHeight="1">
      <c r="A317" s="298">
        <f t="shared" si="848"/>
        <v>206</v>
      </c>
      <c r="B317" s="301" t="s">
        <v>382</v>
      </c>
      <c r="C317" s="298" t="str">
        <f t="shared" si="767"/>
        <v>PDB-1</v>
      </c>
      <c r="D317" s="603" t="s">
        <v>1065</v>
      </c>
      <c r="E317" s="418" t="s">
        <v>463</v>
      </c>
      <c r="F317" s="420" t="s">
        <v>29</v>
      </c>
      <c r="G317" s="298" t="s">
        <v>298</v>
      </c>
      <c r="H317" s="421">
        <v>3.5</v>
      </c>
      <c r="I317" s="298" t="s">
        <v>299</v>
      </c>
      <c r="J317" s="298" t="s">
        <v>313</v>
      </c>
      <c r="K317" s="423">
        <v>230</v>
      </c>
      <c r="L317" s="301">
        <v>0.85</v>
      </c>
      <c r="M317" s="421">
        <v>0.95</v>
      </c>
      <c r="N317" s="299">
        <f t="shared" si="849"/>
        <v>18.845066630771303</v>
      </c>
      <c r="O317" s="299">
        <f t="shared" si="850"/>
        <v>0</v>
      </c>
      <c r="P317" s="301" t="str">
        <f t="shared" si="851"/>
        <v>0.00</v>
      </c>
      <c r="Q317" s="421">
        <v>50</v>
      </c>
      <c r="R317" s="421">
        <v>0</v>
      </c>
      <c r="S317" s="421">
        <f t="shared" si="852"/>
        <v>0</v>
      </c>
      <c r="T317" s="301" t="s">
        <v>131</v>
      </c>
      <c r="U317" s="421" t="s">
        <v>302</v>
      </c>
      <c r="V317" s="301">
        <v>50</v>
      </c>
      <c r="W317" s="301" t="str">
        <f t="shared" si="853"/>
        <v>3C X 50</v>
      </c>
      <c r="X317" s="301" t="str">
        <f t="shared" si="854"/>
        <v>3C X 50</v>
      </c>
      <c r="Y317" s="301" t="s">
        <v>314</v>
      </c>
      <c r="Z317" s="300">
        <f>IF(T317="AIR",VLOOKUP(W317,'Catalogue Aluminium'!$B$9:$G$91,2,FALSE),IF(T317="GROUND",VLOOKUP(W317,'Catalogue Aluminium'!$B$9:$G$91,3,FALSE),IF(T317="DUCT",VLOOKUP(W317,'Catalogue Aluminium'!$B$9:$G$91,4,FALSE),IF(T317="TRENCH",VLOOKUP(W317,'Catalogue Aluminium'!$B$9:$G$91,2,FALSE)))))</f>
        <v>141</v>
      </c>
      <c r="AA317" s="302">
        <f>VLOOKUP(W317,'Catalogue Aluminium'!$B$9:$G$91,5,FALSE)</f>
        <v>0.82</v>
      </c>
      <c r="AB317" s="302">
        <f>VLOOKUP(W317,'Catalogue Aluminium'!$B$9:$G$91,6,FALSE)</f>
        <v>7.9200000000000007E-2</v>
      </c>
      <c r="AC317" s="598">
        <f t="shared" si="797"/>
        <v>34</v>
      </c>
      <c r="AD317" s="298">
        <f t="shared" si="855"/>
        <v>41</v>
      </c>
      <c r="AE317" s="598">
        <v>10</v>
      </c>
      <c r="AF317" s="301">
        <v>8</v>
      </c>
      <c r="AG317" s="301">
        <f t="shared" si="856"/>
        <v>10</v>
      </c>
      <c r="AH317" s="574">
        <f t="shared" si="857"/>
        <v>103</v>
      </c>
      <c r="AI317" s="300">
        <f>IF(T317="AIR",'Catalogue Aluminium'!$K$9,IF(T317="TRENCH",'Catalogue Aluminium'!$K$12,"NA"))</f>
        <v>0.89</v>
      </c>
      <c r="AJ317" s="299">
        <f>IF(T317="Air",(IF(U317="1C",'Catalogue Aluminium'!$L$9,'Catalogue Aluminium'!$M$9)),IF(T317="DUCT",(IF($U317="1C",'Catalogue Aluminium'!$L$10,'Catalogue Aluminium'!$M$10)),IF(T317="GROUND",(IF($U317="1C",'Catalogue Aluminium'!$L$11,'Catalogue Aluminium'!$M$11)),IF(T317="TRENCH",(IF($U317="1C",'Catalogue Aluminium'!$L$12,'Catalogue Aluminium'!$M$12))))))</f>
        <v>0.66</v>
      </c>
      <c r="AK317" s="300" t="str">
        <f>IF(T317="Air",'Catalogue Aluminium'!$N$9,IF(T317="GROUND",'Catalogue Aluminium'!$N$10,IF(T317="DUCT",'Catalogue Aluminium'!$N$11,IF(T317="TRENCH",'Catalogue Aluminium'!$N$12,"NA"))))</f>
        <v>NA</v>
      </c>
      <c r="AL317" s="300" t="str">
        <f>IF(T317="Air",(IF(U317="1C",'Catalogue Aluminium'!$O$9,'Catalogue Aluminium'!$P$9)),IF(T317="DUCT",(IF($U317="1C",'Catalogue Aluminium'!$O$10,'Catalogue Aluminium'!$P$10)),IF(T317="GROUND",(IF($U317="1C",'Catalogue Aluminium'!$O$11,'Catalogue Aluminium'!$P$11)),IF(T317="TRENCH",(IF($U317="1C",'Catalogue Aluminium'!$O$12,'Catalogue Aluminium'!$P$12))))))</f>
        <v>NA</v>
      </c>
      <c r="AM317" s="300" t="str">
        <f>IF(T317="AIR","NA",IF(T317="TRENCH","NA",IF(T317="DUCT",IF(U317="1C",VLOOKUP(V317,'Catalogue Aluminium'!$Q$9:$S$28,2,FALSE),VLOOKUP(V317,'Catalogue Aluminium'!$Q$9:$S$28,3)),IF(T317="GROUND",IF(U317="1C",VLOOKUP(V317,'Catalogue Aluminium'!$Q$9:$S$28,2,FALSE),VLOOKUP(V317,'Catalogue Aluminium'!$Q$9:$S$28,3))))))</f>
        <v>NA</v>
      </c>
      <c r="AN317" s="422">
        <f t="shared" si="858"/>
        <v>0.58740000000000003</v>
      </c>
      <c r="AO317" s="421">
        <f t="shared" si="859"/>
        <v>82.823400000000007</v>
      </c>
      <c r="AP317" s="423">
        <f t="shared" si="860"/>
        <v>1</v>
      </c>
      <c r="AQ317" s="421" t="str">
        <f t="shared" si="861"/>
        <v>YES</v>
      </c>
      <c r="AR317" s="422">
        <f t="shared" si="862"/>
        <v>1.0798122486861237</v>
      </c>
      <c r="AS317" s="301" t="str">
        <f t="shared" si="863"/>
        <v>YES</v>
      </c>
      <c r="AT317" s="422" t="str">
        <f t="shared" si="864"/>
        <v>NA</v>
      </c>
      <c r="AU317" s="301" t="str">
        <f t="shared" si="865"/>
        <v>NA</v>
      </c>
      <c r="AV317" s="424" t="str">
        <f t="shared" si="866"/>
        <v>1R x 0.6/1kV x 3C x 50 Sqmm</v>
      </c>
      <c r="AW317" s="424" t="str">
        <f t="shared" si="867"/>
        <v>1R x 0.6/1kV x 3C x 50 Sqmm</v>
      </c>
      <c r="AX317" s="301">
        <f t="shared" si="868"/>
        <v>103</v>
      </c>
      <c r="AY317" s="575"/>
    </row>
    <row r="318" spans="1:51" s="576" customFormat="1" ht="27" customHeight="1">
      <c r="A318" s="298">
        <f t="shared" si="848"/>
        <v>207</v>
      </c>
      <c r="B318" s="301" t="s">
        <v>382</v>
      </c>
      <c r="C318" s="298" t="str">
        <f t="shared" si="767"/>
        <v>PDB-1</v>
      </c>
      <c r="D318" s="603" t="s">
        <v>1066</v>
      </c>
      <c r="E318" s="418" t="s">
        <v>463</v>
      </c>
      <c r="F318" s="420" t="s">
        <v>29</v>
      </c>
      <c r="G318" s="298" t="s">
        <v>298</v>
      </c>
      <c r="H318" s="421">
        <v>3.5</v>
      </c>
      <c r="I318" s="298" t="s">
        <v>299</v>
      </c>
      <c r="J318" s="298" t="s">
        <v>313</v>
      </c>
      <c r="K318" s="423">
        <v>230</v>
      </c>
      <c r="L318" s="301">
        <v>0.85</v>
      </c>
      <c r="M318" s="421">
        <v>0.95</v>
      </c>
      <c r="N318" s="299">
        <f t="shared" si="849"/>
        <v>18.845066630771303</v>
      </c>
      <c r="O318" s="299">
        <f t="shared" si="850"/>
        <v>0</v>
      </c>
      <c r="P318" s="301" t="str">
        <f t="shared" si="851"/>
        <v>0.00</v>
      </c>
      <c r="Q318" s="421">
        <v>50</v>
      </c>
      <c r="R318" s="421">
        <v>0</v>
      </c>
      <c r="S318" s="421">
        <f t="shared" si="852"/>
        <v>0</v>
      </c>
      <c r="T318" s="301" t="s">
        <v>131</v>
      </c>
      <c r="U318" s="421" t="s">
        <v>302</v>
      </c>
      <c r="V318" s="301">
        <v>50</v>
      </c>
      <c r="W318" s="301" t="str">
        <f t="shared" si="853"/>
        <v>3C X 50</v>
      </c>
      <c r="X318" s="301" t="str">
        <f t="shared" si="854"/>
        <v>3C X 50</v>
      </c>
      <c r="Y318" s="301" t="s">
        <v>314</v>
      </c>
      <c r="Z318" s="300">
        <f>IF(T318="AIR",VLOOKUP(W318,'Catalogue Aluminium'!$B$9:$G$91,2,FALSE),IF(T318="GROUND",VLOOKUP(W318,'Catalogue Aluminium'!$B$9:$G$91,3,FALSE),IF(T318="DUCT",VLOOKUP(W318,'Catalogue Aluminium'!$B$9:$G$91,4,FALSE),IF(T318="TRENCH",VLOOKUP(W318,'Catalogue Aluminium'!$B$9:$G$91,2,FALSE)))))</f>
        <v>141</v>
      </c>
      <c r="AA318" s="302">
        <f>VLOOKUP(W318,'Catalogue Aluminium'!$B$9:$G$91,5,FALSE)</f>
        <v>0.82</v>
      </c>
      <c r="AB318" s="302">
        <f>VLOOKUP(W318,'Catalogue Aluminium'!$B$9:$G$91,6,FALSE)</f>
        <v>7.9200000000000007E-2</v>
      </c>
      <c r="AC318" s="598">
        <f t="shared" si="797"/>
        <v>34</v>
      </c>
      <c r="AD318" s="298">
        <f t="shared" si="855"/>
        <v>41</v>
      </c>
      <c r="AE318" s="598">
        <v>10</v>
      </c>
      <c r="AF318" s="301">
        <v>8</v>
      </c>
      <c r="AG318" s="301">
        <f t="shared" si="856"/>
        <v>10</v>
      </c>
      <c r="AH318" s="574">
        <f t="shared" si="857"/>
        <v>103</v>
      </c>
      <c r="AI318" s="300">
        <f>IF(T318="AIR",'Catalogue Aluminium'!$K$9,IF(T318="TRENCH",'Catalogue Aluminium'!$K$12,"NA"))</f>
        <v>0.89</v>
      </c>
      <c r="AJ318" s="299">
        <f>IF(T318="Air",(IF(U318="1C",'Catalogue Aluminium'!$L$9,'Catalogue Aluminium'!$M$9)),IF(T318="DUCT",(IF($U318="1C",'Catalogue Aluminium'!$L$10,'Catalogue Aluminium'!$M$10)),IF(T318="GROUND",(IF($U318="1C",'Catalogue Aluminium'!$L$11,'Catalogue Aluminium'!$M$11)),IF(T318="TRENCH",(IF($U318="1C",'Catalogue Aluminium'!$L$12,'Catalogue Aluminium'!$M$12))))))</f>
        <v>0.66</v>
      </c>
      <c r="AK318" s="300" t="str">
        <f>IF(T318="Air",'Catalogue Aluminium'!$N$9,IF(T318="GROUND",'Catalogue Aluminium'!$N$10,IF(T318="DUCT",'Catalogue Aluminium'!$N$11,IF(T318="TRENCH",'Catalogue Aluminium'!$N$12,"NA"))))</f>
        <v>NA</v>
      </c>
      <c r="AL318" s="300" t="str">
        <f>IF(T318="Air",(IF(U318="1C",'Catalogue Aluminium'!$O$9,'Catalogue Aluminium'!$P$9)),IF(T318="DUCT",(IF($U318="1C",'Catalogue Aluminium'!$O$10,'Catalogue Aluminium'!$P$10)),IF(T318="GROUND",(IF($U318="1C",'Catalogue Aluminium'!$O$11,'Catalogue Aluminium'!$P$11)),IF(T318="TRENCH",(IF($U318="1C",'Catalogue Aluminium'!$O$12,'Catalogue Aluminium'!$P$12))))))</f>
        <v>NA</v>
      </c>
      <c r="AM318" s="300" t="str">
        <f>IF(T318="AIR","NA",IF(T318="TRENCH","NA",IF(T318="DUCT",IF(U318="1C",VLOOKUP(V318,'Catalogue Aluminium'!$Q$9:$S$28,2,FALSE),VLOOKUP(V318,'Catalogue Aluminium'!$Q$9:$S$28,3)),IF(T318="GROUND",IF(U318="1C",VLOOKUP(V318,'Catalogue Aluminium'!$Q$9:$S$28,2,FALSE),VLOOKUP(V318,'Catalogue Aluminium'!$Q$9:$S$28,3))))))</f>
        <v>NA</v>
      </c>
      <c r="AN318" s="422">
        <f t="shared" si="858"/>
        <v>0.58740000000000003</v>
      </c>
      <c r="AO318" s="421">
        <f t="shared" si="859"/>
        <v>82.823400000000007</v>
      </c>
      <c r="AP318" s="423">
        <f t="shared" si="860"/>
        <v>1</v>
      </c>
      <c r="AQ318" s="421" t="str">
        <f t="shared" si="861"/>
        <v>YES</v>
      </c>
      <c r="AR318" s="422">
        <f t="shared" si="862"/>
        <v>1.0798122486861237</v>
      </c>
      <c r="AS318" s="301" t="str">
        <f t="shared" si="863"/>
        <v>YES</v>
      </c>
      <c r="AT318" s="422" t="str">
        <f t="shared" si="864"/>
        <v>NA</v>
      </c>
      <c r="AU318" s="301" t="str">
        <f t="shared" si="865"/>
        <v>NA</v>
      </c>
      <c r="AV318" s="424" t="str">
        <f t="shared" si="866"/>
        <v>1R x 0.6/1kV x 3C x 50 Sqmm</v>
      </c>
      <c r="AW318" s="424" t="str">
        <f t="shared" si="867"/>
        <v>1R x 0.6/1kV x 3C x 50 Sqmm</v>
      </c>
      <c r="AX318" s="301">
        <f t="shared" si="868"/>
        <v>103</v>
      </c>
      <c r="AY318" s="575"/>
    </row>
    <row r="319" spans="1:51" s="576" customFormat="1" ht="27" customHeight="1">
      <c r="A319" s="298">
        <f t="shared" si="848"/>
        <v>208</v>
      </c>
      <c r="B319" s="301" t="s">
        <v>382</v>
      </c>
      <c r="C319" s="298" t="str">
        <f t="shared" si="767"/>
        <v>PDB-1</v>
      </c>
      <c r="D319" s="603" t="s">
        <v>1067</v>
      </c>
      <c r="E319" s="418" t="s">
        <v>463</v>
      </c>
      <c r="F319" s="420" t="s">
        <v>29</v>
      </c>
      <c r="G319" s="298" t="s">
        <v>298</v>
      </c>
      <c r="H319" s="421">
        <v>3.5</v>
      </c>
      <c r="I319" s="298" t="s">
        <v>299</v>
      </c>
      <c r="J319" s="298" t="s">
        <v>313</v>
      </c>
      <c r="K319" s="423">
        <v>230</v>
      </c>
      <c r="L319" s="301">
        <v>0.85</v>
      </c>
      <c r="M319" s="421">
        <v>0.95</v>
      </c>
      <c r="N319" s="299">
        <f t="shared" si="849"/>
        <v>18.845066630771303</v>
      </c>
      <c r="O319" s="299">
        <f t="shared" si="850"/>
        <v>0</v>
      </c>
      <c r="P319" s="301" t="str">
        <f t="shared" si="851"/>
        <v>0.00</v>
      </c>
      <c r="Q319" s="421">
        <v>50</v>
      </c>
      <c r="R319" s="421">
        <v>0</v>
      </c>
      <c r="S319" s="421">
        <f t="shared" si="852"/>
        <v>0</v>
      </c>
      <c r="T319" s="301" t="s">
        <v>131</v>
      </c>
      <c r="U319" s="421" t="s">
        <v>302</v>
      </c>
      <c r="V319" s="301">
        <v>50</v>
      </c>
      <c r="W319" s="301" t="str">
        <f t="shared" si="853"/>
        <v>3C X 50</v>
      </c>
      <c r="X319" s="301" t="str">
        <f t="shared" si="854"/>
        <v>3C X 50</v>
      </c>
      <c r="Y319" s="301" t="s">
        <v>314</v>
      </c>
      <c r="Z319" s="300">
        <f>IF(T319="AIR",VLOOKUP(W319,'Catalogue Aluminium'!$B$9:$G$91,2,FALSE),IF(T319="GROUND",VLOOKUP(W319,'Catalogue Aluminium'!$B$9:$G$91,3,FALSE),IF(T319="DUCT",VLOOKUP(W319,'Catalogue Aluminium'!$B$9:$G$91,4,FALSE),IF(T319="TRENCH",VLOOKUP(W319,'Catalogue Aluminium'!$B$9:$G$91,2,FALSE)))))</f>
        <v>141</v>
      </c>
      <c r="AA319" s="302">
        <f>VLOOKUP(W319,'Catalogue Aluminium'!$B$9:$G$91,5,FALSE)</f>
        <v>0.82</v>
      </c>
      <c r="AB319" s="302">
        <f>VLOOKUP(W319,'Catalogue Aluminium'!$B$9:$G$91,6,FALSE)</f>
        <v>7.9200000000000007E-2</v>
      </c>
      <c r="AC319" s="598">
        <f t="shared" si="797"/>
        <v>34</v>
      </c>
      <c r="AD319" s="298">
        <f t="shared" si="855"/>
        <v>41</v>
      </c>
      <c r="AE319" s="598">
        <v>10</v>
      </c>
      <c r="AF319" s="301">
        <v>8</v>
      </c>
      <c r="AG319" s="301">
        <f t="shared" si="856"/>
        <v>10</v>
      </c>
      <c r="AH319" s="574">
        <f t="shared" si="857"/>
        <v>103</v>
      </c>
      <c r="AI319" s="300">
        <f>IF(T319="AIR",'Catalogue Aluminium'!$K$9,IF(T319="TRENCH",'Catalogue Aluminium'!$K$12,"NA"))</f>
        <v>0.89</v>
      </c>
      <c r="AJ319" s="299">
        <f>IF(T319="Air",(IF(U319="1C",'Catalogue Aluminium'!$L$9,'Catalogue Aluminium'!$M$9)),IF(T319="DUCT",(IF($U319="1C",'Catalogue Aluminium'!$L$10,'Catalogue Aluminium'!$M$10)),IF(T319="GROUND",(IF($U319="1C",'Catalogue Aluminium'!$L$11,'Catalogue Aluminium'!$M$11)),IF(T319="TRENCH",(IF($U319="1C",'Catalogue Aluminium'!$L$12,'Catalogue Aluminium'!$M$12))))))</f>
        <v>0.66</v>
      </c>
      <c r="AK319" s="300" t="str">
        <f>IF(T319="Air",'Catalogue Aluminium'!$N$9,IF(T319="GROUND",'Catalogue Aluminium'!$N$10,IF(T319="DUCT",'Catalogue Aluminium'!$N$11,IF(T319="TRENCH",'Catalogue Aluminium'!$N$12,"NA"))))</f>
        <v>NA</v>
      </c>
      <c r="AL319" s="300" t="str">
        <f>IF(T319="Air",(IF(U319="1C",'Catalogue Aluminium'!$O$9,'Catalogue Aluminium'!$P$9)),IF(T319="DUCT",(IF($U319="1C",'Catalogue Aluminium'!$O$10,'Catalogue Aluminium'!$P$10)),IF(T319="GROUND",(IF($U319="1C",'Catalogue Aluminium'!$O$11,'Catalogue Aluminium'!$P$11)),IF(T319="TRENCH",(IF($U319="1C",'Catalogue Aluminium'!$O$12,'Catalogue Aluminium'!$P$12))))))</f>
        <v>NA</v>
      </c>
      <c r="AM319" s="300" t="str">
        <f>IF(T319="AIR","NA",IF(T319="TRENCH","NA",IF(T319="DUCT",IF(U319="1C",VLOOKUP(V319,'Catalogue Aluminium'!$Q$9:$S$28,2,FALSE),VLOOKUP(V319,'Catalogue Aluminium'!$Q$9:$S$28,3)),IF(T319="GROUND",IF(U319="1C",VLOOKUP(V319,'Catalogue Aluminium'!$Q$9:$S$28,2,FALSE),VLOOKUP(V319,'Catalogue Aluminium'!$Q$9:$S$28,3))))))</f>
        <v>NA</v>
      </c>
      <c r="AN319" s="422">
        <f t="shared" si="858"/>
        <v>0.58740000000000003</v>
      </c>
      <c r="AO319" s="421">
        <f t="shared" si="859"/>
        <v>82.823400000000007</v>
      </c>
      <c r="AP319" s="423">
        <f t="shared" si="860"/>
        <v>1</v>
      </c>
      <c r="AQ319" s="421" t="str">
        <f t="shared" si="861"/>
        <v>YES</v>
      </c>
      <c r="AR319" s="422">
        <f t="shared" si="862"/>
        <v>1.0798122486861237</v>
      </c>
      <c r="AS319" s="301" t="str">
        <f t="shared" si="863"/>
        <v>YES</v>
      </c>
      <c r="AT319" s="422" t="str">
        <f t="shared" si="864"/>
        <v>NA</v>
      </c>
      <c r="AU319" s="301" t="str">
        <f t="shared" si="865"/>
        <v>NA</v>
      </c>
      <c r="AV319" s="424" t="str">
        <f t="shared" si="866"/>
        <v>1R x 0.6/1kV x 3C x 50 Sqmm</v>
      </c>
      <c r="AW319" s="424" t="str">
        <f t="shared" si="867"/>
        <v>1R x 0.6/1kV x 3C x 50 Sqmm</v>
      </c>
      <c r="AX319" s="301">
        <f t="shared" si="868"/>
        <v>103</v>
      </c>
      <c r="AY319" s="575"/>
    </row>
    <row r="320" spans="1:51" s="576" customFormat="1" ht="27" customHeight="1">
      <c r="A320" s="298">
        <f t="shared" si="848"/>
        <v>209</v>
      </c>
      <c r="B320" s="301" t="s">
        <v>382</v>
      </c>
      <c r="C320" s="298" t="str">
        <f t="shared" si="767"/>
        <v>PDB-1</v>
      </c>
      <c r="D320" s="603" t="s">
        <v>1068</v>
      </c>
      <c r="E320" s="418" t="s">
        <v>463</v>
      </c>
      <c r="F320" s="420" t="s">
        <v>29</v>
      </c>
      <c r="G320" s="298" t="s">
        <v>298</v>
      </c>
      <c r="H320" s="421">
        <v>3.5</v>
      </c>
      <c r="I320" s="298" t="s">
        <v>299</v>
      </c>
      <c r="J320" s="298" t="s">
        <v>313</v>
      </c>
      <c r="K320" s="423">
        <v>230</v>
      </c>
      <c r="L320" s="301">
        <v>0.85</v>
      </c>
      <c r="M320" s="421">
        <v>0.95</v>
      </c>
      <c r="N320" s="299">
        <f t="shared" si="849"/>
        <v>18.845066630771303</v>
      </c>
      <c r="O320" s="299">
        <f t="shared" si="850"/>
        <v>0</v>
      </c>
      <c r="P320" s="301" t="str">
        <f t="shared" si="851"/>
        <v>0.00</v>
      </c>
      <c r="Q320" s="421">
        <v>50</v>
      </c>
      <c r="R320" s="421">
        <v>0</v>
      </c>
      <c r="S320" s="421">
        <f t="shared" si="852"/>
        <v>0</v>
      </c>
      <c r="T320" s="301" t="s">
        <v>131</v>
      </c>
      <c r="U320" s="421" t="s">
        <v>302</v>
      </c>
      <c r="V320" s="301">
        <v>50</v>
      </c>
      <c r="W320" s="301" t="str">
        <f t="shared" si="853"/>
        <v>3C X 50</v>
      </c>
      <c r="X320" s="301" t="str">
        <f t="shared" si="854"/>
        <v>3C X 50</v>
      </c>
      <c r="Y320" s="301" t="s">
        <v>314</v>
      </c>
      <c r="Z320" s="300">
        <f>IF(T320="AIR",VLOOKUP(W320,'Catalogue Aluminium'!$B$9:$G$91,2,FALSE),IF(T320="GROUND",VLOOKUP(W320,'Catalogue Aluminium'!$B$9:$G$91,3,FALSE),IF(T320="DUCT",VLOOKUP(W320,'Catalogue Aluminium'!$B$9:$G$91,4,FALSE),IF(T320="TRENCH",VLOOKUP(W320,'Catalogue Aluminium'!$B$9:$G$91,2,FALSE)))))</f>
        <v>141</v>
      </c>
      <c r="AA320" s="302">
        <f>VLOOKUP(W320,'Catalogue Aluminium'!$B$9:$G$91,5,FALSE)</f>
        <v>0.82</v>
      </c>
      <c r="AB320" s="302">
        <f>VLOOKUP(W320,'Catalogue Aluminium'!$B$9:$G$91,6,FALSE)</f>
        <v>7.9200000000000007E-2</v>
      </c>
      <c r="AC320" s="598">
        <f t="shared" si="797"/>
        <v>34</v>
      </c>
      <c r="AD320" s="298">
        <f t="shared" si="855"/>
        <v>41</v>
      </c>
      <c r="AE320" s="598">
        <v>10</v>
      </c>
      <c r="AF320" s="301">
        <v>8</v>
      </c>
      <c r="AG320" s="301">
        <f t="shared" si="856"/>
        <v>10</v>
      </c>
      <c r="AH320" s="574">
        <f t="shared" si="857"/>
        <v>103</v>
      </c>
      <c r="AI320" s="300">
        <f>IF(T320="AIR",'Catalogue Aluminium'!$K$9,IF(T320="TRENCH",'Catalogue Aluminium'!$K$12,"NA"))</f>
        <v>0.89</v>
      </c>
      <c r="AJ320" s="299">
        <f>IF(T320="Air",(IF(U320="1C",'Catalogue Aluminium'!$L$9,'Catalogue Aluminium'!$M$9)),IF(T320="DUCT",(IF($U320="1C",'Catalogue Aluminium'!$L$10,'Catalogue Aluminium'!$M$10)),IF(T320="GROUND",(IF($U320="1C",'Catalogue Aluminium'!$L$11,'Catalogue Aluminium'!$M$11)),IF(T320="TRENCH",(IF($U320="1C",'Catalogue Aluminium'!$L$12,'Catalogue Aluminium'!$M$12))))))</f>
        <v>0.66</v>
      </c>
      <c r="AK320" s="300" t="str">
        <f>IF(T320="Air",'Catalogue Aluminium'!$N$9,IF(T320="GROUND",'Catalogue Aluminium'!$N$10,IF(T320="DUCT",'Catalogue Aluminium'!$N$11,IF(T320="TRENCH",'Catalogue Aluminium'!$N$12,"NA"))))</f>
        <v>NA</v>
      </c>
      <c r="AL320" s="300" t="str">
        <f>IF(T320="Air",(IF(U320="1C",'Catalogue Aluminium'!$O$9,'Catalogue Aluminium'!$P$9)),IF(T320="DUCT",(IF($U320="1C",'Catalogue Aluminium'!$O$10,'Catalogue Aluminium'!$P$10)),IF(T320="GROUND",(IF($U320="1C",'Catalogue Aluminium'!$O$11,'Catalogue Aluminium'!$P$11)),IF(T320="TRENCH",(IF($U320="1C",'Catalogue Aluminium'!$O$12,'Catalogue Aluminium'!$P$12))))))</f>
        <v>NA</v>
      </c>
      <c r="AM320" s="300" t="str">
        <f>IF(T320="AIR","NA",IF(T320="TRENCH","NA",IF(T320="DUCT",IF(U320="1C",VLOOKUP(V320,'Catalogue Aluminium'!$Q$9:$S$28,2,FALSE),VLOOKUP(V320,'Catalogue Aluminium'!$Q$9:$S$28,3)),IF(T320="GROUND",IF(U320="1C",VLOOKUP(V320,'Catalogue Aluminium'!$Q$9:$S$28,2,FALSE),VLOOKUP(V320,'Catalogue Aluminium'!$Q$9:$S$28,3))))))</f>
        <v>NA</v>
      </c>
      <c r="AN320" s="422">
        <f t="shared" si="858"/>
        <v>0.58740000000000003</v>
      </c>
      <c r="AO320" s="421">
        <f t="shared" si="859"/>
        <v>82.823400000000007</v>
      </c>
      <c r="AP320" s="423">
        <f t="shared" si="860"/>
        <v>1</v>
      </c>
      <c r="AQ320" s="421" t="str">
        <f t="shared" si="861"/>
        <v>YES</v>
      </c>
      <c r="AR320" s="422">
        <f t="shared" si="862"/>
        <v>1.0798122486861237</v>
      </c>
      <c r="AS320" s="301" t="str">
        <f t="shared" si="863"/>
        <v>YES</v>
      </c>
      <c r="AT320" s="422" t="str">
        <f t="shared" si="864"/>
        <v>NA</v>
      </c>
      <c r="AU320" s="301" t="str">
        <f t="shared" si="865"/>
        <v>NA</v>
      </c>
      <c r="AV320" s="424" t="str">
        <f t="shared" si="866"/>
        <v>1R x 0.6/1kV x 3C x 50 Sqmm</v>
      </c>
      <c r="AW320" s="424" t="str">
        <f t="shared" si="867"/>
        <v>1R x 0.6/1kV x 3C x 50 Sqmm</v>
      </c>
      <c r="AX320" s="301">
        <f t="shared" si="868"/>
        <v>103</v>
      </c>
      <c r="AY320" s="575"/>
    </row>
    <row r="321" spans="1:51" s="576" customFormat="1" ht="27" customHeight="1">
      <c r="A321" s="298">
        <f t="shared" si="848"/>
        <v>206</v>
      </c>
      <c r="B321" s="301" t="s">
        <v>382</v>
      </c>
      <c r="C321" s="298" t="str">
        <f t="shared" si="767"/>
        <v>PDB-1</v>
      </c>
      <c r="D321" s="603" t="s">
        <v>1069</v>
      </c>
      <c r="E321" s="418" t="s">
        <v>463</v>
      </c>
      <c r="F321" s="420" t="s">
        <v>29</v>
      </c>
      <c r="G321" s="298" t="s">
        <v>298</v>
      </c>
      <c r="H321" s="421">
        <v>3.5</v>
      </c>
      <c r="I321" s="298" t="s">
        <v>299</v>
      </c>
      <c r="J321" s="298" t="s">
        <v>313</v>
      </c>
      <c r="K321" s="423">
        <v>230</v>
      </c>
      <c r="L321" s="301">
        <v>0.85</v>
      </c>
      <c r="M321" s="421">
        <v>0.95</v>
      </c>
      <c r="N321" s="299">
        <f t="shared" si="849"/>
        <v>18.845066630771303</v>
      </c>
      <c r="O321" s="299">
        <f t="shared" si="850"/>
        <v>0</v>
      </c>
      <c r="P321" s="301" t="str">
        <f t="shared" si="851"/>
        <v>0.00</v>
      </c>
      <c r="Q321" s="421">
        <v>50</v>
      </c>
      <c r="R321" s="421">
        <v>0</v>
      </c>
      <c r="S321" s="421">
        <f t="shared" si="852"/>
        <v>0</v>
      </c>
      <c r="T321" s="301" t="s">
        <v>131</v>
      </c>
      <c r="U321" s="421" t="s">
        <v>302</v>
      </c>
      <c r="V321" s="301">
        <v>50</v>
      </c>
      <c r="W321" s="301" t="str">
        <f t="shared" si="853"/>
        <v>3C X 50</v>
      </c>
      <c r="X321" s="301" t="str">
        <f t="shared" si="854"/>
        <v>3C X 50</v>
      </c>
      <c r="Y321" s="301" t="s">
        <v>314</v>
      </c>
      <c r="Z321" s="300">
        <f>IF(T321="AIR",VLOOKUP(W321,'Catalogue Aluminium'!$B$9:$G$91,2,FALSE),IF(T321="GROUND",VLOOKUP(W321,'Catalogue Aluminium'!$B$9:$G$91,3,FALSE),IF(T321="DUCT",VLOOKUP(W321,'Catalogue Aluminium'!$B$9:$G$91,4,FALSE),IF(T321="TRENCH",VLOOKUP(W321,'Catalogue Aluminium'!$B$9:$G$91,2,FALSE)))))</f>
        <v>141</v>
      </c>
      <c r="AA321" s="302">
        <f>VLOOKUP(W321,'Catalogue Aluminium'!$B$9:$G$91,5,FALSE)</f>
        <v>0.82</v>
      </c>
      <c r="AB321" s="302">
        <f>VLOOKUP(W321,'Catalogue Aluminium'!$B$9:$G$91,6,FALSE)</f>
        <v>7.9200000000000007E-2</v>
      </c>
      <c r="AC321" s="598">
        <f t="shared" si="797"/>
        <v>34</v>
      </c>
      <c r="AD321" s="298">
        <f t="shared" si="855"/>
        <v>41</v>
      </c>
      <c r="AE321" s="598">
        <v>10</v>
      </c>
      <c r="AF321" s="301">
        <v>8</v>
      </c>
      <c r="AG321" s="301">
        <f t="shared" si="856"/>
        <v>10</v>
      </c>
      <c r="AH321" s="574">
        <f t="shared" si="857"/>
        <v>103</v>
      </c>
      <c r="AI321" s="300">
        <f>IF(T321="AIR",'Catalogue Aluminium'!$K$9,IF(T321="TRENCH",'Catalogue Aluminium'!$K$12,"NA"))</f>
        <v>0.89</v>
      </c>
      <c r="AJ321" s="299">
        <f>IF(T321="Air",(IF(U321="1C",'Catalogue Aluminium'!$L$9,'Catalogue Aluminium'!$M$9)),IF(T321="DUCT",(IF($U321="1C",'Catalogue Aluminium'!$L$10,'Catalogue Aluminium'!$M$10)),IF(T321="GROUND",(IF($U321="1C",'Catalogue Aluminium'!$L$11,'Catalogue Aluminium'!$M$11)),IF(T321="TRENCH",(IF($U321="1C",'Catalogue Aluminium'!$L$12,'Catalogue Aluminium'!$M$12))))))</f>
        <v>0.66</v>
      </c>
      <c r="AK321" s="300" t="str">
        <f>IF(T321="Air",'Catalogue Aluminium'!$N$9,IF(T321="GROUND",'Catalogue Aluminium'!$N$10,IF(T321="DUCT",'Catalogue Aluminium'!$N$11,IF(T321="TRENCH",'Catalogue Aluminium'!$N$12,"NA"))))</f>
        <v>NA</v>
      </c>
      <c r="AL321" s="300" t="str">
        <f>IF(T321="Air",(IF(U321="1C",'Catalogue Aluminium'!$O$9,'Catalogue Aluminium'!$P$9)),IF(T321="DUCT",(IF($U321="1C",'Catalogue Aluminium'!$O$10,'Catalogue Aluminium'!$P$10)),IF(T321="GROUND",(IF($U321="1C",'Catalogue Aluminium'!$O$11,'Catalogue Aluminium'!$P$11)),IF(T321="TRENCH",(IF($U321="1C",'Catalogue Aluminium'!$O$12,'Catalogue Aluminium'!$P$12))))))</f>
        <v>NA</v>
      </c>
      <c r="AM321" s="300" t="str">
        <f>IF(T321="AIR","NA",IF(T321="TRENCH","NA",IF(T321="DUCT",IF(U321="1C",VLOOKUP(V321,'Catalogue Aluminium'!$Q$9:$S$28,2,FALSE),VLOOKUP(V321,'Catalogue Aluminium'!$Q$9:$S$28,3)),IF(T321="GROUND",IF(U321="1C",VLOOKUP(V321,'Catalogue Aluminium'!$Q$9:$S$28,2,FALSE),VLOOKUP(V321,'Catalogue Aluminium'!$Q$9:$S$28,3))))))</f>
        <v>NA</v>
      </c>
      <c r="AN321" s="422">
        <f t="shared" si="858"/>
        <v>0.58740000000000003</v>
      </c>
      <c r="AO321" s="421">
        <f t="shared" si="859"/>
        <v>82.823400000000007</v>
      </c>
      <c r="AP321" s="423">
        <f t="shared" si="860"/>
        <v>1</v>
      </c>
      <c r="AQ321" s="421" t="str">
        <f t="shared" si="861"/>
        <v>YES</v>
      </c>
      <c r="AR321" s="422">
        <f t="shared" si="862"/>
        <v>1.0798122486861237</v>
      </c>
      <c r="AS321" s="301" t="str">
        <f t="shared" si="863"/>
        <v>YES</v>
      </c>
      <c r="AT321" s="422" t="str">
        <f t="shared" si="864"/>
        <v>NA</v>
      </c>
      <c r="AU321" s="301" t="str">
        <f t="shared" si="865"/>
        <v>NA</v>
      </c>
      <c r="AV321" s="424" t="str">
        <f t="shared" si="866"/>
        <v>1R x 0.6/1kV x 3C x 50 Sqmm</v>
      </c>
      <c r="AW321" s="424" t="str">
        <f t="shared" si="867"/>
        <v>1R x 0.6/1kV x 3C x 50 Sqmm</v>
      </c>
      <c r="AX321" s="301">
        <f t="shared" si="868"/>
        <v>103</v>
      </c>
      <c r="AY321" s="575"/>
    </row>
    <row r="322" spans="1:51" s="576" customFormat="1" ht="27" customHeight="1">
      <c r="A322" s="298">
        <f t="shared" si="848"/>
        <v>207</v>
      </c>
      <c r="B322" s="301" t="s">
        <v>382</v>
      </c>
      <c r="C322" s="298" t="str">
        <f t="shared" si="767"/>
        <v>PDB-1</v>
      </c>
      <c r="D322" s="603" t="s">
        <v>1070</v>
      </c>
      <c r="E322" s="418" t="s">
        <v>463</v>
      </c>
      <c r="F322" s="420" t="s">
        <v>29</v>
      </c>
      <c r="G322" s="298" t="s">
        <v>298</v>
      </c>
      <c r="H322" s="421">
        <v>3.5</v>
      </c>
      <c r="I322" s="298" t="s">
        <v>299</v>
      </c>
      <c r="J322" s="298" t="s">
        <v>313</v>
      </c>
      <c r="K322" s="423">
        <v>230</v>
      </c>
      <c r="L322" s="301">
        <v>0.85</v>
      </c>
      <c r="M322" s="421">
        <v>0.95</v>
      </c>
      <c r="N322" s="299">
        <f t="shared" si="849"/>
        <v>18.845066630771303</v>
      </c>
      <c r="O322" s="299">
        <f t="shared" si="850"/>
        <v>0</v>
      </c>
      <c r="P322" s="301" t="str">
        <f t="shared" si="851"/>
        <v>0.00</v>
      </c>
      <c r="Q322" s="421">
        <v>50</v>
      </c>
      <c r="R322" s="421">
        <v>0</v>
      </c>
      <c r="S322" s="421">
        <f t="shared" si="852"/>
        <v>0</v>
      </c>
      <c r="T322" s="301" t="s">
        <v>131</v>
      </c>
      <c r="U322" s="421" t="s">
        <v>302</v>
      </c>
      <c r="V322" s="301">
        <v>50</v>
      </c>
      <c r="W322" s="301" t="str">
        <f t="shared" si="853"/>
        <v>3C X 50</v>
      </c>
      <c r="X322" s="301" t="str">
        <f t="shared" si="854"/>
        <v>3C X 50</v>
      </c>
      <c r="Y322" s="301" t="s">
        <v>314</v>
      </c>
      <c r="Z322" s="300">
        <f>IF(T322="AIR",VLOOKUP(W322,'Catalogue Aluminium'!$B$9:$G$91,2,FALSE),IF(T322="GROUND",VLOOKUP(W322,'Catalogue Aluminium'!$B$9:$G$91,3,FALSE),IF(T322="DUCT",VLOOKUP(W322,'Catalogue Aluminium'!$B$9:$G$91,4,FALSE),IF(T322="TRENCH",VLOOKUP(W322,'Catalogue Aluminium'!$B$9:$G$91,2,FALSE)))))</f>
        <v>141</v>
      </c>
      <c r="AA322" s="302">
        <f>VLOOKUP(W322,'Catalogue Aluminium'!$B$9:$G$91,5,FALSE)</f>
        <v>0.82</v>
      </c>
      <c r="AB322" s="302">
        <f>VLOOKUP(W322,'Catalogue Aluminium'!$B$9:$G$91,6,FALSE)</f>
        <v>7.9200000000000007E-2</v>
      </c>
      <c r="AC322" s="598">
        <f t="shared" si="797"/>
        <v>34</v>
      </c>
      <c r="AD322" s="298">
        <f t="shared" si="855"/>
        <v>41</v>
      </c>
      <c r="AE322" s="598">
        <v>10</v>
      </c>
      <c r="AF322" s="301">
        <v>8</v>
      </c>
      <c r="AG322" s="301">
        <f t="shared" si="856"/>
        <v>10</v>
      </c>
      <c r="AH322" s="574">
        <f t="shared" si="857"/>
        <v>103</v>
      </c>
      <c r="AI322" s="300">
        <f>IF(T322="AIR",'Catalogue Aluminium'!$K$9,IF(T322="TRENCH",'Catalogue Aluminium'!$K$12,"NA"))</f>
        <v>0.89</v>
      </c>
      <c r="AJ322" s="299">
        <f>IF(T322="Air",(IF(U322="1C",'Catalogue Aluminium'!$L$9,'Catalogue Aluminium'!$M$9)),IF(T322="DUCT",(IF($U322="1C",'Catalogue Aluminium'!$L$10,'Catalogue Aluminium'!$M$10)),IF(T322="GROUND",(IF($U322="1C",'Catalogue Aluminium'!$L$11,'Catalogue Aluminium'!$M$11)),IF(T322="TRENCH",(IF($U322="1C",'Catalogue Aluminium'!$L$12,'Catalogue Aluminium'!$M$12))))))</f>
        <v>0.66</v>
      </c>
      <c r="AK322" s="300" t="str">
        <f>IF(T322="Air",'Catalogue Aluminium'!$N$9,IF(T322="GROUND",'Catalogue Aluminium'!$N$10,IF(T322="DUCT",'Catalogue Aluminium'!$N$11,IF(T322="TRENCH",'Catalogue Aluminium'!$N$12,"NA"))))</f>
        <v>NA</v>
      </c>
      <c r="AL322" s="300" t="str">
        <f>IF(T322="Air",(IF(U322="1C",'Catalogue Aluminium'!$O$9,'Catalogue Aluminium'!$P$9)),IF(T322="DUCT",(IF($U322="1C",'Catalogue Aluminium'!$O$10,'Catalogue Aluminium'!$P$10)),IF(T322="GROUND",(IF($U322="1C",'Catalogue Aluminium'!$O$11,'Catalogue Aluminium'!$P$11)),IF(T322="TRENCH",(IF($U322="1C",'Catalogue Aluminium'!$O$12,'Catalogue Aluminium'!$P$12))))))</f>
        <v>NA</v>
      </c>
      <c r="AM322" s="300" t="str">
        <f>IF(T322="AIR","NA",IF(T322="TRENCH","NA",IF(T322="DUCT",IF(U322="1C",VLOOKUP(V322,'Catalogue Aluminium'!$Q$9:$S$28,2,FALSE),VLOOKUP(V322,'Catalogue Aluminium'!$Q$9:$S$28,3)),IF(T322="GROUND",IF(U322="1C",VLOOKUP(V322,'Catalogue Aluminium'!$Q$9:$S$28,2,FALSE),VLOOKUP(V322,'Catalogue Aluminium'!$Q$9:$S$28,3))))))</f>
        <v>NA</v>
      </c>
      <c r="AN322" s="422">
        <f t="shared" si="858"/>
        <v>0.58740000000000003</v>
      </c>
      <c r="AO322" s="421">
        <f t="shared" si="859"/>
        <v>82.823400000000007</v>
      </c>
      <c r="AP322" s="423">
        <f t="shared" si="860"/>
        <v>1</v>
      </c>
      <c r="AQ322" s="421" t="str">
        <f t="shared" si="861"/>
        <v>YES</v>
      </c>
      <c r="AR322" s="422">
        <f t="shared" si="862"/>
        <v>1.0798122486861237</v>
      </c>
      <c r="AS322" s="301" t="str">
        <f t="shared" si="863"/>
        <v>YES</v>
      </c>
      <c r="AT322" s="422" t="str">
        <f t="shared" si="864"/>
        <v>NA</v>
      </c>
      <c r="AU322" s="301" t="str">
        <f t="shared" si="865"/>
        <v>NA</v>
      </c>
      <c r="AV322" s="424" t="str">
        <f t="shared" si="866"/>
        <v>1R x 0.6/1kV x 3C x 50 Sqmm</v>
      </c>
      <c r="AW322" s="424" t="str">
        <f t="shared" si="867"/>
        <v>1R x 0.6/1kV x 3C x 50 Sqmm</v>
      </c>
      <c r="AX322" s="301">
        <f t="shared" si="868"/>
        <v>103</v>
      </c>
      <c r="AY322" s="575"/>
    </row>
    <row r="323" spans="1:51" s="576" customFormat="1" ht="27" customHeight="1">
      <c r="A323" s="298">
        <f t="shared" si="848"/>
        <v>208</v>
      </c>
      <c r="B323" s="301" t="s">
        <v>382</v>
      </c>
      <c r="C323" s="298" t="str">
        <f t="shared" si="767"/>
        <v>PDB-1</v>
      </c>
      <c r="D323" s="603" t="s">
        <v>1071</v>
      </c>
      <c r="E323" s="418" t="s">
        <v>463</v>
      </c>
      <c r="F323" s="420" t="s">
        <v>29</v>
      </c>
      <c r="G323" s="298" t="s">
        <v>298</v>
      </c>
      <c r="H323" s="421">
        <v>3.5</v>
      </c>
      <c r="I323" s="298" t="s">
        <v>299</v>
      </c>
      <c r="J323" s="298" t="s">
        <v>313</v>
      </c>
      <c r="K323" s="423">
        <v>230</v>
      </c>
      <c r="L323" s="301">
        <v>0.85</v>
      </c>
      <c r="M323" s="421">
        <v>0.95</v>
      </c>
      <c r="N323" s="299">
        <f t="shared" si="849"/>
        <v>18.845066630771303</v>
      </c>
      <c r="O323" s="299">
        <f t="shared" si="850"/>
        <v>0</v>
      </c>
      <c r="P323" s="301" t="str">
        <f t="shared" si="851"/>
        <v>0.00</v>
      </c>
      <c r="Q323" s="421">
        <v>50</v>
      </c>
      <c r="R323" s="421">
        <v>0</v>
      </c>
      <c r="S323" s="421">
        <f t="shared" si="852"/>
        <v>0</v>
      </c>
      <c r="T323" s="301" t="s">
        <v>131</v>
      </c>
      <c r="U323" s="421" t="s">
        <v>302</v>
      </c>
      <c r="V323" s="301">
        <v>50</v>
      </c>
      <c r="W323" s="301" t="str">
        <f t="shared" si="853"/>
        <v>3C X 50</v>
      </c>
      <c r="X323" s="301" t="str">
        <f t="shared" si="854"/>
        <v>3C X 50</v>
      </c>
      <c r="Y323" s="301" t="s">
        <v>314</v>
      </c>
      <c r="Z323" s="300">
        <f>IF(T323="AIR",VLOOKUP(W323,'Catalogue Aluminium'!$B$9:$G$91,2,FALSE),IF(T323="GROUND",VLOOKUP(W323,'Catalogue Aluminium'!$B$9:$G$91,3,FALSE),IF(T323="DUCT",VLOOKUP(W323,'Catalogue Aluminium'!$B$9:$G$91,4,FALSE),IF(T323="TRENCH",VLOOKUP(W323,'Catalogue Aluminium'!$B$9:$G$91,2,FALSE)))))</f>
        <v>141</v>
      </c>
      <c r="AA323" s="302">
        <f>VLOOKUP(W323,'Catalogue Aluminium'!$B$9:$G$91,5,FALSE)</f>
        <v>0.82</v>
      </c>
      <c r="AB323" s="302">
        <f>VLOOKUP(W323,'Catalogue Aluminium'!$B$9:$G$91,6,FALSE)</f>
        <v>7.9200000000000007E-2</v>
      </c>
      <c r="AC323" s="598">
        <f t="shared" si="797"/>
        <v>34</v>
      </c>
      <c r="AD323" s="298">
        <f t="shared" si="855"/>
        <v>41</v>
      </c>
      <c r="AE323" s="598">
        <v>10</v>
      </c>
      <c r="AF323" s="301">
        <v>8</v>
      </c>
      <c r="AG323" s="301">
        <f t="shared" si="856"/>
        <v>10</v>
      </c>
      <c r="AH323" s="574">
        <f t="shared" si="857"/>
        <v>103</v>
      </c>
      <c r="AI323" s="300">
        <f>IF(T323="AIR",'Catalogue Aluminium'!$K$9,IF(T323="TRENCH",'Catalogue Aluminium'!$K$12,"NA"))</f>
        <v>0.89</v>
      </c>
      <c r="AJ323" s="299">
        <f>IF(T323="Air",(IF(U323="1C",'Catalogue Aluminium'!$L$9,'Catalogue Aluminium'!$M$9)),IF(T323="DUCT",(IF($U323="1C",'Catalogue Aluminium'!$L$10,'Catalogue Aluminium'!$M$10)),IF(T323="GROUND",(IF($U323="1C",'Catalogue Aluminium'!$L$11,'Catalogue Aluminium'!$M$11)),IF(T323="TRENCH",(IF($U323="1C",'Catalogue Aluminium'!$L$12,'Catalogue Aluminium'!$M$12))))))</f>
        <v>0.66</v>
      </c>
      <c r="AK323" s="300" t="str">
        <f>IF(T323="Air",'Catalogue Aluminium'!$N$9,IF(T323="GROUND",'Catalogue Aluminium'!$N$10,IF(T323="DUCT",'Catalogue Aluminium'!$N$11,IF(T323="TRENCH",'Catalogue Aluminium'!$N$12,"NA"))))</f>
        <v>NA</v>
      </c>
      <c r="AL323" s="300" t="str">
        <f>IF(T323="Air",(IF(U323="1C",'Catalogue Aluminium'!$O$9,'Catalogue Aluminium'!$P$9)),IF(T323="DUCT",(IF($U323="1C",'Catalogue Aluminium'!$O$10,'Catalogue Aluminium'!$P$10)),IF(T323="GROUND",(IF($U323="1C",'Catalogue Aluminium'!$O$11,'Catalogue Aluminium'!$P$11)),IF(T323="TRENCH",(IF($U323="1C",'Catalogue Aluminium'!$O$12,'Catalogue Aluminium'!$P$12))))))</f>
        <v>NA</v>
      </c>
      <c r="AM323" s="300" t="str">
        <f>IF(T323="AIR","NA",IF(T323="TRENCH","NA",IF(T323="DUCT",IF(U323="1C",VLOOKUP(V323,'Catalogue Aluminium'!$Q$9:$S$28,2,FALSE),VLOOKUP(V323,'Catalogue Aluminium'!$Q$9:$S$28,3)),IF(T323="GROUND",IF(U323="1C",VLOOKUP(V323,'Catalogue Aluminium'!$Q$9:$S$28,2,FALSE),VLOOKUP(V323,'Catalogue Aluminium'!$Q$9:$S$28,3))))))</f>
        <v>NA</v>
      </c>
      <c r="AN323" s="422">
        <f t="shared" si="858"/>
        <v>0.58740000000000003</v>
      </c>
      <c r="AO323" s="421">
        <f t="shared" si="859"/>
        <v>82.823400000000007</v>
      </c>
      <c r="AP323" s="423">
        <f t="shared" si="860"/>
        <v>1</v>
      </c>
      <c r="AQ323" s="421" t="str">
        <f t="shared" si="861"/>
        <v>YES</v>
      </c>
      <c r="AR323" s="422">
        <f t="shared" si="862"/>
        <v>1.0798122486861237</v>
      </c>
      <c r="AS323" s="301" t="str">
        <f t="shared" si="863"/>
        <v>YES</v>
      </c>
      <c r="AT323" s="422" t="str">
        <f t="shared" si="864"/>
        <v>NA</v>
      </c>
      <c r="AU323" s="301" t="str">
        <f t="shared" si="865"/>
        <v>NA</v>
      </c>
      <c r="AV323" s="424" t="str">
        <f t="shared" si="866"/>
        <v>1R x 0.6/1kV x 3C x 50 Sqmm</v>
      </c>
      <c r="AW323" s="424" t="str">
        <f t="shared" si="867"/>
        <v>1R x 0.6/1kV x 3C x 50 Sqmm</v>
      </c>
      <c r="AX323" s="301">
        <f t="shared" si="868"/>
        <v>103</v>
      </c>
      <c r="AY323" s="575"/>
    </row>
    <row r="324" spans="1:51" s="576" customFormat="1" ht="27" customHeight="1">
      <c r="A324" s="298">
        <f t="shared" si="848"/>
        <v>209</v>
      </c>
      <c r="B324" s="301" t="s">
        <v>382</v>
      </c>
      <c r="C324" s="298" t="str">
        <f t="shared" si="767"/>
        <v>PDB-1</v>
      </c>
      <c r="D324" s="603" t="s">
        <v>1072</v>
      </c>
      <c r="E324" s="418" t="s">
        <v>463</v>
      </c>
      <c r="F324" s="420" t="s">
        <v>29</v>
      </c>
      <c r="G324" s="298" t="s">
        <v>298</v>
      </c>
      <c r="H324" s="421">
        <v>3.5</v>
      </c>
      <c r="I324" s="298" t="s">
        <v>299</v>
      </c>
      <c r="J324" s="298" t="s">
        <v>313</v>
      </c>
      <c r="K324" s="423">
        <v>230</v>
      </c>
      <c r="L324" s="301">
        <v>0.85</v>
      </c>
      <c r="M324" s="421">
        <v>0.95</v>
      </c>
      <c r="N324" s="299">
        <f t="shared" si="849"/>
        <v>18.845066630771303</v>
      </c>
      <c r="O324" s="299">
        <f t="shared" si="850"/>
        <v>0</v>
      </c>
      <c r="P324" s="301" t="str">
        <f t="shared" si="851"/>
        <v>0.00</v>
      </c>
      <c r="Q324" s="421">
        <v>50</v>
      </c>
      <c r="R324" s="421">
        <v>0</v>
      </c>
      <c r="S324" s="421">
        <f t="shared" si="852"/>
        <v>0</v>
      </c>
      <c r="T324" s="301" t="s">
        <v>131</v>
      </c>
      <c r="U324" s="421" t="s">
        <v>302</v>
      </c>
      <c r="V324" s="301">
        <v>50</v>
      </c>
      <c r="W324" s="301" t="str">
        <f t="shared" si="853"/>
        <v>3C X 50</v>
      </c>
      <c r="X324" s="301" t="str">
        <f t="shared" si="854"/>
        <v>3C X 50</v>
      </c>
      <c r="Y324" s="301" t="s">
        <v>314</v>
      </c>
      <c r="Z324" s="300">
        <f>IF(T324="AIR",VLOOKUP(W324,'Catalogue Aluminium'!$B$9:$G$91,2,FALSE),IF(T324="GROUND",VLOOKUP(W324,'Catalogue Aluminium'!$B$9:$G$91,3,FALSE),IF(T324="DUCT",VLOOKUP(W324,'Catalogue Aluminium'!$B$9:$G$91,4,FALSE),IF(T324="TRENCH",VLOOKUP(W324,'Catalogue Aluminium'!$B$9:$G$91,2,FALSE)))))</f>
        <v>141</v>
      </c>
      <c r="AA324" s="302">
        <f>VLOOKUP(W324,'Catalogue Aluminium'!$B$9:$G$91,5,FALSE)</f>
        <v>0.82</v>
      </c>
      <c r="AB324" s="302">
        <f>VLOOKUP(W324,'Catalogue Aluminium'!$B$9:$G$91,6,FALSE)</f>
        <v>7.9200000000000007E-2</v>
      </c>
      <c r="AC324" s="598">
        <f t="shared" si="797"/>
        <v>34</v>
      </c>
      <c r="AD324" s="298">
        <f t="shared" si="855"/>
        <v>41</v>
      </c>
      <c r="AE324" s="598">
        <v>10</v>
      </c>
      <c r="AF324" s="301">
        <v>8</v>
      </c>
      <c r="AG324" s="301">
        <f t="shared" si="856"/>
        <v>10</v>
      </c>
      <c r="AH324" s="574">
        <f t="shared" si="857"/>
        <v>103</v>
      </c>
      <c r="AI324" s="300">
        <f>IF(T324="AIR",'Catalogue Aluminium'!$K$9,IF(T324="TRENCH",'Catalogue Aluminium'!$K$12,"NA"))</f>
        <v>0.89</v>
      </c>
      <c r="AJ324" s="299">
        <f>IF(T324="Air",(IF(U324="1C",'Catalogue Aluminium'!$L$9,'Catalogue Aluminium'!$M$9)),IF(T324="DUCT",(IF($U324="1C",'Catalogue Aluminium'!$L$10,'Catalogue Aluminium'!$M$10)),IF(T324="GROUND",(IF($U324="1C",'Catalogue Aluminium'!$L$11,'Catalogue Aluminium'!$M$11)),IF(T324="TRENCH",(IF($U324="1C",'Catalogue Aluminium'!$L$12,'Catalogue Aluminium'!$M$12))))))</f>
        <v>0.66</v>
      </c>
      <c r="AK324" s="300" t="str">
        <f>IF(T324="Air",'Catalogue Aluminium'!$N$9,IF(T324="GROUND",'Catalogue Aluminium'!$N$10,IF(T324="DUCT",'Catalogue Aluminium'!$N$11,IF(T324="TRENCH",'Catalogue Aluminium'!$N$12,"NA"))))</f>
        <v>NA</v>
      </c>
      <c r="AL324" s="300" t="str">
        <f>IF(T324="Air",(IF(U324="1C",'Catalogue Aluminium'!$O$9,'Catalogue Aluminium'!$P$9)),IF(T324="DUCT",(IF($U324="1C",'Catalogue Aluminium'!$O$10,'Catalogue Aluminium'!$P$10)),IF(T324="GROUND",(IF($U324="1C",'Catalogue Aluminium'!$O$11,'Catalogue Aluminium'!$P$11)),IF(T324="TRENCH",(IF($U324="1C",'Catalogue Aluminium'!$O$12,'Catalogue Aluminium'!$P$12))))))</f>
        <v>NA</v>
      </c>
      <c r="AM324" s="300" t="str">
        <f>IF(T324="AIR","NA",IF(T324="TRENCH","NA",IF(T324="DUCT",IF(U324="1C",VLOOKUP(V324,'Catalogue Aluminium'!$Q$9:$S$28,2,FALSE),VLOOKUP(V324,'Catalogue Aluminium'!$Q$9:$S$28,3)),IF(T324="GROUND",IF(U324="1C",VLOOKUP(V324,'Catalogue Aluminium'!$Q$9:$S$28,2,FALSE),VLOOKUP(V324,'Catalogue Aluminium'!$Q$9:$S$28,3))))))</f>
        <v>NA</v>
      </c>
      <c r="AN324" s="422">
        <f t="shared" si="858"/>
        <v>0.58740000000000003</v>
      </c>
      <c r="AO324" s="421">
        <f t="shared" si="859"/>
        <v>82.823400000000007</v>
      </c>
      <c r="AP324" s="423">
        <f t="shared" si="860"/>
        <v>1</v>
      </c>
      <c r="AQ324" s="421" t="str">
        <f t="shared" si="861"/>
        <v>YES</v>
      </c>
      <c r="AR324" s="422">
        <f t="shared" si="862"/>
        <v>1.0798122486861237</v>
      </c>
      <c r="AS324" s="301" t="str">
        <f t="shared" si="863"/>
        <v>YES</v>
      </c>
      <c r="AT324" s="422" t="str">
        <f t="shared" si="864"/>
        <v>NA</v>
      </c>
      <c r="AU324" s="301" t="str">
        <f t="shared" si="865"/>
        <v>NA</v>
      </c>
      <c r="AV324" s="424" t="str">
        <f t="shared" si="866"/>
        <v>1R x 0.6/1kV x 3C x 50 Sqmm</v>
      </c>
      <c r="AW324" s="424" t="str">
        <f t="shared" si="867"/>
        <v>1R x 0.6/1kV x 3C x 50 Sqmm</v>
      </c>
      <c r="AX324" s="301">
        <f t="shared" si="868"/>
        <v>103</v>
      </c>
      <c r="AY324" s="575"/>
    </row>
    <row r="325" spans="1:51" s="576" customFormat="1" ht="27" customHeight="1">
      <c r="A325" s="298">
        <f t="shared" si="848"/>
        <v>210</v>
      </c>
      <c r="B325" s="301" t="s">
        <v>382</v>
      </c>
      <c r="C325" s="298" t="str">
        <f t="shared" si="767"/>
        <v>PDB-1</v>
      </c>
      <c r="D325" s="603" t="s">
        <v>1073</v>
      </c>
      <c r="E325" s="418" t="s">
        <v>463</v>
      </c>
      <c r="F325" s="420" t="s">
        <v>29</v>
      </c>
      <c r="G325" s="298" t="s">
        <v>298</v>
      </c>
      <c r="H325" s="421">
        <v>3.5</v>
      </c>
      <c r="I325" s="298" t="s">
        <v>299</v>
      </c>
      <c r="J325" s="298" t="s">
        <v>313</v>
      </c>
      <c r="K325" s="423">
        <v>230</v>
      </c>
      <c r="L325" s="301">
        <v>0.85</v>
      </c>
      <c r="M325" s="421">
        <v>0.95</v>
      </c>
      <c r="N325" s="299">
        <f t="shared" si="849"/>
        <v>18.845066630771303</v>
      </c>
      <c r="O325" s="299">
        <f t="shared" si="850"/>
        <v>0</v>
      </c>
      <c r="P325" s="301" t="str">
        <f t="shared" si="851"/>
        <v>0.00</v>
      </c>
      <c r="Q325" s="421">
        <v>50</v>
      </c>
      <c r="R325" s="421">
        <v>0</v>
      </c>
      <c r="S325" s="421">
        <f t="shared" si="852"/>
        <v>0</v>
      </c>
      <c r="T325" s="301" t="s">
        <v>131</v>
      </c>
      <c r="U325" s="421" t="s">
        <v>302</v>
      </c>
      <c r="V325" s="301">
        <v>50</v>
      </c>
      <c r="W325" s="301" t="str">
        <f t="shared" si="853"/>
        <v>3C X 50</v>
      </c>
      <c r="X325" s="301" t="str">
        <f t="shared" si="854"/>
        <v>3C X 50</v>
      </c>
      <c r="Y325" s="301" t="s">
        <v>314</v>
      </c>
      <c r="Z325" s="300">
        <f>IF(T325="AIR",VLOOKUP(W325,'Catalogue Aluminium'!$B$9:$G$91,2,FALSE),IF(T325="GROUND",VLOOKUP(W325,'Catalogue Aluminium'!$B$9:$G$91,3,FALSE),IF(T325="DUCT",VLOOKUP(W325,'Catalogue Aluminium'!$B$9:$G$91,4,FALSE),IF(T325="TRENCH",VLOOKUP(W325,'Catalogue Aluminium'!$B$9:$G$91,2,FALSE)))))</f>
        <v>141</v>
      </c>
      <c r="AA325" s="302">
        <f>VLOOKUP(W325,'Catalogue Aluminium'!$B$9:$G$91,5,FALSE)</f>
        <v>0.82</v>
      </c>
      <c r="AB325" s="302">
        <f>VLOOKUP(W325,'Catalogue Aluminium'!$B$9:$G$91,6,FALSE)</f>
        <v>7.9200000000000007E-2</v>
      </c>
      <c r="AC325" s="598">
        <f t="shared" si="797"/>
        <v>34</v>
      </c>
      <c r="AD325" s="298">
        <f t="shared" si="855"/>
        <v>41</v>
      </c>
      <c r="AE325" s="598">
        <v>10</v>
      </c>
      <c r="AF325" s="301">
        <v>8</v>
      </c>
      <c r="AG325" s="301">
        <f t="shared" si="856"/>
        <v>10</v>
      </c>
      <c r="AH325" s="574">
        <f t="shared" si="857"/>
        <v>103</v>
      </c>
      <c r="AI325" s="300">
        <f>IF(T325="AIR",'Catalogue Aluminium'!$K$9,IF(T325="TRENCH",'Catalogue Aluminium'!$K$12,"NA"))</f>
        <v>0.89</v>
      </c>
      <c r="AJ325" s="299">
        <f>IF(T325="Air",(IF(U325="1C",'Catalogue Aluminium'!$L$9,'Catalogue Aluminium'!$M$9)),IF(T325="DUCT",(IF($U325="1C",'Catalogue Aluminium'!$L$10,'Catalogue Aluminium'!$M$10)),IF(T325="GROUND",(IF($U325="1C",'Catalogue Aluminium'!$L$11,'Catalogue Aluminium'!$M$11)),IF(T325="TRENCH",(IF($U325="1C",'Catalogue Aluminium'!$L$12,'Catalogue Aluminium'!$M$12))))))</f>
        <v>0.66</v>
      </c>
      <c r="AK325" s="300" t="str">
        <f>IF(T325="Air",'Catalogue Aluminium'!$N$9,IF(T325="GROUND",'Catalogue Aluminium'!$N$10,IF(T325="DUCT",'Catalogue Aluminium'!$N$11,IF(T325="TRENCH",'Catalogue Aluminium'!$N$12,"NA"))))</f>
        <v>NA</v>
      </c>
      <c r="AL325" s="300" t="str">
        <f>IF(T325="Air",(IF(U325="1C",'Catalogue Aluminium'!$O$9,'Catalogue Aluminium'!$P$9)),IF(T325="DUCT",(IF($U325="1C",'Catalogue Aluminium'!$O$10,'Catalogue Aluminium'!$P$10)),IF(T325="GROUND",(IF($U325="1C",'Catalogue Aluminium'!$O$11,'Catalogue Aluminium'!$P$11)),IF(T325="TRENCH",(IF($U325="1C",'Catalogue Aluminium'!$O$12,'Catalogue Aluminium'!$P$12))))))</f>
        <v>NA</v>
      </c>
      <c r="AM325" s="300" t="str">
        <f>IF(T325="AIR","NA",IF(T325="TRENCH","NA",IF(T325="DUCT",IF(U325="1C",VLOOKUP(V325,'Catalogue Aluminium'!$Q$9:$S$28,2,FALSE),VLOOKUP(V325,'Catalogue Aluminium'!$Q$9:$S$28,3)),IF(T325="GROUND",IF(U325="1C",VLOOKUP(V325,'Catalogue Aluminium'!$Q$9:$S$28,2,FALSE),VLOOKUP(V325,'Catalogue Aluminium'!$Q$9:$S$28,3))))))</f>
        <v>NA</v>
      </c>
      <c r="AN325" s="422">
        <f t="shared" si="858"/>
        <v>0.58740000000000003</v>
      </c>
      <c r="AO325" s="421">
        <f t="shared" si="859"/>
        <v>82.823400000000007</v>
      </c>
      <c r="AP325" s="423">
        <f t="shared" si="860"/>
        <v>1</v>
      </c>
      <c r="AQ325" s="421" t="str">
        <f t="shared" si="861"/>
        <v>YES</v>
      </c>
      <c r="AR325" s="422">
        <f t="shared" si="862"/>
        <v>1.0798122486861237</v>
      </c>
      <c r="AS325" s="301" t="str">
        <f t="shared" si="863"/>
        <v>YES</v>
      </c>
      <c r="AT325" s="422" t="str">
        <f t="shared" si="864"/>
        <v>NA</v>
      </c>
      <c r="AU325" s="301" t="str">
        <f t="shared" si="865"/>
        <v>NA</v>
      </c>
      <c r="AV325" s="424" t="str">
        <f t="shared" si="866"/>
        <v>1R x 0.6/1kV x 3C x 50 Sqmm</v>
      </c>
      <c r="AW325" s="424" t="str">
        <f t="shared" si="867"/>
        <v>1R x 0.6/1kV x 3C x 50 Sqmm</v>
      </c>
      <c r="AX325" s="301">
        <f t="shared" si="868"/>
        <v>103</v>
      </c>
      <c r="AY325" s="575"/>
    </row>
    <row r="326" spans="1:51" s="576" customFormat="1" ht="27" customHeight="1">
      <c r="A326" s="298">
        <f t="shared" si="848"/>
        <v>207</v>
      </c>
      <c r="B326" s="301" t="s">
        <v>382</v>
      </c>
      <c r="C326" s="298" t="str">
        <f t="shared" si="767"/>
        <v>PDB-1</v>
      </c>
      <c r="D326" s="603" t="s">
        <v>1074</v>
      </c>
      <c r="E326" s="418" t="s">
        <v>463</v>
      </c>
      <c r="F326" s="420" t="s">
        <v>29</v>
      </c>
      <c r="G326" s="298" t="s">
        <v>298</v>
      </c>
      <c r="H326" s="421">
        <v>3.5</v>
      </c>
      <c r="I326" s="298" t="s">
        <v>299</v>
      </c>
      <c r="J326" s="298" t="s">
        <v>313</v>
      </c>
      <c r="K326" s="423">
        <v>230</v>
      </c>
      <c r="L326" s="301">
        <v>0.85</v>
      </c>
      <c r="M326" s="421">
        <v>0.95</v>
      </c>
      <c r="N326" s="299">
        <f t="shared" si="849"/>
        <v>18.845066630771303</v>
      </c>
      <c r="O326" s="299">
        <f t="shared" si="850"/>
        <v>0</v>
      </c>
      <c r="P326" s="301" t="str">
        <f t="shared" si="851"/>
        <v>0.00</v>
      </c>
      <c r="Q326" s="421">
        <v>50</v>
      </c>
      <c r="R326" s="421">
        <v>0</v>
      </c>
      <c r="S326" s="421">
        <f t="shared" si="852"/>
        <v>0</v>
      </c>
      <c r="T326" s="301" t="s">
        <v>131</v>
      </c>
      <c r="U326" s="421" t="s">
        <v>302</v>
      </c>
      <c r="V326" s="301">
        <v>50</v>
      </c>
      <c r="W326" s="301" t="str">
        <f t="shared" si="853"/>
        <v>3C X 50</v>
      </c>
      <c r="X326" s="301" t="str">
        <f t="shared" si="854"/>
        <v>3C X 50</v>
      </c>
      <c r="Y326" s="301" t="s">
        <v>314</v>
      </c>
      <c r="Z326" s="300">
        <f>IF(T326="AIR",VLOOKUP(W326,'Catalogue Aluminium'!$B$9:$G$91,2,FALSE),IF(T326="GROUND",VLOOKUP(W326,'Catalogue Aluminium'!$B$9:$G$91,3,FALSE),IF(T326="DUCT",VLOOKUP(W326,'Catalogue Aluminium'!$B$9:$G$91,4,FALSE),IF(T326="TRENCH",VLOOKUP(W326,'Catalogue Aluminium'!$B$9:$G$91,2,FALSE)))))</f>
        <v>141</v>
      </c>
      <c r="AA326" s="302">
        <f>VLOOKUP(W326,'Catalogue Aluminium'!$B$9:$G$91,5,FALSE)</f>
        <v>0.82</v>
      </c>
      <c r="AB326" s="302">
        <f>VLOOKUP(W326,'Catalogue Aluminium'!$B$9:$G$91,6,FALSE)</f>
        <v>7.9200000000000007E-2</v>
      </c>
      <c r="AC326" s="598">
        <f t="shared" si="797"/>
        <v>34</v>
      </c>
      <c r="AD326" s="298">
        <f t="shared" si="855"/>
        <v>41</v>
      </c>
      <c r="AE326" s="598">
        <v>10</v>
      </c>
      <c r="AF326" s="301">
        <v>8</v>
      </c>
      <c r="AG326" s="301">
        <f t="shared" si="856"/>
        <v>10</v>
      </c>
      <c r="AH326" s="574">
        <f t="shared" si="857"/>
        <v>103</v>
      </c>
      <c r="AI326" s="300">
        <f>IF(T326="AIR",'Catalogue Aluminium'!$K$9,IF(T326="TRENCH",'Catalogue Aluminium'!$K$12,"NA"))</f>
        <v>0.89</v>
      </c>
      <c r="AJ326" s="299">
        <f>IF(T326="Air",(IF(U326="1C",'Catalogue Aluminium'!$L$9,'Catalogue Aluminium'!$M$9)),IF(T326="DUCT",(IF($U326="1C",'Catalogue Aluminium'!$L$10,'Catalogue Aluminium'!$M$10)),IF(T326="GROUND",(IF($U326="1C",'Catalogue Aluminium'!$L$11,'Catalogue Aluminium'!$M$11)),IF(T326="TRENCH",(IF($U326="1C",'Catalogue Aluminium'!$L$12,'Catalogue Aluminium'!$M$12))))))</f>
        <v>0.66</v>
      </c>
      <c r="AK326" s="300" t="str">
        <f>IF(T326="Air",'Catalogue Aluminium'!$N$9,IF(T326="GROUND",'Catalogue Aluminium'!$N$10,IF(T326="DUCT",'Catalogue Aluminium'!$N$11,IF(T326="TRENCH",'Catalogue Aluminium'!$N$12,"NA"))))</f>
        <v>NA</v>
      </c>
      <c r="AL326" s="300" t="str">
        <f>IF(T326="Air",(IF(U326="1C",'Catalogue Aluminium'!$O$9,'Catalogue Aluminium'!$P$9)),IF(T326="DUCT",(IF($U326="1C",'Catalogue Aluminium'!$O$10,'Catalogue Aluminium'!$P$10)),IF(T326="GROUND",(IF($U326="1C",'Catalogue Aluminium'!$O$11,'Catalogue Aluminium'!$P$11)),IF(T326="TRENCH",(IF($U326="1C",'Catalogue Aluminium'!$O$12,'Catalogue Aluminium'!$P$12))))))</f>
        <v>NA</v>
      </c>
      <c r="AM326" s="300" t="str">
        <f>IF(T326="AIR","NA",IF(T326="TRENCH","NA",IF(T326="DUCT",IF(U326="1C",VLOOKUP(V326,'Catalogue Aluminium'!$Q$9:$S$28,2,FALSE),VLOOKUP(V326,'Catalogue Aluminium'!$Q$9:$S$28,3)),IF(T326="GROUND",IF(U326="1C",VLOOKUP(V326,'Catalogue Aluminium'!$Q$9:$S$28,2,FALSE),VLOOKUP(V326,'Catalogue Aluminium'!$Q$9:$S$28,3))))))</f>
        <v>NA</v>
      </c>
      <c r="AN326" s="422">
        <f t="shared" si="858"/>
        <v>0.58740000000000003</v>
      </c>
      <c r="AO326" s="421">
        <f t="shared" si="859"/>
        <v>82.823400000000007</v>
      </c>
      <c r="AP326" s="423">
        <f t="shared" si="860"/>
        <v>1</v>
      </c>
      <c r="AQ326" s="421" t="str">
        <f t="shared" si="861"/>
        <v>YES</v>
      </c>
      <c r="AR326" s="422">
        <f t="shared" si="862"/>
        <v>1.0798122486861237</v>
      </c>
      <c r="AS326" s="301" t="str">
        <f t="shared" si="863"/>
        <v>YES</v>
      </c>
      <c r="AT326" s="422" t="str">
        <f t="shared" si="864"/>
        <v>NA</v>
      </c>
      <c r="AU326" s="301" t="str">
        <f t="shared" si="865"/>
        <v>NA</v>
      </c>
      <c r="AV326" s="424" t="str">
        <f t="shared" si="866"/>
        <v>1R x 0.6/1kV x 3C x 50 Sqmm</v>
      </c>
      <c r="AW326" s="424" t="str">
        <f t="shared" si="867"/>
        <v>1R x 0.6/1kV x 3C x 50 Sqmm</v>
      </c>
      <c r="AX326" s="301">
        <f t="shared" si="868"/>
        <v>103</v>
      </c>
      <c r="AY326" s="575"/>
    </row>
    <row r="327" spans="1:51">
      <c r="A327" s="285">
        <f>1+A315</f>
        <v>209</v>
      </c>
      <c r="B327" s="294" t="s">
        <v>382</v>
      </c>
      <c r="C327" s="285" t="s">
        <v>596</v>
      </c>
      <c r="D327" s="315" t="s">
        <v>612</v>
      </c>
      <c r="E327" s="352" t="s">
        <v>463</v>
      </c>
      <c r="F327" s="411" t="s">
        <v>28</v>
      </c>
      <c r="G327" s="285" t="s">
        <v>298</v>
      </c>
      <c r="H327" s="256">
        <v>0.55000000000000004</v>
      </c>
      <c r="I327" s="285" t="s">
        <v>299</v>
      </c>
      <c r="J327" s="285" t="s">
        <v>300</v>
      </c>
      <c r="K327" s="309">
        <v>400</v>
      </c>
      <c r="L327" s="294">
        <v>0.85</v>
      </c>
      <c r="M327" s="304">
        <v>0.95</v>
      </c>
      <c r="N327" s="287">
        <f t="shared" si="768"/>
        <v>0.98313301253405228</v>
      </c>
      <c r="O327" s="287">
        <f t="shared" si="769"/>
        <v>0</v>
      </c>
      <c r="P327" s="294" t="str">
        <f t="shared" si="770"/>
        <v>0.00</v>
      </c>
      <c r="Q327" s="304">
        <v>50</v>
      </c>
      <c r="R327" s="304">
        <v>0</v>
      </c>
      <c r="S327" s="304">
        <f t="shared" si="771"/>
        <v>0</v>
      </c>
      <c r="T327" s="294" t="s">
        <v>131</v>
      </c>
      <c r="U327" s="304" t="s">
        <v>377</v>
      </c>
      <c r="V327" s="294">
        <v>4</v>
      </c>
      <c r="W327" s="294" t="str">
        <f t="shared" si="772"/>
        <v>4C X 4</v>
      </c>
      <c r="X327" s="294" t="str">
        <f t="shared" si="773"/>
        <v>4C X 4</v>
      </c>
      <c r="Y327" s="294" t="s">
        <v>314</v>
      </c>
      <c r="Z327" s="288">
        <f>IF(T327="AIR",VLOOKUP(W327,'Catalogue Aluminium'!$B$9:$G$91,2,FALSE),IF(T327="GROUND",VLOOKUP(W327,'Catalogue Aluminium'!$B$9:$G$91,3,FALSE),IF(T327="DUCT",VLOOKUP(W327,'Catalogue Aluminium'!$B$9:$G$91,4,FALSE),IF(T327="TRENCH",VLOOKUP(W327,'Catalogue Aluminium'!$B$9:$G$91,2,FALSE)))))</f>
        <v>38</v>
      </c>
      <c r="AA327" s="295">
        <f>VLOOKUP(W327,'Catalogue Aluminium'!$B$9:$G$91,5,FALSE)</f>
        <v>5.9</v>
      </c>
      <c r="AB327" s="295">
        <f>VLOOKUP(W327,'Catalogue Aluminium'!$B$9:$G$91,6,FALSE)</f>
        <v>9.4700000000000006E-2</v>
      </c>
      <c r="AC327" s="323">
        <f t="shared" si="797"/>
        <v>34</v>
      </c>
      <c r="AD327" s="285">
        <f>10</f>
        <v>10</v>
      </c>
      <c r="AE327" s="323">
        <v>10</v>
      </c>
      <c r="AF327" s="294">
        <v>8</v>
      </c>
      <c r="AG327" s="294">
        <f t="shared" si="774"/>
        <v>7</v>
      </c>
      <c r="AH327" s="311">
        <f t="shared" si="775"/>
        <v>69</v>
      </c>
      <c r="AI327" s="288">
        <f>IF(T327="AIR",'Catalogue Aluminium'!$K$9,IF(T327="TRENCH",'Catalogue Aluminium'!$K$12,"NA"))</f>
        <v>0.89</v>
      </c>
      <c r="AJ327" s="287">
        <f>IF(T327="Air",(IF(U327="1C",'Catalogue Aluminium'!$L$9,'Catalogue Aluminium'!$M$9)),IF(T327="DUCT",(IF($U327="1C",'Catalogue Aluminium'!$L$10,'Catalogue Aluminium'!$M$10)),IF(T327="GROUND",(IF($U327="1C",'Catalogue Aluminium'!$L$11,'Catalogue Aluminium'!$M$11)),IF(T327="TRENCH",(IF($U327="1C",'Catalogue Aluminium'!$L$12,'Catalogue Aluminium'!$M$12))))))</f>
        <v>0.66</v>
      </c>
      <c r="AK327" s="288" t="str">
        <f>IF(T327="Air",'Catalogue Aluminium'!$N$9,IF(T327="GROUND",'Catalogue Aluminium'!$N$10,IF(T327="DUCT",'Catalogue Aluminium'!$N$11,IF(T327="TRENCH",'Catalogue Aluminium'!$N$12,"NA"))))</f>
        <v>NA</v>
      </c>
      <c r="AL327" s="288" t="str">
        <f>IF(T327="Air",(IF(U327="1C",'Catalogue Aluminium'!$O$9,'Catalogue Aluminium'!$P$9)),IF(T327="DUCT",(IF($U327="1C",'Catalogue Aluminium'!$O$10,'Catalogue Aluminium'!$P$10)),IF(T327="GROUND",(IF($U327="1C",'Catalogue Aluminium'!$O$11,'Catalogue Aluminium'!$P$11)),IF(T327="TRENCH",(IF($U327="1C",'Catalogue Aluminium'!$O$12,'Catalogue Aluminium'!$P$12))))))</f>
        <v>NA</v>
      </c>
      <c r="AM327" s="288" t="str">
        <f>IF(T327="AIR","NA",IF(T327="TRENCH","NA",IF(T327="DUCT",IF(U327="1C",VLOOKUP(V327,'Catalogue Aluminium'!$Q$9:$S$28,2,FALSE),VLOOKUP(V327,'Catalogue Aluminium'!$Q$9:$S$28,3)),IF(T327="GROUND",IF(U327="1C",VLOOKUP(V327,'Catalogue Aluminium'!$Q$9:$S$28,2,FALSE),VLOOKUP(V327,'Catalogue Aluminium'!$Q$9:$S$28,3))))))</f>
        <v>NA</v>
      </c>
      <c r="AN327" s="312">
        <f t="shared" si="776"/>
        <v>0.58740000000000003</v>
      </c>
      <c r="AO327" s="304">
        <f t="shared" si="777"/>
        <v>22.321200000000001</v>
      </c>
      <c r="AP327" s="309">
        <f t="shared" si="778"/>
        <v>1</v>
      </c>
      <c r="AQ327" s="304" t="str">
        <f t="shared" si="779"/>
        <v>YES</v>
      </c>
      <c r="AR327" s="312">
        <f t="shared" si="780"/>
        <v>0.14877559933689716</v>
      </c>
      <c r="AS327" s="294" t="str">
        <f t="shared" si="781"/>
        <v>YES</v>
      </c>
      <c r="AT327" s="312" t="str">
        <f t="shared" si="782"/>
        <v>NA</v>
      </c>
      <c r="AU327" s="294" t="str">
        <f t="shared" si="783"/>
        <v>NA</v>
      </c>
      <c r="AV327" s="353" t="str">
        <f t="shared" si="784"/>
        <v>1R x 0.6/1kV x 4C x 4 Sqmm</v>
      </c>
      <c r="AW327" s="353" t="str">
        <f t="shared" si="785"/>
        <v>1R x 0.6/1kV x 4C x 4 Sqmm</v>
      </c>
      <c r="AX327" s="294">
        <f t="shared" ref="AX327:AX339" si="869">(IF(K327=400,(IF(U327="1C",(4*AH327*AP327),(AH327*AP327))),IF(K327=230,(AH327*AP327))))</f>
        <v>69</v>
      </c>
      <c r="AY327" s="354"/>
    </row>
    <row r="328" spans="1:51">
      <c r="A328" s="285">
        <f t="shared" si="829"/>
        <v>210</v>
      </c>
      <c r="B328" s="294" t="s">
        <v>382</v>
      </c>
      <c r="C328" s="285" t="s">
        <v>596</v>
      </c>
      <c r="D328" s="315" t="s">
        <v>613</v>
      </c>
      <c r="E328" s="352" t="s">
        <v>463</v>
      </c>
      <c r="F328" s="411" t="s">
        <v>28</v>
      </c>
      <c r="G328" s="285" t="s">
        <v>298</v>
      </c>
      <c r="H328" s="256">
        <v>0.55000000000000004</v>
      </c>
      <c r="I328" s="285" t="s">
        <v>299</v>
      </c>
      <c r="J328" s="285" t="s">
        <v>300</v>
      </c>
      <c r="K328" s="309">
        <v>400</v>
      </c>
      <c r="L328" s="294">
        <v>0.85</v>
      </c>
      <c r="M328" s="304">
        <v>0.95</v>
      </c>
      <c r="N328" s="287">
        <f t="shared" si="768"/>
        <v>0.98313301253405228</v>
      </c>
      <c r="O328" s="287">
        <f t="shared" si="769"/>
        <v>0</v>
      </c>
      <c r="P328" s="294" t="str">
        <f t="shared" si="770"/>
        <v>0.00</v>
      </c>
      <c r="Q328" s="304">
        <v>50</v>
      </c>
      <c r="R328" s="304">
        <v>0</v>
      </c>
      <c r="S328" s="304">
        <f t="shared" si="771"/>
        <v>0</v>
      </c>
      <c r="T328" s="294" t="s">
        <v>131</v>
      </c>
      <c r="U328" s="304" t="s">
        <v>377</v>
      </c>
      <c r="V328" s="294">
        <v>4</v>
      </c>
      <c r="W328" s="294" t="str">
        <f t="shared" si="772"/>
        <v>4C X 4</v>
      </c>
      <c r="X328" s="294" t="str">
        <f t="shared" si="773"/>
        <v>4C X 4</v>
      </c>
      <c r="Y328" s="294" t="s">
        <v>314</v>
      </c>
      <c r="Z328" s="288">
        <f>IF(T328="AIR",VLOOKUP(W328,'Catalogue Aluminium'!$B$9:$G$91,2,FALSE),IF(T328="GROUND",VLOOKUP(W328,'Catalogue Aluminium'!$B$9:$G$91,3,FALSE),IF(T328="DUCT",VLOOKUP(W328,'Catalogue Aluminium'!$B$9:$G$91,4,FALSE),IF(T328="TRENCH",VLOOKUP(W328,'Catalogue Aluminium'!$B$9:$G$91,2,FALSE)))))</f>
        <v>38</v>
      </c>
      <c r="AA328" s="295">
        <f>VLOOKUP(W328,'Catalogue Aluminium'!$B$9:$G$91,5,FALSE)</f>
        <v>5.9</v>
      </c>
      <c r="AB328" s="295">
        <f>VLOOKUP(W328,'Catalogue Aluminium'!$B$9:$G$91,6,FALSE)</f>
        <v>9.4700000000000006E-2</v>
      </c>
      <c r="AC328" s="323">
        <f t="shared" si="797"/>
        <v>34</v>
      </c>
      <c r="AD328" s="285">
        <f>10</f>
        <v>10</v>
      </c>
      <c r="AE328" s="323">
        <v>10</v>
      </c>
      <c r="AF328" s="294">
        <v>8</v>
      </c>
      <c r="AG328" s="294">
        <f t="shared" si="774"/>
        <v>7</v>
      </c>
      <c r="AH328" s="311">
        <f t="shared" si="775"/>
        <v>69</v>
      </c>
      <c r="AI328" s="288">
        <f>IF(T328="AIR",'Catalogue Aluminium'!$K$9,IF(T328="TRENCH",'Catalogue Aluminium'!$K$12,"NA"))</f>
        <v>0.89</v>
      </c>
      <c r="AJ328" s="287">
        <f>IF(T328="Air",(IF(U328="1C",'Catalogue Aluminium'!$L$9,'Catalogue Aluminium'!$M$9)),IF(T328="DUCT",(IF($U328="1C",'Catalogue Aluminium'!$L$10,'Catalogue Aluminium'!$M$10)),IF(T328="GROUND",(IF($U328="1C",'Catalogue Aluminium'!$L$11,'Catalogue Aluminium'!$M$11)),IF(T328="TRENCH",(IF($U328="1C",'Catalogue Aluminium'!$L$12,'Catalogue Aluminium'!$M$12))))))</f>
        <v>0.66</v>
      </c>
      <c r="AK328" s="288" t="str">
        <f>IF(T328="Air",'Catalogue Aluminium'!$N$9,IF(T328="GROUND",'Catalogue Aluminium'!$N$10,IF(T328="DUCT",'Catalogue Aluminium'!$N$11,IF(T328="TRENCH",'Catalogue Aluminium'!$N$12,"NA"))))</f>
        <v>NA</v>
      </c>
      <c r="AL328" s="288" t="str">
        <f>IF(T328="Air",(IF(U328="1C",'Catalogue Aluminium'!$O$9,'Catalogue Aluminium'!$P$9)),IF(T328="DUCT",(IF($U328="1C",'Catalogue Aluminium'!$O$10,'Catalogue Aluminium'!$P$10)),IF(T328="GROUND",(IF($U328="1C",'Catalogue Aluminium'!$O$11,'Catalogue Aluminium'!$P$11)),IF(T328="TRENCH",(IF($U328="1C",'Catalogue Aluminium'!$O$12,'Catalogue Aluminium'!$P$12))))))</f>
        <v>NA</v>
      </c>
      <c r="AM328" s="288" t="str">
        <f>IF(T328="AIR","NA",IF(T328="TRENCH","NA",IF(T328="DUCT",IF(U328="1C",VLOOKUP(V328,'Catalogue Aluminium'!$Q$9:$S$28,2,FALSE),VLOOKUP(V328,'Catalogue Aluminium'!$Q$9:$S$28,3)),IF(T328="GROUND",IF(U328="1C",VLOOKUP(V328,'Catalogue Aluminium'!$Q$9:$S$28,2,FALSE),VLOOKUP(V328,'Catalogue Aluminium'!$Q$9:$S$28,3))))))</f>
        <v>NA</v>
      </c>
      <c r="AN328" s="312">
        <f t="shared" si="776"/>
        <v>0.58740000000000003</v>
      </c>
      <c r="AO328" s="304">
        <f t="shared" si="777"/>
        <v>22.321200000000001</v>
      </c>
      <c r="AP328" s="309">
        <f t="shared" si="778"/>
        <v>1</v>
      </c>
      <c r="AQ328" s="304" t="str">
        <f t="shared" si="779"/>
        <v>YES</v>
      </c>
      <c r="AR328" s="312">
        <f t="shared" si="780"/>
        <v>0.14877559933689716</v>
      </c>
      <c r="AS328" s="294" t="str">
        <f t="shared" si="781"/>
        <v>YES</v>
      </c>
      <c r="AT328" s="312" t="str">
        <f t="shared" si="782"/>
        <v>NA</v>
      </c>
      <c r="AU328" s="294" t="str">
        <f t="shared" si="783"/>
        <v>NA</v>
      </c>
      <c r="AV328" s="353" t="str">
        <f t="shared" si="784"/>
        <v>1R x 0.6/1kV x 4C x 4 Sqmm</v>
      </c>
      <c r="AW328" s="353" t="str">
        <f t="shared" si="785"/>
        <v>1R x 0.6/1kV x 4C x 4 Sqmm</v>
      </c>
      <c r="AX328" s="294">
        <f t="shared" si="869"/>
        <v>69</v>
      </c>
      <c r="AY328" s="354"/>
    </row>
    <row r="329" spans="1:51">
      <c r="A329" s="285">
        <f t="shared" si="829"/>
        <v>211</v>
      </c>
      <c r="B329" s="294" t="s">
        <v>382</v>
      </c>
      <c r="C329" s="285" t="s">
        <v>596</v>
      </c>
      <c r="D329" s="315" t="s">
        <v>614</v>
      </c>
      <c r="E329" s="352" t="s">
        <v>463</v>
      </c>
      <c r="F329" s="411" t="s">
        <v>28</v>
      </c>
      <c r="G329" s="285" t="s">
        <v>298</v>
      </c>
      <c r="H329" s="421">
        <v>10</v>
      </c>
      <c r="I329" s="285" t="s">
        <v>299</v>
      </c>
      <c r="J329" s="285" t="s">
        <v>300</v>
      </c>
      <c r="K329" s="309">
        <v>400</v>
      </c>
      <c r="L329" s="294">
        <v>0.85</v>
      </c>
      <c r="M329" s="304">
        <v>0.95</v>
      </c>
      <c r="N329" s="287">
        <f t="shared" si="768"/>
        <v>17.875145682437314</v>
      </c>
      <c r="O329" s="287">
        <f t="shared" si="769"/>
        <v>0</v>
      </c>
      <c r="P329" s="294" t="str">
        <f t="shared" si="770"/>
        <v>0.00</v>
      </c>
      <c r="Q329" s="304">
        <v>50</v>
      </c>
      <c r="R329" s="304">
        <v>0</v>
      </c>
      <c r="S329" s="304">
        <f t="shared" si="771"/>
        <v>0</v>
      </c>
      <c r="T329" s="294" t="s">
        <v>131</v>
      </c>
      <c r="U329" s="304" t="s">
        <v>377</v>
      </c>
      <c r="V329" s="294">
        <v>6</v>
      </c>
      <c r="W329" s="294" t="str">
        <f t="shared" si="772"/>
        <v>4C X 6</v>
      </c>
      <c r="X329" s="294" t="str">
        <f t="shared" si="773"/>
        <v>4C X 6</v>
      </c>
      <c r="Y329" s="294" t="s">
        <v>314</v>
      </c>
      <c r="Z329" s="288">
        <f>IF(T329="AIR",VLOOKUP(W329,'Catalogue Aluminium'!$B$9:$G$91,2,FALSE),IF(T329="GROUND",VLOOKUP(W329,'Catalogue Aluminium'!$B$9:$G$91,3,FALSE),IF(T329="DUCT",VLOOKUP(W329,'Catalogue Aluminium'!$B$9:$G$91,4,FALSE),IF(T329="TRENCH",VLOOKUP(W329,'Catalogue Aluminium'!$B$9:$G$91,2,FALSE)))))</f>
        <v>51</v>
      </c>
      <c r="AA329" s="295">
        <f>VLOOKUP(W329,'Catalogue Aluminium'!$B$9:$G$91,5,FALSE)</f>
        <v>3.94</v>
      </c>
      <c r="AB329" s="295">
        <f>VLOOKUP(W329,'Catalogue Aluminium'!$B$9:$G$91,6,FALSE)</f>
        <v>9.0200000000000002E-2</v>
      </c>
      <c r="AC329" s="323">
        <f t="shared" si="797"/>
        <v>34</v>
      </c>
      <c r="AD329" s="285">
        <f>10</f>
        <v>10</v>
      </c>
      <c r="AE329" s="323">
        <v>10</v>
      </c>
      <c r="AF329" s="294">
        <v>8</v>
      </c>
      <c r="AG329" s="294">
        <f t="shared" si="774"/>
        <v>7</v>
      </c>
      <c r="AH329" s="311">
        <f t="shared" si="775"/>
        <v>69</v>
      </c>
      <c r="AI329" s="288">
        <f>IF(T329="AIR",'Catalogue Aluminium'!$K$9,IF(T329="TRENCH",'Catalogue Aluminium'!$K$12,"NA"))</f>
        <v>0.89</v>
      </c>
      <c r="AJ329" s="287">
        <f>IF(T329="Air",(IF(U329="1C",'Catalogue Aluminium'!$L$9,'Catalogue Aluminium'!$M$9)),IF(T329="DUCT",(IF($U329="1C",'Catalogue Aluminium'!$L$10,'Catalogue Aluminium'!$M$10)),IF(T329="GROUND",(IF($U329="1C",'Catalogue Aluminium'!$L$11,'Catalogue Aluminium'!$M$11)),IF(T329="TRENCH",(IF($U329="1C",'Catalogue Aluminium'!$L$12,'Catalogue Aluminium'!$M$12))))))</f>
        <v>0.66</v>
      </c>
      <c r="AK329" s="288" t="str">
        <f>IF(T329="Air",'Catalogue Aluminium'!$N$9,IF(T329="GROUND",'Catalogue Aluminium'!$N$10,IF(T329="DUCT",'Catalogue Aluminium'!$N$11,IF(T329="TRENCH",'Catalogue Aluminium'!$N$12,"NA"))))</f>
        <v>NA</v>
      </c>
      <c r="AL329" s="288" t="str">
        <f>IF(T329="Air",(IF(U329="1C",'Catalogue Aluminium'!$O$9,'Catalogue Aluminium'!$P$9)),IF(T329="DUCT",(IF($U329="1C",'Catalogue Aluminium'!$O$10,'Catalogue Aluminium'!$P$10)),IF(T329="GROUND",(IF($U329="1C",'Catalogue Aluminium'!$O$11,'Catalogue Aluminium'!$P$11)),IF(T329="TRENCH",(IF($U329="1C",'Catalogue Aluminium'!$O$12,'Catalogue Aluminium'!$P$12))))))</f>
        <v>NA</v>
      </c>
      <c r="AM329" s="288" t="str">
        <f>IF(T329="AIR","NA",IF(T329="TRENCH","NA",IF(T329="DUCT",IF(U329="1C",VLOOKUP(V329,'Catalogue Aluminium'!$Q$9:$S$28,2,FALSE),VLOOKUP(V329,'Catalogue Aluminium'!$Q$9:$S$28,3)),IF(T329="GROUND",IF(U329="1C",VLOOKUP(V329,'Catalogue Aluminium'!$Q$9:$S$28,2,FALSE),VLOOKUP(V329,'Catalogue Aluminium'!$Q$9:$S$28,3))))))</f>
        <v>NA</v>
      </c>
      <c r="AN329" s="312">
        <f t="shared" si="776"/>
        <v>0.58740000000000003</v>
      </c>
      <c r="AO329" s="304">
        <f t="shared" si="777"/>
        <v>29.957400000000003</v>
      </c>
      <c r="AP329" s="309">
        <f t="shared" si="778"/>
        <v>1</v>
      </c>
      <c r="AQ329" s="304" t="str">
        <f t="shared" si="779"/>
        <v>YES</v>
      </c>
      <c r="AR329" s="312">
        <f t="shared" si="780"/>
        <v>1.8139819267942812</v>
      </c>
      <c r="AS329" s="294" t="str">
        <f t="shared" si="781"/>
        <v>YES</v>
      </c>
      <c r="AT329" s="312" t="str">
        <f t="shared" si="782"/>
        <v>NA</v>
      </c>
      <c r="AU329" s="294" t="str">
        <f t="shared" si="783"/>
        <v>NA</v>
      </c>
      <c r="AV329" s="353" t="str">
        <f t="shared" si="784"/>
        <v>1R x 0.6/1kV x 4C x 6 Sqmm</v>
      </c>
      <c r="AW329" s="353" t="str">
        <f t="shared" si="785"/>
        <v>1R x 0.6/1kV x 4C x 6 Sqmm</v>
      </c>
      <c r="AX329" s="294">
        <f t="shared" si="869"/>
        <v>69</v>
      </c>
      <c r="AY329" s="354"/>
    </row>
    <row r="330" spans="1:51">
      <c r="A330" s="285">
        <f t="shared" si="829"/>
        <v>212</v>
      </c>
      <c r="B330" s="294" t="s">
        <v>382</v>
      </c>
      <c r="C330" s="285" t="s">
        <v>596</v>
      </c>
      <c r="D330" s="315" t="s">
        <v>615</v>
      </c>
      <c r="E330" s="352" t="s">
        <v>463</v>
      </c>
      <c r="F330" s="411" t="s">
        <v>28</v>
      </c>
      <c r="G330" s="285" t="s">
        <v>298</v>
      </c>
      <c r="H330" s="421">
        <v>10</v>
      </c>
      <c r="I330" s="285" t="s">
        <v>299</v>
      </c>
      <c r="J330" s="285" t="s">
        <v>300</v>
      </c>
      <c r="K330" s="309">
        <v>400</v>
      </c>
      <c r="L330" s="294">
        <v>0.85</v>
      </c>
      <c r="M330" s="304">
        <v>0.95</v>
      </c>
      <c r="N330" s="287">
        <f t="shared" si="768"/>
        <v>17.875145682437314</v>
      </c>
      <c r="O330" s="287">
        <f t="shared" si="769"/>
        <v>0</v>
      </c>
      <c r="P330" s="294" t="str">
        <f t="shared" si="770"/>
        <v>0.00</v>
      </c>
      <c r="Q330" s="304">
        <v>50</v>
      </c>
      <c r="R330" s="304">
        <v>0</v>
      </c>
      <c r="S330" s="304">
        <f t="shared" si="771"/>
        <v>0</v>
      </c>
      <c r="T330" s="294" t="s">
        <v>131</v>
      </c>
      <c r="U330" s="304" t="s">
        <v>377</v>
      </c>
      <c r="V330" s="294">
        <v>6</v>
      </c>
      <c r="W330" s="294" t="str">
        <f t="shared" si="772"/>
        <v>4C X 6</v>
      </c>
      <c r="X330" s="294" t="str">
        <f t="shared" si="773"/>
        <v>4C X 6</v>
      </c>
      <c r="Y330" s="294" t="s">
        <v>314</v>
      </c>
      <c r="Z330" s="288">
        <f>IF(T330="AIR",VLOOKUP(W330,'Catalogue Aluminium'!$B$9:$G$91,2,FALSE),IF(T330="GROUND",VLOOKUP(W330,'Catalogue Aluminium'!$B$9:$G$91,3,FALSE),IF(T330="DUCT",VLOOKUP(W330,'Catalogue Aluminium'!$B$9:$G$91,4,FALSE),IF(T330="TRENCH",VLOOKUP(W330,'Catalogue Aluminium'!$B$9:$G$91,2,FALSE)))))</f>
        <v>51</v>
      </c>
      <c r="AA330" s="295">
        <f>VLOOKUP(W330,'Catalogue Aluminium'!$B$9:$G$91,5,FALSE)</f>
        <v>3.94</v>
      </c>
      <c r="AB330" s="295">
        <f>VLOOKUP(W330,'Catalogue Aluminium'!$B$9:$G$91,6,FALSE)</f>
        <v>9.0200000000000002E-2</v>
      </c>
      <c r="AC330" s="323">
        <f t="shared" si="797"/>
        <v>34</v>
      </c>
      <c r="AD330" s="285">
        <f>10</f>
        <v>10</v>
      </c>
      <c r="AE330" s="323">
        <v>10</v>
      </c>
      <c r="AF330" s="294">
        <v>8</v>
      </c>
      <c r="AG330" s="294">
        <f t="shared" si="774"/>
        <v>7</v>
      </c>
      <c r="AH330" s="311">
        <f t="shared" si="775"/>
        <v>69</v>
      </c>
      <c r="AI330" s="288">
        <f>IF(T330="AIR",'Catalogue Aluminium'!$K$9,IF(T330="TRENCH",'Catalogue Aluminium'!$K$12,"NA"))</f>
        <v>0.89</v>
      </c>
      <c r="AJ330" s="287">
        <f>IF(T330="Air",(IF(U330="1C",'Catalogue Aluminium'!$L$9,'Catalogue Aluminium'!$M$9)),IF(T330="DUCT",(IF($U330="1C",'Catalogue Aluminium'!$L$10,'Catalogue Aluminium'!$M$10)),IF(T330="GROUND",(IF($U330="1C",'Catalogue Aluminium'!$L$11,'Catalogue Aluminium'!$M$11)),IF(T330="TRENCH",(IF($U330="1C",'Catalogue Aluminium'!$L$12,'Catalogue Aluminium'!$M$12))))))</f>
        <v>0.66</v>
      </c>
      <c r="AK330" s="288" t="str">
        <f>IF(T330="Air",'Catalogue Aluminium'!$N$9,IF(T330="GROUND",'Catalogue Aluminium'!$N$10,IF(T330="DUCT",'Catalogue Aluminium'!$N$11,IF(T330="TRENCH",'Catalogue Aluminium'!$N$12,"NA"))))</f>
        <v>NA</v>
      </c>
      <c r="AL330" s="288" t="str">
        <f>IF(T330="Air",(IF(U330="1C",'Catalogue Aluminium'!$O$9,'Catalogue Aluminium'!$P$9)),IF(T330="DUCT",(IF($U330="1C",'Catalogue Aluminium'!$O$10,'Catalogue Aluminium'!$P$10)),IF(T330="GROUND",(IF($U330="1C",'Catalogue Aluminium'!$O$11,'Catalogue Aluminium'!$P$11)),IF(T330="TRENCH",(IF($U330="1C",'Catalogue Aluminium'!$O$12,'Catalogue Aluminium'!$P$12))))))</f>
        <v>NA</v>
      </c>
      <c r="AM330" s="288" t="str">
        <f>IF(T330="AIR","NA",IF(T330="TRENCH","NA",IF(T330="DUCT",IF(U330="1C",VLOOKUP(V330,'Catalogue Aluminium'!$Q$9:$S$28,2,FALSE),VLOOKUP(V330,'Catalogue Aluminium'!$Q$9:$S$28,3)),IF(T330="GROUND",IF(U330="1C",VLOOKUP(V330,'Catalogue Aluminium'!$Q$9:$S$28,2,FALSE),VLOOKUP(V330,'Catalogue Aluminium'!$Q$9:$S$28,3))))))</f>
        <v>NA</v>
      </c>
      <c r="AN330" s="312">
        <f t="shared" si="776"/>
        <v>0.58740000000000003</v>
      </c>
      <c r="AO330" s="304">
        <f t="shared" si="777"/>
        <v>29.957400000000003</v>
      </c>
      <c r="AP330" s="309">
        <f t="shared" si="778"/>
        <v>1</v>
      </c>
      <c r="AQ330" s="304" t="str">
        <f t="shared" si="779"/>
        <v>YES</v>
      </c>
      <c r="AR330" s="312">
        <f t="shared" si="780"/>
        <v>1.8139819267942812</v>
      </c>
      <c r="AS330" s="294" t="str">
        <f t="shared" si="781"/>
        <v>YES</v>
      </c>
      <c r="AT330" s="312" t="str">
        <f t="shared" si="782"/>
        <v>NA</v>
      </c>
      <c r="AU330" s="294" t="str">
        <f t="shared" si="783"/>
        <v>NA</v>
      </c>
      <c r="AV330" s="353" t="str">
        <f t="shared" si="784"/>
        <v>1R x 0.6/1kV x 4C x 6 Sqmm</v>
      </c>
      <c r="AW330" s="353" t="str">
        <f t="shared" si="785"/>
        <v>1R x 0.6/1kV x 4C x 6 Sqmm</v>
      </c>
      <c r="AX330" s="294">
        <f t="shared" si="869"/>
        <v>69</v>
      </c>
      <c r="AY330" s="354"/>
    </row>
    <row r="331" spans="1:51">
      <c r="A331" s="285">
        <f t="shared" si="829"/>
        <v>213</v>
      </c>
      <c r="B331" s="294" t="s">
        <v>382</v>
      </c>
      <c r="C331" s="285" t="s">
        <v>596</v>
      </c>
      <c r="D331" s="315" t="s">
        <v>616</v>
      </c>
      <c r="E331" s="352" t="s">
        <v>463</v>
      </c>
      <c r="F331" s="411" t="s">
        <v>28</v>
      </c>
      <c r="G331" s="285" t="s">
        <v>298</v>
      </c>
      <c r="H331" s="421">
        <v>10</v>
      </c>
      <c r="I331" s="285" t="s">
        <v>299</v>
      </c>
      <c r="J331" s="285" t="s">
        <v>300</v>
      </c>
      <c r="K331" s="309">
        <v>400</v>
      </c>
      <c r="L331" s="294">
        <v>0.85</v>
      </c>
      <c r="M331" s="304">
        <v>0.95</v>
      </c>
      <c r="N331" s="287">
        <f t="shared" si="768"/>
        <v>17.875145682437314</v>
      </c>
      <c r="O331" s="287">
        <f t="shared" si="769"/>
        <v>0</v>
      </c>
      <c r="P331" s="294" t="str">
        <f t="shared" si="770"/>
        <v>0.00</v>
      </c>
      <c r="Q331" s="304">
        <v>50</v>
      </c>
      <c r="R331" s="304">
        <v>0</v>
      </c>
      <c r="S331" s="304">
        <f t="shared" si="771"/>
        <v>0</v>
      </c>
      <c r="T331" s="294" t="s">
        <v>131</v>
      </c>
      <c r="U331" s="304" t="s">
        <v>377</v>
      </c>
      <c r="V331" s="294">
        <v>6</v>
      </c>
      <c r="W331" s="294" t="str">
        <f t="shared" si="772"/>
        <v>4C X 6</v>
      </c>
      <c r="X331" s="294" t="str">
        <f t="shared" si="773"/>
        <v>4C X 6</v>
      </c>
      <c r="Y331" s="294" t="s">
        <v>314</v>
      </c>
      <c r="Z331" s="288">
        <f>IF(T331="AIR",VLOOKUP(W331,'Catalogue Aluminium'!$B$9:$G$91,2,FALSE),IF(T331="GROUND",VLOOKUP(W331,'Catalogue Aluminium'!$B$9:$G$91,3,FALSE),IF(T331="DUCT",VLOOKUP(W331,'Catalogue Aluminium'!$B$9:$G$91,4,FALSE),IF(T331="TRENCH",VLOOKUP(W331,'Catalogue Aluminium'!$B$9:$G$91,2,FALSE)))))</f>
        <v>51</v>
      </c>
      <c r="AA331" s="295">
        <f>VLOOKUP(W331,'Catalogue Aluminium'!$B$9:$G$91,5,FALSE)</f>
        <v>3.94</v>
      </c>
      <c r="AB331" s="295">
        <f>VLOOKUP(W331,'Catalogue Aluminium'!$B$9:$G$91,6,FALSE)</f>
        <v>9.0200000000000002E-2</v>
      </c>
      <c r="AC331" s="323">
        <f t="shared" si="797"/>
        <v>34</v>
      </c>
      <c r="AD331" s="285">
        <f>10</f>
        <v>10</v>
      </c>
      <c r="AE331" s="323">
        <v>10</v>
      </c>
      <c r="AF331" s="294">
        <v>8</v>
      </c>
      <c r="AG331" s="294">
        <f t="shared" si="774"/>
        <v>7</v>
      </c>
      <c r="AH331" s="311">
        <f t="shared" si="775"/>
        <v>69</v>
      </c>
      <c r="AI331" s="288">
        <f>IF(T331="AIR",'Catalogue Aluminium'!$K$9,IF(T331="TRENCH",'Catalogue Aluminium'!$K$12,"NA"))</f>
        <v>0.89</v>
      </c>
      <c r="AJ331" s="287">
        <f>IF(T331="Air",(IF(U331="1C",'Catalogue Aluminium'!$L$9,'Catalogue Aluminium'!$M$9)),IF(T331="DUCT",(IF($U331="1C",'Catalogue Aluminium'!$L$10,'Catalogue Aluminium'!$M$10)),IF(T331="GROUND",(IF($U331="1C",'Catalogue Aluminium'!$L$11,'Catalogue Aluminium'!$M$11)),IF(T331="TRENCH",(IF($U331="1C",'Catalogue Aluminium'!$L$12,'Catalogue Aluminium'!$M$12))))))</f>
        <v>0.66</v>
      </c>
      <c r="AK331" s="288" t="str">
        <f>IF(T331="Air",'Catalogue Aluminium'!$N$9,IF(T331="GROUND",'Catalogue Aluminium'!$N$10,IF(T331="DUCT",'Catalogue Aluminium'!$N$11,IF(T331="TRENCH",'Catalogue Aluminium'!$N$12,"NA"))))</f>
        <v>NA</v>
      </c>
      <c r="AL331" s="288" t="str">
        <f>IF(T331="Air",(IF(U331="1C",'Catalogue Aluminium'!$O$9,'Catalogue Aluminium'!$P$9)),IF(T331="DUCT",(IF($U331="1C",'Catalogue Aluminium'!$O$10,'Catalogue Aluminium'!$P$10)),IF(T331="GROUND",(IF($U331="1C",'Catalogue Aluminium'!$O$11,'Catalogue Aluminium'!$P$11)),IF(T331="TRENCH",(IF($U331="1C",'Catalogue Aluminium'!$O$12,'Catalogue Aluminium'!$P$12))))))</f>
        <v>NA</v>
      </c>
      <c r="AM331" s="288" t="str">
        <f>IF(T331="AIR","NA",IF(T331="TRENCH","NA",IF(T331="DUCT",IF(U331="1C",VLOOKUP(V331,'Catalogue Aluminium'!$Q$9:$S$28,2,FALSE),VLOOKUP(V331,'Catalogue Aluminium'!$Q$9:$S$28,3)),IF(T331="GROUND",IF(U331="1C",VLOOKUP(V331,'Catalogue Aluminium'!$Q$9:$S$28,2,FALSE),VLOOKUP(V331,'Catalogue Aluminium'!$Q$9:$S$28,3))))))</f>
        <v>NA</v>
      </c>
      <c r="AN331" s="312">
        <f t="shared" si="776"/>
        <v>0.58740000000000003</v>
      </c>
      <c r="AO331" s="304">
        <f t="shared" si="777"/>
        <v>29.957400000000003</v>
      </c>
      <c r="AP331" s="309">
        <f t="shared" si="778"/>
        <v>1</v>
      </c>
      <c r="AQ331" s="304" t="str">
        <f t="shared" si="779"/>
        <v>YES</v>
      </c>
      <c r="AR331" s="312">
        <f t="shared" si="780"/>
        <v>1.8139819267942812</v>
      </c>
      <c r="AS331" s="294" t="str">
        <f t="shared" si="781"/>
        <v>YES</v>
      </c>
      <c r="AT331" s="312" t="str">
        <f t="shared" si="782"/>
        <v>NA</v>
      </c>
      <c r="AU331" s="294" t="str">
        <f t="shared" si="783"/>
        <v>NA</v>
      </c>
      <c r="AV331" s="353" t="str">
        <f t="shared" si="784"/>
        <v>1R x 0.6/1kV x 4C x 6 Sqmm</v>
      </c>
      <c r="AW331" s="353" t="str">
        <f t="shared" si="785"/>
        <v>1R x 0.6/1kV x 4C x 6 Sqmm</v>
      </c>
      <c r="AX331" s="294">
        <f t="shared" si="869"/>
        <v>69</v>
      </c>
      <c r="AY331" s="354"/>
    </row>
    <row r="332" spans="1:51">
      <c r="A332" s="285">
        <f t="shared" si="829"/>
        <v>214</v>
      </c>
      <c r="B332" s="294" t="s">
        <v>382</v>
      </c>
      <c r="C332" s="285" t="s">
        <v>596</v>
      </c>
      <c r="D332" s="315" t="s">
        <v>617</v>
      </c>
      <c r="E332" s="352" t="s">
        <v>463</v>
      </c>
      <c r="F332" s="411" t="s">
        <v>28</v>
      </c>
      <c r="G332" s="285" t="s">
        <v>298</v>
      </c>
      <c r="H332" s="421">
        <v>18</v>
      </c>
      <c r="I332" s="285" t="s">
        <v>299</v>
      </c>
      <c r="J332" s="285" t="s">
        <v>300</v>
      </c>
      <c r="K332" s="309">
        <v>400</v>
      </c>
      <c r="L332" s="294">
        <v>0.85</v>
      </c>
      <c r="M332" s="304">
        <v>0.95</v>
      </c>
      <c r="N332" s="287">
        <f t="shared" si="768"/>
        <v>32.175262228387169</v>
      </c>
      <c r="O332" s="287">
        <f t="shared" si="769"/>
        <v>0</v>
      </c>
      <c r="P332" s="294" t="str">
        <f t="shared" si="770"/>
        <v>0.00</v>
      </c>
      <c r="Q332" s="304">
        <v>50</v>
      </c>
      <c r="R332" s="304">
        <v>0</v>
      </c>
      <c r="S332" s="304">
        <f t="shared" si="771"/>
        <v>0</v>
      </c>
      <c r="T332" s="294" t="s">
        <v>131</v>
      </c>
      <c r="U332" s="304" t="s">
        <v>377</v>
      </c>
      <c r="V332" s="294">
        <v>6</v>
      </c>
      <c r="W332" s="294" t="str">
        <f t="shared" si="772"/>
        <v>4C X 6</v>
      </c>
      <c r="X332" s="294" t="str">
        <f t="shared" si="773"/>
        <v>4C X 6</v>
      </c>
      <c r="Y332" s="294" t="s">
        <v>314</v>
      </c>
      <c r="Z332" s="288">
        <f>IF(T332="AIR",VLOOKUP(W332,'Catalogue Aluminium'!$B$9:$G$91,2,FALSE),IF(T332="GROUND",VLOOKUP(W332,'Catalogue Aluminium'!$B$9:$G$91,3,FALSE),IF(T332="DUCT",VLOOKUP(W332,'Catalogue Aluminium'!$B$9:$G$91,4,FALSE),IF(T332="TRENCH",VLOOKUP(W332,'Catalogue Aluminium'!$B$9:$G$91,2,FALSE)))))</f>
        <v>51</v>
      </c>
      <c r="AA332" s="295">
        <f>VLOOKUP(W332,'Catalogue Aluminium'!$B$9:$G$91,5,FALSE)</f>
        <v>3.94</v>
      </c>
      <c r="AB332" s="295">
        <f>VLOOKUP(W332,'Catalogue Aluminium'!$B$9:$G$91,6,FALSE)</f>
        <v>9.0200000000000002E-2</v>
      </c>
      <c r="AC332" s="323">
        <f t="shared" si="797"/>
        <v>34</v>
      </c>
      <c r="AD332" s="285">
        <f>10</f>
        <v>10</v>
      </c>
      <c r="AE332" s="323">
        <v>10</v>
      </c>
      <c r="AF332" s="294">
        <v>8</v>
      </c>
      <c r="AG332" s="294">
        <f t="shared" si="774"/>
        <v>7</v>
      </c>
      <c r="AH332" s="311">
        <f t="shared" si="775"/>
        <v>69</v>
      </c>
      <c r="AI332" s="288">
        <f>IF(T332="AIR",'Catalogue Aluminium'!$K$9,IF(T332="TRENCH",'Catalogue Aluminium'!$K$12,"NA"))</f>
        <v>0.89</v>
      </c>
      <c r="AJ332" s="287">
        <f>IF(T332="Air",(IF(U332="1C",'Catalogue Aluminium'!$L$9,'Catalogue Aluminium'!$M$9)),IF(T332="DUCT",(IF($U332="1C",'Catalogue Aluminium'!$L$10,'Catalogue Aluminium'!$M$10)),IF(T332="GROUND",(IF($U332="1C",'Catalogue Aluminium'!$L$11,'Catalogue Aluminium'!$M$11)),IF(T332="TRENCH",(IF($U332="1C",'Catalogue Aluminium'!$L$12,'Catalogue Aluminium'!$M$12))))))</f>
        <v>0.66</v>
      </c>
      <c r="AK332" s="288" t="str">
        <f>IF(T332="Air",'Catalogue Aluminium'!$N$9,IF(T332="GROUND",'Catalogue Aluminium'!$N$10,IF(T332="DUCT",'Catalogue Aluminium'!$N$11,IF(T332="TRENCH",'Catalogue Aluminium'!$N$12,"NA"))))</f>
        <v>NA</v>
      </c>
      <c r="AL332" s="288" t="str">
        <f>IF(T332="Air",(IF(U332="1C",'Catalogue Aluminium'!$O$9,'Catalogue Aluminium'!$P$9)),IF(T332="DUCT",(IF($U332="1C",'Catalogue Aluminium'!$O$10,'Catalogue Aluminium'!$P$10)),IF(T332="GROUND",(IF($U332="1C",'Catalogue Aluminium'!$O$11,'Catalogue Aluminium'!$P$11)),IF(T332="TRENCH",(IF($U332="1C",'Catalogue Aluminium'!$O$12,'Catalogue Aluminium'!$P$12))))))</f>
        <v>NA</v>
      </c>
      <c r="AM332" s="288" t="str">
        <f>IF(T332="AIR","NA",IF(T332="TRENCH","NA",IF(T332="DUCT",IF(U332="1C",VLOOKUP(V332,'Catalogue Aluminium'!$Q$9:$S$28,2,FALSE),VLOOKUP(V332,'Catalogue Aluminium'!$Q$9:$S$28,3)),IF(T332="GROUND",IF(U332="1C",VLOOKUP(V332,'Catalogue Aluminium'!$Q$9:$S$28,2,FALSE),VLOOKUP(V332,'Catalogue Aluminium'!$Q$9:$S$28,3))))))</f>
        <v>NA</v>
      </c>
      <c r="AN332" s="312">
        <f t="shared" si="776"/>
        <v>0.58740000000000003</v>
      </c>
      <c r="AO332" s="304">
        <f t="shared" si="777"/>
        <v>29.957400000000003</v>
      </c>
      <c r="AP332" s="309">
        <f t="shared" si="778"/>
        <v>2</v>
      </c>
      <c r="AQ332" s="304" t="str">
        <f t="shared" si="779"/>
        <v>YES</v>
      </c>
      <c r="AR332" s="312">
        <f t="shared" si="780"/>
        <v>1.6325837341148535</v>
      </c>
      <c r="AS332" s="294" t="str">
        <f t="shared" si="781"/>
        <v>YES</v>
      </c>
      <c r="AT332" s="312" t="str">
        <f t="shared" si="782"/>
        <v>NA</v>
      </c>
      <c r="AU332" s="294" t="str">
        <f t="shared" si="783"/>
        <v>NA</v>
      </c>
      <c r="AV332" s="353" t="str">
        <f t="shared" si="784"/>
        <v>2R x 0.6/1kV x 4C x 6 Sqmm</v>
      </c>
      <c r="AW332" s="353" t="str">
        <f t="shared" si="785"/>
        <v>2R x 0.6/1kV x 4C x 6 Sqmm</v>
      </c>
      <c r="AX332" s="294">
        <f t="shared" si="869"/>
        <v>138</v>
      </c>
      <c r="AY332" s="354"/>
    </row>
    <row r="333" spans="1:51">
      <c r="A333" s="285">
        <f t="shared" si="829"/>
        <v>215</v>
      </c>
      <c r="B333" s="294" t="s">
        <v>382</v>
      </c>
      <c r="C333" s="285" t="s">
        <v>596</v>
      </c>
      <c r="D333" s="315" t="s">
        <v>618</v>
      </c>
      <c r="E333" s="352" t="s">
        <v>463</v>
      </c>
      <c r="F333" s="411" t="s">
        <v>28</v>
      </c>
      <c r="G333" s="285" t="s">
        <v>298</v>
      </c>
      <c r="H333" s="421">
        <v>18</v>
      </c>
      <c r="I333" s="285" t="s">
        <v>299</v>
      </c>
      <c r="J333" s="285" t="s">
        <v>300</v>
      </c>
      <c r="K333" s="309">
        <v>400</v>
      </c>
      <c r="L333" s="294">
        <v>0.85</v>
      </c>
      <c r="M333" s="304">
        <v>0.95</v>
      </c>
      <c r="N333" s="287">
        <f t="shared" si="768"/>
        <v>32.175262228387169</v>
      </c>
      <c r="O333" s="287">
        <f t="shared" si="769"/>
        <v>0</v>
      </c>
      <c r="P333" s="294" t="str">
        <f t="shared" si="770"/>
        <v>0.00</v>
      </c>
      <c r="Q333" s="304">
        <v>50</v>
      </c>
      <c r="R333" s="304">
        <v>0</v>
      </c>
      <c r="S333" s="304">
        <f t="shared" si="771"/>
        <v>0</v>
      </c>
      <c r="T333" s="294" t="s">
        <v>131</v>
      </c>
      <c r="U333" s="304" t="s">
        <v>377</v>
      </c>
      <c r="V333" s="294">
        <v>6</v>
      </c>
      <c r="W333" s="294" t="str">
        <f t="shared" si="772"/>
        <v>4C X 6</v>
      </c>
      <c r="X333" s="294" t="str">
        <f t="shared" si="773"/>
        <v>4C X 6</v>
      </c>
      <c r="Y333" s="294" t="s">
        <v>314</v>
      </c>
      <c r="Z333" s="288">
        <f>IF(T333="AIR",VLOOKUP(W333,'Catalogue Aluminium'!$B$9:$G$91,2,FALSE),IF(T333="GROUND",VLOOKUP(W333,'Catalogue Aluminium'!$B$9:$G$91,3,FALSE),IF(T333="DUCT",VLOOKUP(W333,'Catalogue Aluminium'!$B$9:$G$91,4,FALSE),IF(T333="TRENCH",VLOOKUP(W333,'Catalogue Aluminium'!$B$9:$G$91,2,FALSE)))))</f>
        <v>51</v>
      </c>
      <c r="AA333" s="295">
        <f>VLOOKUP(W333,'Catalogue Aluminium'!$B$9:$G$91,5,FALSE)</f>
        <v>3.94</v>
      </c>
      <c r="AB333" s="295">
        <f>VLOOKUP(W333,'Catalogue Aluminium'!$B$9:$G$91,6,FALSE)</f>
        <v>9.0200000000000002E-2</v>
      </c>
      <c r="AC333" s="323">
        <f t="shared" si="797"/>
        <v>34</v>
      </c>
      <c r="AD333" s="285">
        <f>10</f>
        <v>10</v>
      </c>
      <c r="AE333" s="323">
        <v>10</v>
      </c>
      <c r="AF333" s="294">
        <v>8</v>
      </c>
      <c r="AG333" s="294">
        <f t="shared" si="774"/>
        <v>7</v>
      </c>
      <c r="AH333" s="311">
        <f t="shared" si="775"/>
        <v>69</v>
      </c>
      <c r="AI333" s="288">
        <f>IF(T333="AIR",'Catalogue Aluminium'!$K$9,IF(T333="TRENCH",'Catalogue Aluminium'!$K$12,"NA"))</f>
        <v>0.89</v>
      </c>
      <c r="AJ333" s="287">
        <f>IF(T333="Air",(IF(U333="1C",'Catalogue Aluminium'!$L$9,'Catalogue Aluminium'!$M$9)),IF(T333="DUCT",(IF($U333="1C",'Catalogue Aluminium'!$L$10,'Catalogue Aluminium'!$M$10)),IF(T333="GROUND",(IF($U333="1C",'Catalogue Aluminium'!$L$11,'Catalogue Aluminium'!$M$11)),IF(T333="TRENCH",(IF($U333="1C",'Catalogue Aluminium'!$L$12,'Catalogue Aluminium'!$M$12))))))</f>
        <v>0.66</v>
      </c>
      <c r="AK333" s="288" t="str">
        <f>IF(T333="Air",'Catalogue Aluminium'!$N$9,IF(T333="GROUND",'Catalogue Aluminium'!$N$10,IF(T333="DUCT",'Catalogue Aluminium'!$N$11,IF(T333="TRENCH",'Catalogue Aluminium'!$N$12,"NA"))))</f>
        <v>NA</v>
      </c>
      <c r="AL333" s="288" t="str">
        <f>IF(T333="Air",(IF(U333="1C",'Catalogue Aluminium'!$O$9,'Catalogue Aluminium'!$P$9)),IF(T333="DUCT",(IF($U333="1C",'Catalogue Aluminium'!$O$10,'Catalogue Aluminium'!$P$10)),IF(T333="GROUND",(IF($U333="1C",'Catalogue Aluminium'!$O$11,'Catalogue Aluminium'!$P$11)),IF(T333="TRENCH",(IF($U333="1C",'Catalogue Aluminium'!$O$12,'Catalogue Aluminium'!$P$12))))))</f>
        <v>NA</v>
      </c>
      <c r="AM333" s="288" t="str">
        <f>IF(T333="AIR","NA",IF(T333="TRENCH","NA",IF(T333="DUCT",IF(U333="1C",VLOOKUP(V333,'Catalogue Aluminium'!$Q$9:$S$28,2,FALSE),VLOOKUP(V333,'Catalogue Aluminium'!$Q$9:$S$28,3)),IF(T333="GROUND",IF(U333="1C",VLOOKUP(V333,'Catalogue Aluminium'!$Q$9:$S$28,2,FALSE),VLOOKUP(V333,'Catalogue Aluminium'!$Q$9:$S$28,3))))))</f>
        <v>NA</v>
      </c>
      <c r="AN333" s="312">
        <f t="shared" si="776"/>
        <v>0.58740000000000003</v>
      </c>
      <c r="AO333" s="304">
        <f t="shared" si="777"/>
        <v>29.957400000000003</v>
      </c>
      <c r="AP333" s="309">
        <f t="shared" si="778"/>
        <v>2</v>
      </c>
      <c r="AQ333" s="304" t="str">
        <f t="shared" si="779"/>
        <v>YES</v>
      </c>
      <c r="AR333" s="312">
        <f t="shared" si="780"/>
        <v>1.6325837341148535</v>
      </c>
      <c r="AS333" s="294" t="str">
        <f t="shared" si="781"/>
        <v>YES</v>
      </c>
      <c r="AT333" s="312" t="str">
        <f t="shared" si="782"/>
        <v>NA</v>
      </c>
      <c r="AU333" s="294" t="str">
        <f t="shared" si="783"/>
        <v>NA</v>
      </c>
      <c r="AV333" s="353" t="str">
        <f t="shared" si="784"/>
        <v>2R x 0.6/1kV x 4C x 6 Sqmm</v>
      </c>
      <c r="AW333" s="353" t="str">
        <f t="shared" si="785"/>
        <v>2R x 0.6/1kV x 4C x 6 Sqmm</v>
      </c>
      <c r="AX333" s="294">
        <f t="shared" si="869"/>
        <v>138</v>
      </c>
      <c r="AY333" s="354"/>
    </row>
    <row r="334" spans="1:51">
      <c r="A334" s="285">
        <f>1+A333</f>
        <v>216</v>
      </c>
      <c r="B334" s="294" t="s">
        <v>382</v>
      </c>
      <c r="C334" s="285" t="s">
        <v>596</v>
      </c>
      <c r="D334" s="315" t="s">
        <v>619</v>
      </c>
      <c r="E334" s="352" t="s">
        <v>463</v>
      </c>
      <c r="F334" s="411" t="s">
        <v>28</v>
      </c>
      <c r="G334" s="285" t="s">
        <v>298</v>
      </c>
      <c r="H334" s="421">
        <v>18</v>
      </c>
      <c r="I334" s="285" t="s">
        <v>299</v>
      </c>
      <c r="J334" s="285" t="s">
        <v>300</v>
      </c>
      <c r="K334" s="309">
        <v>400</v>
      </c>
      <c r="L334" s="294">
        <v>0.85</v>
      </c>
      <c r="M334" s="304">
        <v>0.95</v>
      </c>
      <c r="N334" s="287">
        <f t="shared" si="768"/>
        <v>32.175262228387169</v>
      </c>
      <c r="O334" s="287">
        <f t="shared" si="769"/>
        <v>0</v>
      </c>
      <c r="P334" s="294" t="str">
        <f t="shared" si="770"/>
        <v>0.00</v>
      </c>
      <c r="Q334" s="304">
        <v>50</v>
      </c>
      <c r="R334" s="304">
        <v>0</v>
      </c>
      <c r="S334" s="304">
        <f t="shared" si="771"/>
        <v>0</v>
      </c>
      <c r="T334" s="294" t="s">
        <v>131</v>
      </c>
      <c r="U334" s="304" t="s">
        <v>377</v>
      </c>
      <c r="V334" s="294">
        <v>6</v>
      </c>
      <c r="W334" s="294" t="str">
        <f t="shared" si="772"/>
        <v>4C X 6</v>
      </c>
      <c r="X334" s="294" t="str">
        <f t="shared" si="773"/>
        <v>4C X 6</v>
      </c>
      <c r="Y334" s="294" t="s">
        <v>314</v>
      </c>
      <c r="Z334" s="288">
        <f>IF(T334="AIR",VLOOKUP(W334,'Catalogue Aluminium'!$B$9:$G$91,2,FALSE),IF(T334="GROUND",VLOOKUP(W334,'Catalogue Aluminium'!$B$9:$G$91,3,FALSE),IF(T334="DUCT",VLOOKUP(W334,'Catalogue Aluminium'!$B$9:$G$91,4,FALSE),IF(T334="TRENCH",VLOOKUP(W334,'Catalogue Aluminium'!$B$9:$G$91,2,FALSE)))))</f>
        <v>51</v>
      </c>
      <c r="AA334" s="295">
        <f>VLOOKUP(W334,'Catalogue Aluminium'!$B$9:$G$91,5,FALSE)</f>
        <v>3.94</v>
      </c>
      <c r="AB334" s="295">
        <f>VLOOKUP(W334,'Catalogue Aluminium'!$B$9:$G$91,6,FALSE)</f>
        <v>9.0200000000000002E-2</v>
      </c>
      <c r="AC334" s="323">
        <f t="shared" si="797"/>
        <v>34</v>
      </c>
      <c r="AD334" s="285">
        <f>10</f>
        <v>10</v>
      </c>
      <c r="AE334" s="323">
        <v>10</v>
      </c>
      <c r="AF334" s="294">
        <v>8</v>
      </c>
      <c r="AG334" s="294">
        <f t="shared" si="774"/>
        <v>7</v>
      </c>
      <c r="AH334" s="311">
        <f t="shared" si="775"/>
        <v>69</v>
      </c>
      <c r="AI334" s="288">
        <f>IF(T334="AIR",'Catalogue Aluminium'!$K$9,IF(T334="TRENCH",'Catalogue Aluminium'!$K$12,"NA"))</f>
        <v>0.89</v>
      </c>
      <c r="AJ334" s="287">
        <f>IF(T334="Air",(IF(U334="1C",'Catalogue Aluminium'!$L$9,'Catalogue Aluminium'!$M$9)),IF(T334="DUCT",(IF($U334="1C",'Catalogue Aluminium'!$L$10,'Catalogue Aluminium'!$M$10)),IF(T334="GROUND",(IF($U334="1C",'Catalogue Aluminium'!$L$11,'Catalogue Aluminium'!$M$11)),IF(T334="TRENCH",(IF($U334="1C",'Catalogue Aluminium'!$L$12,'Catalogue Aluminium'!$M$12))))))</f>
        <v>0.66</v>
      </c>
      <c r="AK334" s="288" t="str">
        <f>IF(T334="Air",'Catalogue Aluminium'!$N$9,IF(T334="GROUND",'Catalogue Aluminium'!$N$10,IF(T334="DUCT",'Catalogue Aluminium'!$N$11,IF(T334="TRENCH",'Catalogue Aluminium'!$N$12,"NA"))))</f>
        <v>NA</v>
      </c>
      <c r="AL334" s="288" t="str">
        <f>IF(T334="Air",(IF(U334="1C",'Catalogue Aluminium'!$O$9,'Catalogue Aluminium'!$P$9)),IF(T334="DUCT",(IF($U334="1C",'Catalogue Aluminium'!$O$10,'Catalogue Aluminium'!$P$10)),IF(T334="GROUND",(IF($U334="1C",'Catalogue Aluminium'!$O$11,'Catalogue Aluminium'!$P$11)),IF(T334="TRENCH",(IF($U334="1C",'Catalogue Aluminium'!$O$12,'Catalogue Aluminium'!$P$12))))))</f>
        <v>NA</v>
      </c>
      <c r="AM334" s="288" t="str">
        <f>IF(T334="AIR","NA",IF(T334="TRENCH","NA",IF(T334="DUCT",IF(U334="1C",VLOOKUP(V334,'Catalogue Aluminium'!$Q$9:$S$28,2,FALSE),VLOOKUP(V334,'Catalogue Aluminium'!$Q$9:$S$28,3)),IF(T334="GROUND",IF(U334="1C",VLOOKUP(V334,'Catalogue Aluminium'!$Q$9:$S$28,2,FALSE),VLOOKUP(V334,'Catalogue Aluminium'!$Q$9:$S$28,3))))))</f>
        <v>NA</v>
      </c>
      <c r="AN334" s="312">
        <f t="shared" si="776"/>
        <v>0.58740000000000003</v>
      </c>
      <c r="AO334" s="304">
        <f t="shared" si="777"/>
        <v>29.957400000000003</v>
      </c>
      <c r="AP334" s="309">
        <f t="shared" si="778"/>
        <v>2</v>
      </c>
      <c r="AQ334" s="304" t="str">
        <f t="shared" si="779"/>
        <v>YES</v>
      </c>
      <c r="AR334" s="312">
        <f t="shared" si="780"/>
        <v>1.6325837341148535</v>
      </c>
      <c r="AS334" s="294" t="str">
        <f t="shared" si="781"/>
        <v>YES</v>
      </c>
      <c r="AT334" s="312" t="str">
        <f t="shared" si="782"/>
        <v>NA</v>
      </c>
      <c r="AU334" s="294" t="str">
        <f t="shared" si="783"/>
        <v>NA</v>
      </c>
      <c r="AV334" s="353" t="str">
        <f t="shared" si="784"/>
        <v>2R x 0.6/1kV x 4C x 6 Sqmm</v>
      </c>
      <c r="AW334" s="353" t="str">
        <f t="shared" si="785"/>
        <v>2R x 0.6/1kV x 4C x 6 Sqmm</v>
      </c>
      <c r="AX334" s="294">
        <f t="shared" si="869"/>
        <v>138</v>
      </c>
      <c r="AY334" s="354"/>
    </row>
    <row r="335" spans="1:51" s="592" customFormat="1">
      <c r="A335" s="577">
        <f t="shared" si="829"/>
        <v>217</v>
      </c>
      <c r="B335" s="583" t="s">
        <v>382</v>
      </c>
      <c r="C335" s="577" t="s">
        <v>596</v>
      </c>
      <c r="D335" s="604" t="s">
        <v>620</v>
      </c>
      <c r="E335" s="580" t="s">
        <v>463</v>
      </c>
      <c r="F335" s="605" t="s">
        <v>28</v>
      </c>
      <c r="G335" s="577" t="s">
        <v>298</v>
      </c>
      <c r="H335" s="584">
        <v>4</v>
      </c>
      <c r="I335" s="577" t="s">
        <v>299</v>
      </c>
      <c r="J335" s="577" t="s">
        <v>313</v>
      </c>
      <c r="K335" s="582">
        <v>230</v>
      </c>
      <c r="L335" s="583">
        <v>0.85</v>
      </c>
      <c r="M335" s="584">
        <v>0.95</v>
      </c>
      <c r="N335" s="585">
        <f t="shared" si="768"/>
        <v>21.537219006595773</v>
      </c>
      <c r="O335" s="585">
        <f t="shared" si="769"/>
        <v>0</v>
      </c>
      <c r="P335" s="583" t="str">
        <f t="shared" si="770"/>
        <v>0.00</v>
      </c>
      <c r="Q335" s="584">
        <v>50</v>
      </c>
      <c r="R335" s="584">
        <v>0</v>
      </c>
      <c r="S335" s="584">
        <f t="shared" si="771"/>
        <v>0</v>
      </c>
      <c r="T335" s="583" t="s">
        <v>131</v>
      </c>
      <c r="U335" s="584" t="s">
        <v>302</v>
      </c>
      <c r="V335" s="583">
        <v>16</v>
      </c>
      <c r="W335" s="583" t="str">
        <f t="shared" si="772"/>
        <v>3C X 16</v>
      </c>
      <c r="X335" s="583" t="str">
        <f t="shared" si="773"/>
        <v>3C X 16</v>
      </c>
      <c r="Y335" s="583" t="s">
        <v>314</v>
      </c>
      <c r="Z335" s="586">
        <f>IF(T335="AIR",VLOOKUP(W335,'Catalogue Aluminium'!$B$9:$G$91,2,FALSE),IF(T335="GROUND",VLOOKUP(W335,'Catalogue Aluminium'!$B$9:$G$91,3,FALSE),IF(T335="DUCT",VLOOKUP(W335,'Catalogue Aluminium'!$B$9:$G$91,4,FALSE),IF(T335="TRENCH",VLOOKUP(W335,'Catalogue Aluminium'!$B$9:$G$91,2,FALSE)))))</f>
        <v>70</v>
      </c>
      <c r="AA335" s="587">
        <f>VLOOKUP(W335,'Catalogue Aluminium'!$B$9:$G$91,5,FALSE)</f>
        <v>2.44</v>
      </c>
      <c r="AB335" s="587">
        <f>VLOOKUP(W335,'Catalogue Aluminium'!$B$9:$G$91,6,FALSE)</f>
        <v>8.1500000000000003E-2</v>
      </c>
      <c r="AC335" s="602">
        <f t="shared" si="797"/>
        <v>34</v>
      </c>
      <c r="AD335" s="577">
        <f>10</f>
        <v>10</v>
      </c>
      <c r="AE335" s="602">
        <v>10</v>
      </c>
      <c r="AF335" s="583">
        <v>8</v>
      </c>
      <c r="AG335" s="583">
        <f t="shared" si="774"/>
        <v>7</v>
      </c>
      <c r="AH335" s="588">
        <f t="shared" si="775"/>
        <v>69</v>
      </c>
      <c r="AI335" s="586">
        <f>IF(T335="AIR",'Catalogue Aluminium'!$K$9,IF(T335="TRENCH",'Catalogue Aluminium'!$K$12,"NA"))</f>
        <v>0.89</v>
      </c>
      <c r="AJ335" s="585">
        <f>IF(T335="Air",(IF(U335="1C",'Catalogue Aluminium'!$L$9,'Catalogue Aluminium'!$M$9)),IF(T335="DUCT",(IF($U335="1C",'Catalogue Aluminium'!$L$10,'Catalogue Aluminium'!$M$10)),IF(T335="GROUND",(IF($U335="1C",'Catalogue Aluminium'!$L$11,'Catalogue Aluminium'!$M$11)),IF(T335="TRENCH",(IF($U335="1C",'Catalogue Aluminium'!$L$12,'Catalogue Aluminium'!$M$12))))))</f>
        <v>0.66</v>
      </c>
      <c r="AK335" s="586" t="str">
        <f>IF(T335="Air",'Catalogue Aluminium'!$N$9,IF(T335="GROUND",'Catalogue Aluminium'!$N$10,IF(T335="DUCT",'Catalogue Aluminium'!$N$11,IF(T335="TRENCH",'Catalogue Aluminium'!$N$12,"NA"))))</f>
        <v>NA</v>
      </c>
      <c r="AL335" s="586" t="str">
        <f>IF(T335="Air",(IF(U335="1C",'Catalogue Aluminium'!$O$9,'Catalogue Aluminium'!$P$9)),IF(T335="DUCT",(IF($U335="1C",'Catalogue Aluminium'!$O$10,'Catalogue Aluminium'!$P$10)),IF(T335="GROUND",(IF($U335="1C",'Catalogue Aluminium'!$O$11,'Catalogue Aluminium'!$P$11)),IF(T335="TRENCH",(IF($U335="1C",'Catalogue Aluminium'!$O$12,'Catalogue Aluminium'!$P$12))))))</f>
        <v>NA</v>
      </c>
      <c r="AM335" s="586" t="str">
        <f>IF(T335="AIR","NA",IF(T335="TRENCH","NA",IF(T335="DUCT",IF(U335="1C",VLOOKUP(V335,'Catalogue Aluminium'!$Q$9:$S$28,2,FALSE),VLOOKUP(V335,'Catalogue Aluminium'!$Q$9:$S$28,3)),IF(T335="GROUND",IF(U335="1C",VLOOKUP(V335,'Catalogue Aluminium'!$Q$9:$S$28,2,FALSE),VLOOKUP(V335,'Catalogue Aluminium'!$Q$9:$S$28,3))))))</f>
        <v>NA</v>
      </c>
      <c r="AN335" s="589">
        <f t="shared" si="776"/>
        <v>0.58740000000000003</v>
      </c>
      <c r="AO335" s="584">
        <f t="shared" si="777"/>
        <v>41.118000000000002</v>
      </c>
      <c r="AP335" s="582">
        <f t="shared" si="778"/>
        <v>1</v>
      </c>
      <c r="AQ335" s="584" t="str">
        <f t="shared" si="779"/>
        <v>YES</v>
      </c>
      <c r="AR335" s="589">
        <f t="shared" si="780"/>
        <v>2.3690737252372571</v>
      </c>
      <c r="AS335" s="583" t="str">
        <f t="shared" si="781"/>
        <v>YES</v>
      </c>
      <c r="AT335" s="589" t="str">
        <f t="shared" si="782"/>
        <v>NA</v>
      </c>
      <c r="AU335" s="583" t="str">
        <f t="shared" si="783"/>
        <v>NA</v>
      </c>
      <c r="AV335" s="590" t="str">
        <f t="shared" si="784"/>
        <v>1R x 0.6/1kV x 3C x 16 Sqmm</v>
      </c>
      <c r="AW335" s="590" t="str">
        <f t="shared" si="785"/>
        <v>1R x 0.6/1kV x 3C x 16 Sqmm</v>
      </c>
      <c r="AX335" s="583"/>
      <c r="AY335" s="591"/>
    </row>
    <row r="336" spans="1:51">
      <c r="A336" s="285">
        <f t="shared" si="829"/>
        <v>218</v>
      </c>
      <c r="B336" s="294" t="s">
        <v>382</v>
      </c>
      <c r="C336" s="285" t="s">
        <v>596</v>
      </c>
      <c r="D336" s="315" t="s">
        <v>621</v>
      </c>
      <c r="E336" s="352" t="s">
        <v>463</v>
      </c>
      <c r="F336" s="411" t="s">
        <v>28</v>
      </c>
      <c r="G336" s="285" t="s">
        <v>298</v>
      </c>
      <c r="H336" s="421">
        <v>3.5</v>
      </c>
      <c r="I336" s="285" t="s">
        <v>299</v>
      </c>
      <c r="J336" s="285" t="s">
        <v>313</v>
      </c>
      <c r="K336" s="309">
        <v>230</v>
      </c>
      <c r="L336" s="294">
        <v>0.85</v>
      </c>
      <c r="M336" s="304">
        <v>0.95</v>
      </c>
      <c r="N336" s="287">
        <f t="shared" si="768"/>
        <v>18.845066630771303</v>
      </c>
      <c r="O336" s="287">
        <f t="shared" si="769"/>
        <v>0</v>
      </c>
      <c r="P336" s="294" t="str">
        <f t="shared" si="770"/>
        <v>0.00</v>
      </c>
      <c r="Q336" s="304">
        <v>50</v>
      </c>
      <c r="R336" s="304">
        <v>0</v>
      </c>
      <c r="S336" s="304">
        <f t="shared" si="771"/>
        <v>0</v>
      </c>
      <c r="T336" s="294" t="s">
        <v>131</v>
      </c>
      <c r="U336" s="304" t="s">
        <v>302</v>
      </c>
      <c r="V336" s="294">
        <v>16</v>
      </c>
      <c r="W336" s="294" t="str">
        <f t="shared" si="772"/>
        <v>3C X 16</v>
      </c>
      <c r="X336" s="294" t="str">
        <f t="shared" si="773"/>
        <v>3C X 16</v>
      </c>
      <c r="Y336" s="294" t="s">
        <v>314</v>
      </c>
      <c r="Z336" s="288">
        <f>IF(T336="AIR",VLOOKUP(W336,'Catalogue Aluminium'!$B$9:$G$91,2,FALSE),IF(T336="GROUND",VLOOKUP(W336,'Catalogue Aluminium'!$B$9:$G$91,3,FALSE),IF(T336="DUCT",VLOOKUP(W336,'Catalogue Aluminium'!$B$9:$G$91,4,FALSE),IF(T336="TRENCH",VLOOKUP(W336,'Catalogue Aluminium'!$B$9:$G$91,2,FALSE)))))</f>
        <v>70</v>
      </c>
      <c r="AA336" s="295">
        <f>VLOOKUP(W336,'Catalogue Aluminium'!$B$9:$G$91,5,FALSE)</f>
        <v>2.44</v>
      </c>
      <c r="AB336" s="295">
        <f>VLOOKUP(W336,'Catalogue Aluminium'!$B$9:$G$91,6,FALSE)</f>
        <v>8.1500000000000003E-2</v>
      </c>
      <c r="AC336" s="323">
        <f t="shared" si="797"/>
        <v>34</v>
      </c>
      <c r="AD336" s="285">
        <f>10</f>
        <v>10</v>
      </c>
      <c r="AE336" s="323">
        <v>10</v>
      </c>
      <c r="AF336" s="294">
        <v>8</v>
      </c>
      <c r="AG336" s="294">
        <f t="shared" si="774"/>
        <v>7</v>
      </c>
      <c r="AH336" s="311">
        <f t="shared" si="775"/>
        <v>69</v>
      </c>
      <c r="AI336" s="288">
        <f>IF(T336="AIR",'Catalogue Aluminium'!$K$9,IF(T336="TRENCH",'Catalogue Aluminium'!$K$12,"NA"))</f>
        <v>0.89</v>
      </c>
      <c r="AJ336" s="287">
        <f>IF(T336="Air",(IF(U336="1C",'Catalogue Aluminium'!$L$9,'Catalogue Aluminium'!$M$9)),IF(T336="DUCT",(IF($U336="1C",'Catalogue Aluminium'!$L$10,'Catalogue Aluminium'!$M$10)),IF(T336="GROUND",(IF($U336="1C",'Catalogue Aluminium'!$L$11,'Catalogue Aluminium'!$M$11)),IF(T336="TRENCH",(IF($U336="1C",'Catalogue Aluminium'!$L$12,'Catalogue Aluminium'!$M$12))))))</f>
        <v>0.66</v>
      </c>
      <c r="AK336" s="288" t="str">
        <f>IF(T336="Air",'Catalogue Aluminium'!$N$9,IF(T336="GROUND",'Catalogue Aluminium'!$N$10,IF(T336="DUCT",'Catalogue Aluminium'!$N$11,IF(T336="TRENCH",'Catalogue Aluminium'!$N$12,"NA"))))</f>
        <v>NA</v>
      </c>
      <c r="AL336" s="288" t="str">
        <f>IF(T336="Air",(IF(U336="1C",'Catalogue Aluminium'!$O$9,'Catalogue Aluminium'!$P$9)),IF(T336="DUCT",(IF($U336="1C",'Catalogue Aluminium'!$O$10,'Catalogue Aluminium'!$P$10)),IF(T336="GROUND",(IF($U336="1C",'Catalogue Aluminium'!$O$11,'Catalogue Aluminium'!$P$11)),IF(T336="TRENCH",(IF($U336="1C",'Catalogue Aluminium'!$O$12,'Catalogue Aluminium'!$P$12))))))</f>
        <v>NA</v>
      </c>
      <c r="AM336" s="288" t="str">
        <f>IF(T336="AIR","NA",IF(T336="TRENCH","NA",IF(T336="DUCT",IF(U336="1C",VLOOKUP(V336,'Catalogue Aluminium'!$Q$9:$S$28,2,FALSE),VLOOKUP(V336,'Catalogue Aluminium'!$Q$9:$S$28,3)),IF(T336="GROUND",IF(U336="1C",VLOOKUP(V336,'Catalogue Aluminium'!$Q$9:$S$28,2,FALSE),VLOOKUP(V336,'Catalogue Aluminium'!$Q$9:$S$28,3))))))</f>
        <v>NA</v>
      </c>
      <c r="AN336" s="312">
        <f t="shared" si="776"/>
        <v>0.58740000000000003</v>
      </c>
      <c r="AO336" s="304">
        <f t="shared" si="777"/>
        <v>41.118000000000002</v>
      </c>
      <c r="AP336" s="309">
        <f t="shared" si="778"/>
        <v>1</v>
      </c>
      <c r="AQ336" s="304" t="str">
        <f t="shared" si="779"/>
        <v>YES</v>
      </c>
      <c r="AR336" s="312">
        <f t="shared" si="780"/>
        <v>2.0729395095826004</v>
      </c>
      <c r="AS336" s="294" t="str">
        <f t="shared" si="781"/>
        <v>YES</v>
      </c>
      <c r="AT336" s="312" t="str">
        <f t="shared" si="782"/>
        <v>NA</v>
      </c>
      <c r="AU336" s="294" t="str">
        <f t="shared" si="783"/>
        <v>NA</v>
      </c>
      <c r="AV336" s="353" t="str">
        <f t="shared" si="784"/>
        <v>1R x 0.6/1kV x 3C x 16 Sqmm</v>
      </c>
      <c r="AW336" s="353" t="str">
        <f t="shared" si="785"/>
        <v>1R x 0.6/1kV x 3C x 16 Sqmm</v>
      </c>
      <c r="AX336" s="294">
        <f t="shared" si="869"/>
        <v>69</v>
      </c>
      <c r="AY336" s="354"/>
    </row>
    <row r="337" spans="1:51">
      <c r="A337" s="285">
        <f t="shared" si="829"/>
        <v>219</v>
      </c>
      <c r="B337" s="294" t="s">
        <v>382</v>
      </c>
      <c r="C337" s="285" t="s">
        <v>596</v>
      </c>
      <c r="D337" s="315" t="s">
        <v>622</v>
      </c>
      <c r="E337" s="352" t="s">
        <v>463</v>
      </c>
      <c r="F337" s="411" t="s">
        <v>28</v>
      </c>
      <c r="G337" s="285" t="s">
        <v>298</v>
      </c>
      <c r="H337" s="421">
        <v>3.5</v>
      </c>
      <c r="I337" s="285" t="s">
        <v>299</v>
      </c>
      <c r="J337" s="285" t="s">
        <v>313</v>
      </c>
      <c r="K337" s="309">
        <v>230</v>
      </c>
      <c r="L337" s="294">
        <v>0.85</v>
      </c>
      <c r="M337" s="304">
        <v>0.95</v>
      </c>
      <c r="N337" s="287">
        <f t="shared" si="768"/>
        <v>18.845066630771303</v>
      </c>
      <c r="O337" s="287">
        <f t="shared" si="769"/>
        <v>0</v>
      </c>
      <c r="P337" s="294" t="str">
        <f t="shared" si="770"/>
        <v>0.00</v>
      </c>
      <c r="Q337" s="304">
        <v>50</v>
      </c>
      <c r="R337" s="304">
        <v>0</v>
      </c>
      <c r="S337" s="304">
        <f t="shared" si="771"/>
        <v>0</v>
      </c>
      <c r="T337" s="294" t="s">
        <v>131</v>
      </c>
      <c r="U337" s="304" t="s">
        <v>302</v>
      </c>
      <c r="V337" s="294">
        <v>16</v>
      </c>
      <c r="W337" s="294" t="str">
        <f t="shared" si="772"/>
        <v>3C X 16</v>
      </c>
      <c r="X337" s="294" t="str">
        <f t="shared" si="773"/>
        <v>3C X 16</v>
      </c>
      <c r="Y337" s="294" t="s">
        <v>314</v>
      </c>
      <c r="Z337" s="288">
        <f>IF(T337="AIR",VLOOKUP(W337,'Catalogue Aluminium'!$B$9:$G$91,2,FALSE),IF(T337="GROUND",VLOOKUP(W337,'Catalogue Aluminium'!$B$9:$G$91,3,FALSE),IF(T337="DUCT",VLOOKUP(W337,'Catalogue Aluminium'!$B$9:$G$91,4,FALSE),IF(T337="TRENCH",VLOOKUP(W337,'Catalogue Aluminium'!$B$9:$G$91,2,FALSE)))))</f>
        <v>70</v>
      </c>
      <c r="AA337" s="295">
        <f>VLOOKUP(W337,'Catalogue Aluminium'!$B$9:$G$91,5,FALSE)</f>
        <v>2.44</v>
      </c>
      <c r="AB337" s="295">
        <f>VLOOKUP(W337,'Catalogue Aluminium'!$B$9:$G$91,6,FALSE)</f>
        <v>8.1500000000000003E-2</v>
      </c>
      <c r="AC337" s="323">
        <f t="shared" si="797"/>
        <v>34</v>
      </c>
      <c r="AD337" s="285">
        <f>10</f>
        <v>10</v>
      </c>
      <c r="AE337" s="323">
        <v>10</v>
      </c>
      <c r="AF337" s="294">
        <v>8</v>
      </c>
      <c r="AG337" s="294">
        <f t="shared" si="774"/>
        <v>7</v>
      </c>
      <c r="AH337" s="311">
        <f t="shared" si="775"/>
        <v>69</v>
      </c>
      <c r="AI337" s="288">
        <f>IF(T337="AIR",'Catalogue Aluminium'!$K$9,IF(T337="TRENCH",'Catalogue Aluminium'!$K$12,"NA"))</f>
        <v>0.89</v>
      </c>
      <c r="AJ337" s="287">
        <f>IF(T337="Air",(IF(U337="1C",'Catalogue Aluminium'!$L$9,'Catalogue Aluminium'!$M$9)),IF(T337="DUCT",(IF($U337="1C",'Catalogue Aluminium'!$L$10,'Catalogue Aluminium'!$M$10)),IF(T337="GROUND",(IF($U337="1C",'Catalogue Aluminium'!$L$11,'Catalogue Aluminium'!$M$11)),IF(T337="TRENCH",(IF($U337="1C",'Catalogue Aluminium'!$L$12,'Catalogue Aluminium'!$M$12))))))</f>
        <v>0.66</v>
      </c>
      <c r="AK337" s="288" t="str">
        <f>IF(T337="Air",'Catalogue Aluminium'!$N$9,IF(T337="GROUND",'Catalogue Aluminium'!$N$10,IF(T337="DUCT",'Catalogue Aluminium'!$N$11,IF(T337="TRENCH",'Catalogue Aluminium'!$N$12,"NA"))))</f>
        <v>NA</v>
      </c>
      <c r="AL337" s="288" t="str">
        <f>IF(T337="Air",(IF(U337="1C",'Catalogue Aluminium'!$O$9,'Catalogue Aluminium'!$P$9)),IF(T337="DUCT",(IF($U337="1C",'Catalogue Aluminium'!$O$10,'Catalogue Aluminium'!$P$10)),IF(T337="GROUND",(IF($U337="1C",'Catalogue Aluminium'!$O$11,'Catalogue Aluminium'!$P$11)),IF(T337="TRENCH",(IF($U337="1C",'Catalogue Aluminium'!$O$12,'Catalogue Aluminium'!$P$12))))))</f>
        <v>NA</v>
      </c>
      <c r="AM337" s="288" t="str">
        <f>IF(T337="AIR","NA",IF(T337="TRENCH","NA",IF(T337="DUCT",IF(U337="1C",VLOOKUP(V337,'Catalogue Aluminium'!$Q$9:$S$28,2,FALSE),VLOOKUP(V337,'Catalogue Aluminium'!$Q$9:$S$28,3)),IF(T337="GROUND",IF(U337="1C",VLOOKUP(V337,'Catalogue Aluminium'!$Q$9:$S$28,2,FALSE),VLOOKUP(V337,'Catalogue Aluminium'!$Q$9:$S$28,3))))))</f>
        <v>NA</v>
      </c>
      <c r="AN337" s="312">
        <f t="shared" si="776"/>
        <v>0.58740000000000003</v>
      </c>
      <c r="AO337" s="304">
        <f t="shared" si="777"/>
        <v>41.118000000000002</v>
      </c>
      <c r="AP337" s="309">
        <f t="shared" si="778"/>
        <v>1</v>
      </c>
      <c r="AQ337" s="304" t="str">
        <f t="shared" si="779"/>
        <v>YES</v>
      </c>
      <c r="AR337" s="312">
        <f t="shared" si="780"/>
        <v>2.0729395095826004</v>
      </c>
      <c r="AS337" s="294" t="str">
        <f t="shared" si="781"/>
        <v>YES</v>
      </c>
      <c r="AT337" s="312" t="str">
        <f t="shared" si="782"/>
        <v>NA</v>
      </c>
      <c r="AU337" s="294" t="str">
        <f t="shared" si="783"/>
        <v>NA</v>
      </c>
      <c r="AV337" s="353" t="str">
        <f t="shared" si="784"/>
        <v>1R x 0.6/1kV x 3C x 16 Sqmm</v>
      </c>
      <c r="AW337" s="353" t="str">
        <f t="shared" si="785"/>
        <v>1R x 0.6/1kV x 3C x 16 Sqmm</v>
      </c>
      <c r="AX337" s="294">
        <f t="shared" si="869"/>
        <v>69</v>
      </c>
      <c r="AY337" s="354"/>
    </row>
    <row r="338" spans="1:51">
      <c r="A338" s="285">
        <f t="shared" si="829"/>
        <v>220</v>
      </c>
      <c r="B338" s="294" t="s">
        <v>382</v>
      </c>
      <c r="C338" s="285" t="s">
        <v>596</v>
      </c>
      <c r="D338" s="315" t="s">
        <v>623</v>
      </c>
      <c r="E338" s="352" t="s">
        <v>463</v>
      </c>
      <c r="F338" s="411" t="s">
        <v>28</v>
      </c>
      <c r="G338" s="285" t="s">
        <v>298</v>
      </c>
      <c r="H338" s="421">
        <v>3.5</v>
      </c>
      <c r="I338" s="285" t="s">
        <v>299</v>
      </c>
      <c r="J338" s="285" t="s">
        <v>313</v>
      </c>
      <c r="K338" s="309">
        <v>230</v>
      </c>
      <c r="L338" s="294">
        <v>0.85</v>
      </c>
      <c r="M338" s="304">
        <v>0.95</v>
      </c>
      <c r="N338" s="287">
        <f t="shared" si="768"/>
        <v>18.845066630771303</v>
      </c>
      <c r="O338" s="287">
        <f t="shared" si="769"/>
        <v>0</v>
      </c>
      <c r="P338" s="294" t="str">
        <f t="shared" si="770"/>
        <v>0.00</v>
      </c>
      <c r="Q338" s="304">
        <v>50</v>
      </c>
      <c r="R338" s="304">
        <v>0</v>
      </c>
      <c r="S338" s="304">
        <f t="shared" si="771"/>
        <v>0</v>
      </c>
      <c r="T338" s="294" t="s">
        <v>131</v>
      </c>
      <c r="U338" s="304" t="s">
        <v>302</v>
      </c>
      <c r="V338" s="294">
        <v>16</v>
      </c>
      <c r="W338" s="294" t="str">
        <f t="shared" si="772"/>
        <v>3C X 16</v>
      </c>
      <c r="X338" s="294" t="str">
        <f t="shared" si="773"/>
        <v>3C X 16</v>
      </c>
      <c r="Y338" s="294" t="s">
        <v>314</v>
      </c>
      <c r="Z338" s="288">
        <f>IF(T338="AIR",VLOOKUP(W338,'Catalogue Aluminium'!$B$9:$G$91,2,FALSE),IF(T338="GROUND",VLOOKUP(W338,'Catalogue Aluminium'!$B$9:$G$91,3,FALSE),IF(T338="DUCT",VLOOKUP(W338,'Catalogue Aluminium'!$B$9:$G$91,4,FALSE),IF(T338="TRENCH",VLOOKUP(W338,'Catalogue Aluminium'!$B$9:$G$91,2,FALSE)))))</f>
        <v>70</v>
      </c>
      <c r="AA338" s="295">
        <f>VLOOKUP(W338,'Catalogue Aluminium'!$B$9:$G$91,5,FALSE)</f>
        <v>2.44</v>
      </c>
      <c r="AB338" s="295">
        <f>VLOOKUP(W338,'Catalogue Aluminium'!$B$9:$G$91,6,FALSE)</f>
        <v>8.1500000000000003E-2</v>
      </c>
      <c r="AC338" s="323">
        <f t="shared" si="797"/>
        <v>34</v>
      </c>
      <c r="AD338" s="285">
        <f>10</f>
        <v>10</v>
      </c>
      <c r="AE338" s="323">
        <v>10</v>
      </c>
      <c r="AF338" s="294">
        <v>8</v>
      </c>
      <c r="AG338" s="294">
        <f t="shared" si="774"/>
        <v>7</v>
      </c>
      <c r="AH338" s="311">
        <f t="shared" si="775"/>
        <v>69</v>
      </c>
      <c r="AI338" s="288">
        <f>IF(T338="AIR",'Catalogue Aluminium'!$K$9,IF(T338="TRENCH",'Catalogue Aluminium'!$K$12,"NA"))</f>
        <v>0.89</v>
      </c>
      <c r="AJ338" s="287">
        <f>IF(T338="Air",(IF(U338="1C",'Catalogue Aluminium'!$L$9,'Catalogue Aluminium'!$M$9)),IF(T338="DUCT",(IF($U338="1C",'Catalogue Aluminium'!$L$10,'Catalogue Aluminium'!$M$10)),IF(T338="GROUND",(IF($U338="1C",'Catalogue Aluminium'!$L$11,'Catalogue Aluminium'!$M$11)),IF(T338="TRENCH",(IF($U338="1C",'Catalogue Aluminium'!$L$12,'Catalogue Aluminium'!$M$12))))))</f>
        <v>0.66</v>
      </c>
      <c r="AK338" s="288" t="str">
        <f>IF(T338="Air",'Catalogue Aluminium'!$N$9,IF(T338="GROUND",'Catalogue Aluminium'!$N$10,IF(T338="DUCT",'Catalogue Aluminium'!$N$11,IF(T338="TRENCH",'Catalogue Aluminium'!$N$12,"NA"))))</f>
        <v>NA</v>
      </c>
      <c r="AL338" s="288" t="str">
        <f>IF(T338="Air",(IF(U338="1C",'Catalogue Aluminium'!$O$9,'Catalogue Aluminium'!$P$9)),IF(T338="DUCT",(IF($U338="1C",'Catalogue Aluminium'!$O$10,'Catalogue Aluminium'!$P$10)),IF(T338="GROUND",(IF($U338="1C",'Catalogue Aluminium'!$O$11,'Catalogue Aluminium'!$P$11)),IF(T338="TRENCH",(IF($U338="1C",'Catalogue Aluminium'!$O$12,'Catalogue Aluminium'!$P$12))))))</f>
        <v>NA</v>
      </c>
      <c r="AM338" s="288" t="str">
        <f>IF(T338="AIR","NA",IF(T338="TRENCH","NA",IF(T338="DUCT",IF(U338="1C",VLOOKUP(V338,'Catalogue Aluminium'!$Q$9:$S$28,2,FALSE),VLOOKUP(V338,'Catalogue Aluminium'!$Q$9:$S$28,3)),IF(T338="GROUND",IF(U338="1C",VLOOKUP(V338,'Catalogue Aluminium'!$Q$9:$S$28,2,FALSE),VLOOKUP(V338,'Catalogue Aluminium'!$Q$9:$S$28,3))))))</f>
        <v>NA</v>
      </c>
      <c r="AN338" s="312">
        <f t="shared" si="776"/>
        <v>0.58740000000000003</v>
      </c>
      <c r="AO338" s="304">
        <f t="shared" si="777"/>
        <v>41.118000000000002</v>
      </c>
      <c r="AP338" s="309">
        <f t="shared" si="778"/>
        <v>1</v>
      </c>
      <c r="AQ338" s="304" t="str">
        <f t="shared" si="779"/>
        <v>YES</v>
      </c>
      <c r="AR338" s="312">
        <f t="shared" si="780"/>
        <v>2.0729395095826004</v>
      </c>
      <c r="AS338" s="294" t="str">
        <f t="shared" si="781"/>
        <v>YES</v>
      </c>
      <c r="AT338" s="312" t="str">
        <f t="shared" si="782"/>
        <v>NA</v>
      </c>
      <c r="AU338" s="294" t="str">
        <f t="shared" si="783"/>
        <v>NA</v>
      </c>
      <c r="AV338" s="353" t="str">
        <f t="shared" si="784"/>
        <v>1R x 0.6/1kV x 3C x 16 Sqmm</v>
      </c>
      <c r="AW338" s="353" t="str">
        <f t="shared" si="785"/>
        <v>1R x 0.6/1kV x 3C x 16 Sqmm</v>
      </c>
      <c r="AX338" s="294">
        <f t="shared" si="869"/>
        <v>69</v>
      </c>
      <c r="AY338" s="354"/>
    </row>
    <row r="339" spans="1:51">
      <c r="A339" s="285">
        <f t="shared" si="829"/>
        <v>221</v>
      </c>
      <c r="B339" s="294" t="s">
        <v>382</v>
      </c>
      <c r="C339" s="285" t="s">
        <v>596</v>
      </c>
      <c r="D339" s="315" t="s">
        <v>624</v>
      </c>
      <c r="E339" s="352" t="s">
        <v>463</v>
      </c>
      <c r="F339" s="411" t="s">
        <v>28</v>
      </c>
      <c r="G339" s="285" t="s">
        <v>298</v>
      </c>
      <c r="H339" s="421">
        <v>3.5</v>
      </c>
      <c r="I339" s="285" t="s">
        <v>299</v>
      </c>
      <c r="J339" s="285" t="s">
        <v>313</v>
      </c>
      <c r="K339" s="309">
        <v>230</v>
      </c>
      <c r="L339" s="294">
        <v>0.85</v>
      </c>
      <c r="M339" s="304">
        <v>0.95</v>
      </c>
      <c r="N339" s="287">
        <f t="shared" si="768"/>
        <v>18.845066630771303</v>
      </c>
      <c r="O339" s="287">
        <f t="shared" si="769"/>
        <v>0</v>
      </c>
      <c r="P339" s="294" t="str">
        <f t="shared" si="770"/>
        <v>0.00</v>
      </c>
      <c r="Q339" s="304">
        <v>50</v>
      </c>
      <c r="R339" s="304">
        <v>0</v>
      </c>
      <c r="S339" s="304">
        <f t="shared" si="771"/>
        <v>0</v>
      </c>
      <c r="T339" s="294" t="s">
        <v>131</v>
      </c>
      <c r="U339" s="304" t="s">
        <v>302</v>
      </c>
      <c r="V339" s="294">
        <v>16</v>
      </c>
      <c r="W339" s="294" t="str">
        <f t="shared" si="772"/>
        <v>3C X 16</v>
      </c>
      <c r="X339" s="294" t="str">
        <f t="shared" si="773"/>
        <v>3C X 16</v>
      </c>
      <c r="Y339" s="294" t="s">
        <v>314</v>
      </c>
      <c r="Z339" s="288">
        <f>IF(T339="AIR",VLOOKUP(W339,'Catalogue Aluminium'!$B$9:$G$91,2,FALSE),IF(T339="GROUND",VLOOKUP(W339,'Catalogue Aluminium'!$B$9:$G$91,3,FALSE),IF(T339="DUCT",VLOOKUP(W339,'Catalogue Aluminium'!$B$9:$G$91,4,FALSE),IF(T339="TRENCH",VLOOKUP(W339,'Catalogue Aluminium'!$B$9:$G$91,2,FALSE)))))</f>
        <v>70</v>
      </c>
      <c r="AA339" s="295">
        <f>VLOOKUP(W339,'Catalogue Aluminium'!$B$9:$G$91,5,FALSE)</f>
        <v>2.44</v>
      </c>
      <c r="AB339" s="295">
        <f>VLOOKUP(W339,'Catalogue Aluminium'!$B$9:$G$91,6,FALSE)</f>
        <v>8.1500000000000003E-2</v>
      </c>
      <c r="AC339" s="323">
        <f t="shared" si="797"/>
        <v>34</v>
      </c>
      <c r="AD339" s="285">
        <f>10</f>
        <v>10</v>
      </c>
      <c r="AE339" s="323">
        <v>10</v>
      </c>
      <c r="AF339" s="294">
        <v>8</v>
      </c>
      <c r="AG339" s="294">
        <f t="shared" si="774"/>
        <v>7</v>
      </c>
      <c r="AH339" s="311">
        <f t="shared" si="775"/>
        <v>69</v>
      </c>
      <c r="AI339" s="288">
        <f>IF(T339="AIR",'Catalogue Aluminium'!$K$9,IF(T339="TRENCH",'Catalogue Aluminium'!$K$12,"NA"))</f>
        <v>0.89</v>
      </c>
      <c r="AJ339" s="287">
        <f>IF(T339="Air",(IF(U339="1C",'Catalogue Aluminium'!$L$9,'Catalogue Aluminium'!$M$9)),IF(T339="DUCT",(IF($U339="1C",'Catalogue Aluminium'!$L$10,'Catalogue Aluminium'!$M$10)),IF(T339="GROUND",(IF($U339="1C",'Catalogue Aluminium'!$L$11,'Catalogue Aluminium'!$M$11)),IF(T339="TRENCH",(IF($U339="1C",'Catalogue Aluminium'!$L$12,'Catalogue Aluminium'!$M$12))))))</f>
        <v>0.66</v>
      </c>
      <c r="AK339" s="288" t="str">
        <f>IF(T339="Air",'Catalogue Aluminium'!$N$9,IF(T339="GROUND",'Catalogue Aluminium'!$N$10,IF(T339="DUCT",'Catalogue Aluminium'!$N$11,IF(T339="TRENCH",'Catalogue Aluminium'!$N$12,"NA"))))</f>
        <v>NA</v>
      </c>
      <c r="AL339" s="288" t="str">
        <f>IF(T339="Air",(IF(U339="1C",'Catalogue Aluminium'!$O$9,'Catalogue Aluminium'!$P$9)),IF(T339="DUCT",(IF($U339="1C",'Catalogue Aluminium'!$O$10,'Catalogue Aluminium'!$P$10)),IF(T339="GROUND",(IF($U339="1C",'Catalogue Aluminium'!$O$11,'Catalogue Aluminium'!$P$11)),IF(T339="TRENCH",(IF($U339="1C",'Catalogue Aluminium'!$O$12,'Catalogue Aluminium'!$P$12))))))</f>
        <v>NA</v>
      </c>
      <c r="AM339" s="288" t="str">
        <f>IF(T339="AIR","NA",IF(T339="TRENCH","NA",IF(T339="DUCT",IF(U339="1C",VLOOKUP(V339,'Catalogue Aluminium'!$Q$9:$S$28,2,FALSE),VLOOKUP(V339,'Catalogue Aluminium'!$Q$9:$S$28,3)),IF(T339="GROUND",IF(U339="1C",VLOOKUP(V339,'Catalogue Aluminium'!$Q$9:$S$28,2,FALSE),VLOOKUP(V339,'Catalogue Aluminium'!$Q$9:$S$28,3))))))</f>
        <v>NA</v>
      </c>
      <c r="AN339" s="312">
        <f t="shared" si="776"/>
        <v>0.58740000000000003</v>
      </c>
      <c r="AO339" s="304">
        <f t="shared" si="777"/>
        <v>41.118000000000002</v>
      </c>
      <c r="AP339" s="309">
        <f t="shared" si="778"/>
        <v>1</v>
      </c>
      <c r="AQ339" s="304" t="str">
        <f t="shared" si="779"/>
        <v>YES</v>
      </c>
      <c r="AR339" s="312">
        <f t="shared" si="780"/>
        <v>2.0729395095826004</v>
      </c>
      <c r="AS339" s="294" t="str">
        <f t="shared" si="781"/>
        <v>YES</v>
      </c>
      <c r="AT339" s="312" t="str">
        <f t="shared" si="782"/>
        <v>NA</v>
      </c>
      <c r="AU339" s="294" t="str">
        <f t="shared" si="783"/>
        <v>NA</v>
      </c>
      <c r="AV339" s="353" t="str">
        <f t="shared" si="784"/>
        <v>1R x 0.6/1kV x 3C x 16 Sqmm</v>
      </c>
      <c r="AW339" s="353" t="str">
        <f t="shared" si="785"/>
        <v>1R x 0.6/1kV x 3C x 16 Sqmm</v>
      </c>
      <c r="AX339" s="294">
        <f t="shared" si="869"/>
        <v>69</v>
      </c>
      <c r="AY339" s="354"/>
    </row>
    <row r="340" spans="1:51" s="607" customFormat="1">
      <c r="A340" s="273"/>
      <c r="B340" s="275"/>
      <c r="C340" s="273"/>
      <c r="D340" s="548" t="s">
        <v>1077</v>
      </c>
      <c r="E340" s="358"/>
      <c r="F340" s="412"/>
      <c r="G340" s="273"/>
      <c r="H340" s="281"/>
      <c r="I340" s="273"/>
      <c r="J340" s="273"/>
      <c r="K340" s="280"/>
      <c r="L340" s="275"/>
      <c r="M340" s="281"/>
      <c r="N340" s="274"/>
      <c r="O340" s="274"/>
      <c r="P340" s="275"/>
      <c r="Q340" s="281"/>
      <c r="R340" s="281"/>
      <c r="S340" s="281"/>
      <c r="T340" s="275"/>
      <c r="U340" s="281"/>
      <c r="V340" s="275"/>
      <c r="W340" s="275"/>
      <c r="X340" s="275"/>
      <c r="Y340" s="275"/>
      <c r="Z340" s="276"/>
      <c r="AA340" s="277"/>
      <c r="AB340" s="277"/>
      <c r="AC340" s="278"/>
      <c r="AD340" s="273"/>
      <c r="AE340" s="278"/>
      <c r="AF340" s="275"/>
      <c r="AG340" s="275"/>
      <c r="AH340" s="279"/>
      <c r="AI340" s="276"/>
      <c r="AJ340" s="274"/>
      <c r="AK340" s="276"/>
      <c r="AL340" s="276"/>
      <c r="AM340" s="276"/>
      <c r="AN340" s="282"/>
      <c r="AO340" s="281"/>
      <c r="AP340" s="280"/>
      <c r="AQ340" s="281"/>
      <c r="AR340" s="282"/>
      <c r="AS340" s="275"/>
      <c r="AT340" s="282"/>
      <c r="AU340" s="275"/>
      <c r="AV340" s="283"/>
      <c r="AW340" s="283"/>
      <c r="AX340" s="275"/>
      <c r="AY340" s="284"/>
    </row>
    <row r="341" spans="1:51" s="607" customFormat="1">
      <c r="A341" s="273"/>
      <c r="B341" s="275"/>
      <c r="C341" s="273"/>
      <c r="D341" s="548" t="s">
        <v>1078</v>
      </c>
      <c r="E341" s="358"/>
      <c r="F341" s="412"/>
      <c r="G341" s="273"/>
      <c r="H341" s="281"/>
      <c r="I341" s="273"/>
      <c r="J341" s="273"/>
      <c r="K341" s="280"/>
      <c r="L341" s="275"/>
      <c r="M341" s="281"/>
      <c r="N341" s="274"/>
      <c r="O341" s="274"/>
      <c r="P341" s="275"/>
      <c r="Q341" s="281"/>
      <c r="R341" s="281"/>
      <c r="S341" s="281"/>
      <c r="T341" s="275"/>
      <c r="U341" s="281"/>
      <c r="V341" s="275"/>
      <c r="W341" s="275"/>
      <c r="X341" s="275"/>
      <c r="Y341" s="275"/>
      <c r="Z341" s="276"/>
      <c r="AA341" s="277"/>
      <c r="AB341" s="277"/>
      <c r="AC341" s="278"/>
      <c r="AD341" s="273"/>
      <c r="AE341" s="278"/>
      <c r="AF341" s="275"/>
      <c r="AG341" s="275"/>
      <c r="AH341" s="279"/>
      <c r="AI341" s="276"/>
      <c r="AJ341" s="274"/>
      <c r="AK341" s="276"/>
      <c r="AL341" s="276"/>
      <c r="AM341" s="276"/>
      <c r="AN341" s="282"/>
      <c r="AO341" s="281"/>
      <c r="AP341" s="280"/>
      <c r="AQ341" s="281"/>
      <c r="AR341" s="282"/>
      <c r="AS341" s="275"/>
      <c r="AT341" s="282"/>
      <c r="AU341" s="275"/>
      <c r="AV341" s="283"/>
      <c r="AW341" s="283"/>
      <c r="AX341" s="275"/>
      <c r="AY341" s="284"/>
    </row>
    <row r="342" spans="1:51" s="576" customFormat="1">
      <c r="A342" s="298">
        <f>1+A339</f>
        <v>222</v>
      </c>
      <c r="B342" s="301" t="s">
        <v>382</v>
      </c>
      <c r="C342" s="298" t="s">
        <v>596</v>
      </c>
      <c r="D342" s="603" t="s">
        <v>1079</v>
      </c>
      <c r="E342" s="418" t="s">
        <v>410</v>
      </c>
      <c r="F342" s="420" t="s">
        <v>28</v>
      </c>
      <c r="G342" s="298" t="s">
        <v>298</v>
      </c>
      <c r="H342" s="421">
        <v>18</v>
      </c>
      <c r="I342" s="298" t="s">
        <v>299</v>
      </c>
      <c r="J342" s="298" t="s">
        <v>313</v>
      </c>
      <c r="K342" s="423">
        <v>230</v>
      </c>
      <c r="L342" s="301">
        <v>0.85</v>
      </c>
      <c r="M342" s="421">
        <v>0.95</v>
      </c>
      <c r="N342" s="299">
        <v>18.845066630771303</v>
      </c>
      <c r="O342" s="299">
        <v>0</v>
      </c>
      <c r="P342" s="301" t="str">
        <f t="shared" ref="P342:P345" si="870">IF(G342="MOTOR",0.2,"0.00")</f>
        <v>0.00</v>
      </c>
      <c r="Q342" s="421">
        <v>50</v>
      </c>
      <c r="R342" s="421">
        <v>0</v>
      </c>
      <c r="S342" s="421">
        <f t="shared" ref="S342:S345" si="871">(Q342*1000*SQRT(R342)/143)</f>
        <v>0</v>
      </c>
      <c r="T342" s="301" t="s">
        <v>131</v>
      </c>
      <c r="U342" s="421" t="s">
        <v>302</v>
      </c>
      <c r="V342" s="301">
        <v>25</v>
      </c>
      <c r="W342" s="301" t="str">
        <f t="shared" ref="W342:W345" si="872">CONCATENATE(U342," X ",V342)</f>
        <v>3C X 25</v>
      </c>
      <c r="X342" s="301" t="str">
        <f t="shared" ref="X342:X345" si="873">(IF(J342="1Ph",W342,IF(J342="3Ph",(IF(G342="MOTOR",(CONCATENATE(W342,"+PE")),W342)))))</f>
        <v>3C X 25</v>
      </c>
      <c r="Y342" s="301" t="s">
        <v>314</v>
      </c>
      <c r="Z342" s="300">
        <f>IF(T342="AIR",VLOOKUP(W342,'Catalogue Aluminium'!$B$9:$G$91,2,FALSE),IF(T342="GROUND",VLOOKUP(W342,'Catalogue Aluminium'!$B$9:$G$91,3,FALSE),IF(T342="DUCT",VLOOKUP(W342,'Catalogue Aluminium'!$B$9:$G$91,4,FALSE),IF(T342="TRENCH",VLOOKUP(W342,'Catalogue Aluminium'!$B$9:$G$91,2,FALSE)))))</f>
        <v>95</v>
      </c>
      <c r="AA342" s="302">
        <f>VLOOKUP(W342,'Catalogue Aluminium'!$B$9:$G$91,5,FALSE)</f>
        <v>1.54</v>
      </c>
      <c r="AB342" s="302">
        <f>VLOOKUP(W342,'Catalogue Aluminium'!$B$9:$G$91,6,FALSE)</f>
        <v>8.1600000000000006E-2</v>
      </c>
      <c r="AC342" s="598">
        <f t="shared" si="797"/>
        <v>34</v>
      </c>
      <c r="AD342" s="298">
        <f t="shared" ref="AD342:AD345" si="874">31+10</f>
        <v>41</v>
      </c>
      <c r="AE342" s="598">
        <v>10</v>
      </c>
      <c r="AF342" s="301">
        <v>8</v>
      </c>
      <c r="AG342" s="301">
        <f t="shared" ref="AG342:AG345" si="875">ROUNDUP((SUM(AC342:AF342)*0.1),0)</f>
        <v>10</v>
      </c>
      <c r="AH342" s="574">
        <f t="shared" ref="AH342:AH345" si="876">SUM(AC342:AG342)</f>
        <v>103</v>
      </c>
      <c r="AI342" s="300">
        <f>IF(T342="AIR",'Catalogue Aluminium'!$K$9,IF(T342="TRENCH",'Catalogue Aluminium'!$K$12,"NA"))</f>
        <v>0.89</v>
      </c>
      <c r="AJ342" s="299">
        <f>IF(T342="Air",(IF(U342="1C",'Catalogue Aluminium'!$L$9,'Catalogue Aluminium'!$M$9)),IF(T342="DUCT",(IF($U342="1C",'Catalogue Aluminium'!$L$10,'Catalogue Aluminium'!$M$10)),IF(T342="GROUND",(IF($U342="1C",'Catalogue Aluminium'!$L$11,'Catalogue Aluminium'!$M$11)),IF(T342="TRENCH",(IF($U342="1C",'Catalogue Aluminium'!$L$12,'Catalogue Aluminium'!$M$12))))))</f>
        <v>0.66</v>
      </c>
      <c r="AK342" s="300" t="str">
        <f>IF(T342="Air",'Catalogue Aluminium'!$N$9,IF(T342="GROUND",'Catalogue Aluminium'!$N$10,IF(T342="DUCT",'Catalogue Aluminium'!$N$11,IF(T342="TRENCH",'Catalogue Aluminium'!$N$12,"NA"))))</f>
        <v>NA</v>
      </c>
      <c r="AL342" s="300" t="str">
        <f>IF(T342="Air",(IF(U342="1C",'Catalogue Aluminium'!$O$9,'Catalogue Aluminium'!$P$9)),IF(T342="DUCT",(IF($U342="1C",'Catalogue Aluminium'!$O$10,'Catalogue Aluminium'!$P$10)),IF(T342="GROUND",(IF($U342="1C",'Catalogue Aluminium'!$O$11,'Catalogue Aluminium'!$P$11)),IF(T342="TRENCH",(IF($U342="1C",'Catalogue Aluminium'!$O$12,'Catalogue Aluminium'!$P$12))))))</f>
        <v>NA</v>
      </c>
      <c r="AM342" s="300" t="str">
        <f>IF(T342="AIR","NA",IF(T342="TRENCH","NA",IF(T342="DUCT",IF(U342="1C",VLOOKUP(V342,'Catalogue Aluminium'!$Q$9:$S$28,2,FALSE),VLOOKUP(V342,'Catalogue Aluminium'!$Q$9:$S$28,3)),IF(T342="GROUND",IF(U342="1C",VLOOKUP(V342,'Catalogue Aluminium'!$Q$9:$S$28,2,FALSE),VLOOKUP(V342,'Catalogue Aluminium'!$Q$9:$S$28,3))))))</f>
        <v>NA</v>
      </c>
      <c r="AN342" s="422">
        <f t="shared" ref="AN342:AN345" si="877">IF(T342="AIR",AI342*AJ342,IF(T342="TRENCH",AI342*AJ342,IF(T342="DUCT",AJ342*AK342*AL342*AM342,IF(T342="GROUND",AJ342*AK342*AL342*AM342))))</f>
        <v>0.58740000000000003</v>
      </c>
      <c r="AO342" s="421">
        <f t="shared" ref="AO342:AO345" si="878">Z342*AN342</f>
        <v>55.803000000000004</v>
      </c>
      <c r="AP342" s="423">
        <f t="shared" ref="AP342:AP345" si="879">CEILING(((N342)/AO342),1)</f>
        <v>1</v>
      </c>
      <c r="AQ342" s="421" t="str">
        <f t="shared" ref="AQ342:AQ345" si="880">IF(AO342*AP342&gt;=N342,"YES","NO")</f>
        <v>YES</v>
      </c>
      <c r="AR342" s="422">
        <f t="shared" ref="AR342:AR345" si="881">SQRT(3)*AH342*N342*((AA342*L342)+(AB342*SIN(ACOS(L342))))*100/(AP342*K342*1000)</f>
        <v>1.9762401426431155</v>
      </c>
      <c r="AS342" s="301" t="str">
        <f t="shared" ref="AS342:AS345" si="882">IF(G342="INCOMER",(IF(AR342&lt;=2,"YES","NO")),IF(G342="POWER",(IF(AR342&lt;=2.5,"YES","NO")),IF(G342="MOTOR",(IF(AR342&lt;=3,"YES","NO")))))</f>
        <v>YES</v>
      </c>
      <c r="AT342" s="422" t="str">
        <f t="shared" ref="AT342:AT345" si="883">IF(G342="MOTOR",(SQRT(3)*AH342*O342*((AA342*P342)+(AB342*SIN(ACOS(P342))))*100/(AP342*K342*1000)),"NA")</f>
        <v>NA</v>
      </c>
      <c r="AU342" s="301" t="str">
        <f t="shared" ref="AU342:AU345" si="884">IF(G342="MOTOR",IF(AT342&lt;=15,"YES","NO"),"NA")</f>
        <v>NA</v>
      </c>
      <c r="AV342" s="424" t="str">
        <f t="shared" ref="AV342:AV345" si="885">IF(U342="1C",CONCATENATE(AP342,"R x ",Y342,"kV x ",U342," x ",V342," Sqmm/Phase"),CONCATENATE(AP342,"R x ",0.6,"/1kV x ",U342," x ",V342," Sqmm"))</f>
        <v>1R x 0.6/1kV x 3C x 25 Sqmm</v>
      </c>
      <c r="AW342" s="424" t="str">
        <f t="shared" ref="AW342:AW345" si="886">IF(U342="1C",CONCATENATE(AP342,"R x ",Y342,"kV x ",U342," x ",V342," Sqmm/Phase"),CONCATENATE(AP342,"R x ",0.6,"/1kV x ",U342," x ",V342,(IF(G342="MOTOR","+PE",""))," Sqmm"))</f>
        <v>1R x 0.6/1kV x 3C x 25 Sqmm</v>
      </c>
      <c r="AX342" s="301">
        <f t="shared" ref="AX342:AX345" si="887">(IF(K342=400,(IF(U342="1C",(4*AH342*AP342),(AH342*AP342))),IF(K342=230,(AH342*AP342))))</f>
        <v>103</v>
      </c>
      <c r="AY342" s="575"/>
    </row>
    <row r="343" spans="1:51" s="576" customFormat="1">
      <c r="A343" s="298">
        <f t="shared" si="829"/>
        <v>223</v>
      </c>
      <c r="B343" s="301" t="s">
        <v>382</v>
      </c>
      <c r="C343" s="298" t="s">
        <v>596</v>
      </c>
      <c r="D343" s="603" t="s">
        <v>1080</v>
      </c>
      <c r="E343" s="418" t="s">
        <v>410</v>
      </c>
      <c r="F343" s="420" t="s">
        <v>28</v>
      </c>
      <c r="G343" s="298" t="s">
        <v>298</v>
      </c>
      <c r="H343" s="421">
        <v>18</v>
      </c>
      <c r="I343" s="298" t="s">
        <v>299</v>
      </c>
      <c r="J343" s="298" t="s">
        <v>313</v>
      </c>
      <c r="K343" s="423">
        <v>230</v>
      </c>
      <c r="L343" s="301">
        <v>0.85</v>
      </c>
      <c r="M343" s="421">
        <v>0.95</v>
      </c>
      <c r="N343" s="299">
        <v>18.845066630771303</v>
      </c>
      <c r="O343" s="299">
        <v>0</v>
      </c>
      <c r="P343" s="301" t="str">
        <f t="shared" si="870"/>
        <v>0.00</v>
      </c>
      <c r="Q343" s="421">
        <v>50</v>
      </c>
      <c r="R343" s="421">
        <v>0</v>
      </c>
      <c r="S343" s="421">
        <f t="shared" si="871"/>
        <v>0</v>
      </c>
      <c r="T343" s="301" t="s">
        <v>131</v>
      </c>
      <c r="U343" s="421" t="s">
        <v>302</v>
      </c>
      <c r="V343" s="301">
        <v>25</v>
      </c>
      <c r="W343" s="301" t="str">
        <f t="shared" si="872"/>
        <v>3C X 25</v>
      </c>
      <c r="X343" s="301" t="str">
        <f t="shared" si="873"/>
        <v>3C X 25</v>
      </c>
      <c r="Y343" s="301" t="s">
        <v>314</v>
      </c>
      <c r="Z343" s="300">
        <f>IF(T343="AIR",VLOOKUP(W343,'Catalogue Aluminium'!$B$9:$G$91,2,FALSE),IF(T343="GROUND",VLOOKUP(W343,'Catalogue Aluminium'!$B$9:$G$91,3,FALSE),IF(T343="DUCT",VLOOKUP(W343,'Catalogue Aluminium'!$B$9:$G$91,4,FALSE),IF(T343="TRENCH",VLOOKUP(W343,'Catalogue Aluminium'!$B$9:$G$91,2,FALSE)))))</f>
        <v>95</v>
      </c>
      <c r="AA343" s="302">
        <f>VLOOKUP(W343,'Catalogue Aluminium'!$B$9:$G$91,5,FALSE)</f>
        <v>1.54</v>
      </c>
      <c r="AB343" s="302">
        <f>VLOOKUP(W343,'Catalogue Aluminium'!$B$9:$G$91,6,FALSE)</f>
        <v>8.1600000000000006E-2</v>
      </c>
      <c r="AC343" s="598">
        <f t="shared" si="797"/>
        <v>34</v>
      </c>
      <c r="AD343" s="298">
        <f t="shared" si="874"/>
        <v>41</v>
      </c>
      <c r="AE343" s="598">
        <v>10</v>
      </c>
      <c r="AF343" s="301">
        <v>8</v>
      </c>
      <c r="AG343" s="301">
        <f t="shared" si="875"/>
        <v>10</v>
      </c>
      <c r="AH343" s="574">
        <f t="shared" si="876"/>
        <v>103</v>
      </c>
      <c r="AI343" s="300">
        <f>IF(T343="AIR",'Catalogue Aluminium'!$K$9,IF(T343="TRENCH",'Catalogue Aluminium'!$K$12,"NA"))</f>
        <v>0.89</v>
      </c>
      <c r="AJ343" s="299">
        <f>IF(T343="Air",(IF(U343="1C",'Catalogue Aluminium'!$L$9,'Catalogue Aluminium'!$M$9)),IF(T343="DUCT",(IF($U343="1C",'Catalogue Aluminium'!$L$10,'Catalogue Aluminium'!$M$10)),IF(T343="GROUND",(IF($U343="1C",'Catalogue Aluminium'!$L$11,'Catalogue Aluminium'!$M$11)),IF(T343="TRENCH",(IF($U343="1C",'Catalogue Aluminium'!$L$12,'Catalogue Aluminium'!$M$12))))))</f>
        <v>0.66</v>
      </c>
      <c r="AK343" s="300" t="str">
        <f>IF(T343="Air",'Catalogue Aluminium'!$N$9,IF(T343="GROUND",'Catalogue Aluminium'!$N$10,IF(T343="DUCT",'Catalogue Aluminium'!$N$11,IF(T343="TRENCH",'Catalogue Aluminium'!$N$12,"NA"))))</f>
        <v>NA</v>
      </c>
      <c r="AL343" s="300" t="str">
        <f>IF(T343="Air",(IF(U343="1C",'Catalogue Aluminium'!$O$9,'Catalogue Aluminium'!$P$9)),IF(T343="DUCT",(IF($U343="1C",'Catalogue Aluminium'!$O$10,'Catalogue Aluminium'!$P$10)),IF(T343="GROUND",(IF($U343="1C",'Catalogue Aluminium'!$O$11,'Catalogue Aluminium'!$P$11)),IF(T343="TRENCH",(IF($U343="1C",'Catalogue Aluminium'!$O$12,'Catalogue Aluminium'!$P$12))))))</f>
        <v>NA</v>
      </c>
      <c r="AM343" s="300" t="str">
        <f>IF(T343="AIR","NA",IF(T343="TRENCH","NA",IF(T343="DUCT",IF(U343="1C",VLOOKUP(V343,'Catalogue Aluminium'!$Q$9:$S$28,2,FALSE),VLOOKUP(V343,'Catalogue Aluminium'!$Q$9:$S$28,3)),IF(T343="GROUND",IF(U343="1C",VLOOKUP(V343,'Catalogue Aluminium'!$Q$9:$S$28,2,FALSE),VLOOKUP(V343,'Catalogue Aluminium'!$Q$9:$S$28,3))))))</f>
        <v>NA</v>
      </c>
      <c r="AN343" s="422">
        <f t="shared" si="877"/>
        <v>0.58740000000000003</v>
      </c>
      <c r="AO343" s="421">
        <f t="shared" si="878"/>
        <v>55.803000000000004</v>
      </c>
      <c r="AP343" s="423">
        <f t="shared" si="879"/>
        <v>1</v>
      </c>
      <c r="AQ343" s="421" t="str">
        <f t="shared" si="880"/>
        <v>YES</v>
      </c>
      <c r="AR343" s="422">
        <f t="shared" si="881"/>
        <v>1.9762401426431155</v>
      </c>
      <c r="AS343" s="301" t="str">
        <f t="shared" si="882"/>
        <v>YES</v>
      </c>
      <c r="AT343" s="422" t="str">
        <f t="shared" si="883"/>
        <v>NA</v>
      </c>
      <c r="AU343" s="301" t="str">
        <f t="shared" si="884"/>
        <v>NA</v>
      </c>
      <c r="AV343" s="424" t="str">
        <f t="shared" si="885"/>
        <v>1R x 0.6/1kV x 3C x 25 Sqmm</v>
      </c>
      <c r="AW343" s="424" t="str">
        <f t="shared" si="886"/>
        <v>1R x 0.6/1kV x 3C x 25 Sqmm</v>
      </c>
      <c r="AX343" s="301">
        <f t="shared" si="887"/>
        <v>103</v>
      </c>
      <c r="AY343" s="575"/>
    </row>
    <row r="344" spans="1:51" s="576" customFormat="1" ht="12.75" customHeight="1">
      <c r="A344" s="298">
        <f t="shared" si="829"/>
        <v>224</v>
      </c>
      <c r="B344" s="301" t="s">
        <v>382</v>
      </c>
      <c r="C344" s="298" t="s">
        <v>596</v>
      </c>
      <c r="D344" s="603" t="s">
        <v>1081</v>
      </c>
      <c r="E344" s="418" t="s">
        <v>410</v>
      </c>
      <c r="F344" s="420" t="s">
        <v>28</v>
      </c>
      <c r="G344" s="298" t="s">
        <v>298</v>
      </c>
      <c r="H344" s="421">
        <v>1.1000000000000001</v>
      </c>
      <c r="I344" s="298" t="s">
        <v>299</v>
      </c>
      <c r="J344" s="298" t="s">
        <v>313</v>
      </c>
      <c r="K344" s="423">
        <v>230</v>
      </c>
      <c r="L344" s="301">
        <v>0.85</v>
      </c>
      <c r="M344" s="421">
        <v>0.95</v>
      </c>
      <c r="N344" s="299">
        <v>18.845066630771303</v>
      </c>
      <c r="O344" s="299">
        <v>0</v>
      </c>
      <c r="P344" s="301" t="str">
        <f t="shared" si="870"/>
        <v>0.00</v>
      </c>
      <c r="Q344" s="421">
        <v>50</v>
      </c>
      <c r="R344" s="421">
        <v>0</v>
      </c>
      <c r="S344" s="421">
        <f t="shared" si="871"/>
        <v>0</v>
      </c>
      <c r="T344" s="301" t="s">
        <v>131</v>
      </c>
      <c r="U344" s="421" t="s">
        <v>302</v>
      </c>
      <c r="V344" s="301">
        <v>25</v>
      </c>
      <c r="W344" s="301" t="str">
        <f t="shared" si="872"/>
        <v>3C X 25</v>
      </c>
      <c r="X344" s="301" t="str">
        <f t="shared" si="873"/>
        <v>3C X 25</v>
      </c>
      <c r="Y344" s="301" t="s">
        <v>314</v>
      </c>
      <c r="Z344" s="300">
        <f>IF(T344="AIR",VLOOKUP(W344,'Catalogue Aluminium'!$B$9:$G$91,2,FALSE),IF(T344="GROUND",VLOOKUP(W344,'Catalogue Aluminium'!$B$9:$G$91,3,FALSE),IF(T344="DUCT",VLOOKUP(W344,'Catalogue Aluminium'!$B$9:$G$91,4,FALSE),IF(T344="TRENCH",VLOOKUP(W344,'Catalogue Aluminium'!$B$9:$G$91,2,FALSE)))))</f>
        <v>95</v>
      </c>
      <c r="AA344" s="302">
        <f>VLOOKUP(W344,'Catalogue Aluminium'!$B$9:$G$91,5,FALSE)</f>
        <v>1.54</v>
      </c>
      <c r="AB344" s="302">
        <f>VLOOKUP(W344,'Catalogue Aluminium'!$B$9:$G$91,6,FALSE)</f>
        <v>8.1600000000000006E-2</v>
      </c>
      <c r="AC344" s="598">
        <f t="shared" si="797"/>
        <v>34</v>
      </c>
      <c r="AD344" s="298">
        <f t="shared" si="874"/>
        <v>41</v>
      </c>
      <c r="AE344" s="598">
        <v>10</v>
      </c>
      <c r="AF344" s="301">
        <v>8</v>
      </c>
      <c r="AG344" s="301">
        <f t="shared" si="875"/>
        <v>10</v>
      </c>
      <c r="AH344" s="574">
        <f t="shared" si="876"/>
        <v>103</v>
      </c>
      <c r="AI344" s="300">
        <f>IF(T344="AIR",'Catalogue Aluminium'!$K$9,IF(T344="TRENCH",'Catalogue Aluminium'!$K$12,"NA"))</f>
        <v>0.89</v>
      </c>
      <c r="AJ344" s="299">
        <f>IF(T344="Air",(IF(U344="1C",'Catalogue Aluminium'!$L$9,'Catalogue Aluminium'!$M$9)),IF(T344="DUCT",(IF($U344="1C",'Catalogue Aluminium'!$L$10,'Catalogue Aluminium'!$M$10)),IF(T344="GROUND",(IF($U344="1C",'Catalogue Aluminium'!$L$11,'Catalogue Aluminium'!$M$11)),IF(T344="TRENCH",(IF($U344="1C",'Catalogue Aluminium'!$L$12,'Catalogue Aluminium'!$M$12))))))</f>
        <v>0.66</v>
      </c>
      <c r="AK344" s="300" t="str">
        <f>IF(T344="Air",'Catalogue Aluminium'!$N$9,IF(T344="GROUND",'Catalogue Aluminium'!$N$10,IF(T344="DUCT",'Catalogue Aluminium'!$N$11,IF(T344="TRENCH",'Catalogue Aluminium'!$N$12,"NA"))))</f>
        <v>NA</v>
      </c>
      <c r="AL344" s="300" t="str">
        <f>IF(T344="Air",(IF(U344="1C",'Catalogue Aluminium'!$O$9,'Catalogue Aluminium'!$P$9)),IF(T344="DUCT",(IF($U344="1C",'Catalogue Aluminium'!$O$10,'Catalogue Aluminium'!$P$10)),IF(T344="GROUND",(IF($U344="1C",'Catalogue Aluminium'!$O$11,'Catalogue Aluminium'!$P$11)),IF(T344="TRENCH",(IF($U344="1C",'Catalogue Aluminium'!$O$12,'Catalogue Aluminium'!$P$12))))))</f>
        <v>NA</v>
      </c>
      <c r="AM344" s="300" t="str">
        <f>IF(T344="AIR","NA",IF(T344="TRENCH","NA",IF(T344="DUCT",IF(U344="1C",VLOOKUP(V344,'Catalogue Aluminium'!$Q$9:$S$28,2,FALSE),VLOOKUP(V344,'Catalogue Aluminium'!$Q$9:$S$28,3)),IF(T344="GROUND",IF(U344="1C",VLOOKUP(V344,'Catalogue Aluminium'!$Q$9:$S$28,2,FALSE),VLOOKUP(V344,'Catalogue Aluminium'!$Q$9:$S$28,3))))))</f>
        <v>NA</v>
      </c>
      <c r="AN344" s="422">
        <f t="shared" si="877"/>
        <v>0.58740000000000003</v>
      </c>
      <c r="AO344" s="421">
        <f t="shared" si="878"/>
        <v>55.803000000000004</v>
      </c>
      <c r="AP344" s="423">
        <f t="shared" si="879"/>
        <v>1</v>
      </c>
      <c r="AQ344" s="421" t="str">
        <f t="shared" si="880"/>
        <v>YES</v>
      </c>
      <c r="AR344" s="422">
        <f t="shared" si="881"/>
        <v>1.9762401426431155</v>
      </c>
      <c r="AS344" s="301" t="str">
        <f t="shared" si="882"/>
        <v>YES</v>
      </c>
      <c r="AT344" s="422" t="str">
        <f t="shared" si="883"/>
        <v>NA</v>
      </c>
      <c r="AU344" s="301" t="str">
        <f t="shared" si="884"/>
        <v>NA</v>
      </c>
      <c r="AV344" s="424" t="str">
        <f t="shared" si="885"/>
        <v>1R x 0.6/1kV x 3C x 25 Sqmm</v>
      </c>
      <c r="AW344" s="424" t="str">
        <f t="shared" si="886"/>
        <v>1R x 0.6/1kV x 3C x 25 Sqmm</v>
      </c>
      <c r="AX344" s="301">
        <f t="shared" si="887"/>
        <v>103</v>
      </c>
      <c r="AY344" s="575"/>
    </row>
    <row r="345" spans="1:51" s="576" customFormat="1" ht="12.75" customHeight="1">
      <c r="A345" s="298">
        <f t="shared" si="829"/>
        <v>225</v>
      </c>
      <c r="B345" s="301" t="s">
        <v>382</v>
      </c>
      <c r="C345" s="298" t="s">
        <v>596</v>
      </c>
      <c r="D345" s="603" t="s">
        <v>1082</v>
      </c>
      <c r="E345" s="418" t="s">
        <v>410</v>
      </c>
      <c r="F345" s="420" t="s">
        <v>28</v>
      </c>
      <c r="G345" s="298" t="s">
        <v>298</v>
      </c>
      <c r="H345" s="421">
        <v>1.1000000000000001</v>
      </c>
      <c r="I345" s="298" t="s">
        <v>299</v>
      </c>
      <c r="J345" s="298" t="s">
        <v>313</v>
      </c>
      <c r="K345" s="423">
        <v>230</v>
      </c>
      <c r="L345" s="301">
        <v>0.85</v>
      </c>
      <c r="M345" s="421">
        <v>0.95</v>
      </c>
      <c r="N345" s="299">
        <v>18.845066630771303</v>
      </c>
      <c r="O345" s="299">
        <v>0</v>
      </c>
      <c r="P345" s="301" t="str">
        <f t="shared" si="870"/>
        <v>0.00</v>
      </c>
      <c r="Q345" s="421">
        <v>50</v>
      </c>
      <c r="R345" s="421">
        <v>0</v>
      </c>
      <c r="S345" s="421">
        <f t="shared" si="871"/>
        <v>0</v>
      </c>
      <c r="T345" s="301" t="s">
        <v>131</v>
      </c>
      <c r="U345" s="421" t="s">
        <v>302</v>
      </c>
      <c r="V345" s="301">
        <v>25</v>
      </c>
      <c r="W345" s="301" t="str">
        <f t="shared" si="872"/>
        <v>3C X 25</v>
      </c>
      <c r="X345" s="301" t="str">
        <f t="shared" si="873"/>
        <v>3C X 25</v>
      </c>
      <c r="Y345" s="301" t="s">
        <v>314</v>
      </c>
      <c r="Z345" s="300">
        <f>IF(T345="AIR",VLOOKUP(W345,'Catalogue Aluminium'!$B$9:$G$91,2,FALSE),IF(T345="GROUND",VLOOKUP(W345,'Catalogue Aluminium'!$B$9:$G$91,3,FALSE),IF(T345="DUCT",VLOOKUP(W345,'Catalogue Aluminium'!$B$9:$G$91,4,FALSE),IF(T345="TRENCH",VLOOKUP(W345,'Catalogue Aluminium'!$B$9:$G$91,2,FALSE)))))</f>
        <v>95</v>
      </c>
      <c r="AA345" s="302">
        <f>VLOOKUP(W345,'Catalogue Aluminium'!$B$9:$G$91,5,FALSE)</f>
        <v>1.54</v>
      </c>
      <c r="AB345" s="302">
        <f>VLOOKUP(W345,'Catalogue Aluminium'!$B$9:$G$91,6,FALSE)</f>
        <v>8.1600000000000006E-2</v>
      </c>
      <c r="AC345" s="598">
        <f t="shared" si="797"/>
        <v>34</v>
      </c>
      <c r="AD345" s="298">
        <f t="shared" si="874"/>
        <v>41</v>
      </c>
      <c r="AE345" s="598">
        <v>10</v>
      </c>
      <c r="AF345" s="301">
        <v>8</v>
      </c>
      <c r="AG345" s="301">
        <f t="shared" si="875"/>
        <v>10</v>
      </c>
      <c r="AH345" s="574">
        <f t="shared" si="876"/>
        <v>103</v>
      </c>
      <c r="AI345" s="300">
        <f>IF(T345="AIR",'Catalogue Aluminium'!$K$9,IF(T345="TRENCH",'Catalogue Aluminium'!$K$12,"NA"))</f>
        <v>0.89</v>
      </c>
      <c r="AJ345" s="299">
        <f>IF(T345="Air",(IF(U345="1C",'Catalogue Aluminium'!$L$9,'Catalogue Aluminium'!$M$9)),IF(T345="DUCT",(IF($U345="1C",'Catalogue Aluminium'!$L$10,'Catalogue Aluminium'!$M$10)),IF(T345="GROUND",(IF($U345="1C",'Catalogue Aluminium'!$L$11,'Catalogue Aluminium'!$M$11)),IF(T345="TRENCH",(IF($U345="1C",'Catalogue Aluminium'!$L$12,'Catalogue Aluminium'!$M$12))))))</f>
        <v>0.66</v>
      </c>
      <c r="AK345" s="300" t="str">
        <f>IF(T345="Air",'Catalogue Aluminium'!$N$9,IF(T345="GROUND",'Catalogue Aluminium'!$N$10,IF(T345="DUCT",'Catalogue Aluminium'!$N$11,IF(T345="TRENCH",'Catalogue Aluminium'!$N$12,"NA"))))</f>
        <v>NA</v>
      </c>
      <c r="AL345" s="300" t="str">
        <f>IF(T345="Air",(IF(U345="1C",'Catalogue Aluminium'!$O$9,'Catalogue Aluminium'!$P$9)),IF(T345="DUCT",(IF($U345="1C",'Catalogue Aluminium'!$O$10,'Catalogue Aluminium'!$P$10)),IF(T345="GROUND",(IF($U345="1C",'Catalogue Aluminium'!$O$11,'Catalogue Aluminium'!$P$11)),IF(T345="TRENCH",(IF($U345="1C",'Catalogue Aluminium'!$O$12,'Catalogue Aluminium'!$P$12))))))</f>
        <v>NA</v>
      </c>
      <c r="AM345" s="300" t="str">
        <f>IF(T345="AIR","NA",IF(T345="TRENCH","NA",IF(T345="DUCT",IF(U345="1C",VLOOKUP(V345,'Catalogue Aluminium'!$Q$9:$S$28,2,FALSE),VLOOKUP(V345,'Catalogue Aluminium'!$Q$9:$S$28,3)),IF(T345="GROUND",IF(U345="1C",VLOOKUP(V345,'Catalogue Aluminium'!$Q$9:$S$28,2,FALSE),VLOOKUP(V345,'Catalogue Aluminium'!$Q$9:$S$28,3))))))</f>
        <v>NA</v>
      </c>
      <c r="AN345" s="422">
        <f t="shared" si="877"/>
        <v>0.58740000000000003</v>
      </c>
      <c r="AO345" s="421">
        <f t="shared" si="878"/>
        <v>55.803000000000004</v>
      </c>
      <c r="AP345" s="423">
        <f t="shared" si="879"/>
        <v>1</v>
      </c>
      <c r="AQ345" s="421" t="str">
        <f t="shared" si="880"/>
        <v>YES</v>
      </c>
      <c r="AR345" s="422">
        <f t="shared" si="881"/>
        <v>1.9762401426431155</v>
      </c>
      <c r="AS345" s="301" t="str">
        <f t="shared" si="882"/>
        <v>YES</v>
      </c>
      <c r="AT345" s="422" t="str">
        <f t="shared" si="883"/>
        <v>NA</v>
      </c>
      <c r="AU345" s="301" t="str">
        <f t="shared" si="884"/>
        <v>NA</v>
      </c>
      <c r="AV345" s="424" t="str">
        <f t="shared" si="885"/>
        <v>1R x 0.6/1kV x 3C x 25 Sqmm</v>
      </c>
      <c r="AW345" s="424" t="str">
        <f t="shared" si="886"/>
        <v>1R x 0.6/1kV x 3C x 25 Sqmm</v>
      </c>
      <c r="AX345" s="301">
        <f t="shared" si="887"/>
        <v>103</v>
      </c>
      <c r="AY345" s="575"/>
    </row>
    <row r="346" spans="1:51" s="70" customFormat="1">
      <c r="A346" s="273"/>
      <c r="B346" s="273"/>
      <c r="C346" s="273"/>
      <c r="D346" s="357" t="s">
        <v>460</v>
      </c>
      <c r="E346" s="358"/>
      <c r="F346" s="412"/>
      <c r="G346" s="273"/>
      <c r="H346" s="281"/>
      <c r="I346" s="273"/>
      <c r="J346" s="273"/>
      <c r="K346" s="280"/>
      <c r="L346" s="275"/>
      <c r="M346" s="281"/>
      <c r="N346" s="274"/>
      <c r="O346" s="274"/>
      <c r="P346" s="275"/>
      <c r="Q346" s="281"/>
      <c r="R346" s="281"/>
      <c r="S346" s="281"/>
      <c r="T346" s="275"/>
      <c r="U346" s="281"/>
      <c r="V346" s="275"/>
      <c r="W346" s="275"/>
      <c r="X346" s="275"/>
      <c r="Y346" s="275"/>
      <c r="Z346" s="276"/>
      <c r="AA346" s="277"/>
      <c r="AB346" s="277"/>
      <c r="AC346" s="277"/>
      <c r="AD346" s="277"/>
      <c r="AE346" s="277"/>
      <c r="AF346" s="277"/>
      <c r="AG346" s="277"/>
      <c r="AH346" s="277"/>
      <c r="AI346" s="276"/>
      <c r="AJ346" s="274"/>
      <c r="AK346" s="276"/>
      <c r="AL346" s="276"/>
      <c r="AM346" s="276"/>
      <c r="AN346" s="282"/>
      <c r="AO346" s="281"/>
      <c r="AP346" s="280"/>
      <c r="AQ346" s="281"/>
      <c r="AR346" s="282"/>
      <c r="AS346" s="275"/>
      <c r="AT346" s="282"/>
      <c r="AU346" s="282"/>
      <c r="AV346" s="283"/>
      <c r="AW346" s="283"/>
      <c r="AX346" s="275"/>
      <c r="AY346" s="284"/>
    </row>
    <row r="347" spans="1:51">
      <c r="A347" s="243">
        <f>1+A339</f>
        <v>222</v>
      </c>
      <c r="B347" s="373" t="s">
        <v>625</v>
      </c>
      <c r="C347" s="243" t="str">
        <f>$D$293</f>
        <v>PDB-1</v>
      </c>
      <c r="D347" s="272" t="s">
        <v>626</v>
      </c>
      <c r="E347" s="351" t="s">
        <v>463</v>
      </c>
      <c r="F347" s="410" t="s">
        <v>28</v>
      </c>
      <c r="G347" s="243" t="s">
        <v>298</v>
      </c>
      <c r="H347" s="256">
        <v>31.073684210526316</v>
      </c>
      <c r="I347" s="243" t="s">
        <v>299</v>
      </c>
      <c r="J347" s="243" t="s">
        <v>300</v>
      </c>
      <c r="K347" s="255">
        <v>400</v>
      </c>
      <c r="L347" s="249">
        <v>0.85</v>
      </c>
      <c r="M347" s="256">
        <v>0.95</v>
      </c>
      <c r="N347" s="248">
        <f>IF(I347="kVA",IF(J347="3Ph",(H347*1000/(1.732*M347*K347)),(H347*1000/(M347*K347))),IF(I347="kW",IF(J347="3Ph",(H347*1000/(1.732*M347*K347*L347)),(H347*1000/(M347*K347*L347)))))</f>
        <v>55.544663215321002</v>
      </c>
      <c r="O347" s="248">
        <f t="shared" si="769"/>
        <v>0</v>
      </c>
      <c r="P347" s="249" t="str">
        <f>IF(G347="MOTOR",0.2,"0.00")</f>
        <v>0.00</v>
      </c>
      <c r="Q347" s="256">
        <v>50</v>
      </c>
      <c r="R347" s="256">
        <v>0</v>
      </c>
      <c r="S347" s="256">
        <f>(Q347*1000*SQRT(R347)/143)</f>
        <v>0</v>
      </c>
      <c r="T347" s="249" t="s">
        <v>131</v>
      </c>
      <c r="U347" s="256" t="s">
        <v>390</v>
      </c>
      <c r="V347" s="249">
        <v>25</v>
      </c>
      <c r="W347" s="249" t="str">
        <f>CONCATENATE(U347," X ",V347)</f>
        <v>3.5C X 25</v>
      </c>
      <c r="X347" s="249" t="str">
        <f>(IF(J347="1Ph",W347,IF(J347="3Ph",(IF(G347="MOTOR",(CONCATENATE(W347,"+PE")),W347)))))</f>
        <v>3.5C X 25</v>
      </c>
      <c r="Y347" s="249" t="s">
        <v>314</v>
      </c>
      <c r="Z347" s="250">
        <f>IF(T347="AIR",VLOOKUP(W347,'Catalogue Aluminium'!$B$9:$G$91,2,FALSE),IF(T347="GROUND",VLOOKUP(W347,'Catalogue Aluminium'!$B$9:$G$91,3,FALSE),IF(T347="DUCT",VLOOKUP(W347,'Catalogue Aluminium'!$B$9:$G$91,4,FALSE),IF(T347="TRENCH",VLOOKUP(W347,'Catalogue Aluminium'!$B$9:$G$91,2,FALSE)))))</f>
        <v>95</v>
      </c>
      <c r="AA347" s="251">
        <f>VLOOKUP(W347,'Catalogue Aluminium'!$B$9:$G$91,5,FALSE)</f>
        <v>1.54</v>
      </c>
      <c r="AB347" s="251">
        <f>VLOOKUP(W347,'Catalogue Aluminium'!$B$9:$G$91,6,FALSE)</f>
        <v>8.1600000000000006E-2</v>
      </c>
      <c r="AC347" s="323">
        <v>15</v>
      </c>
      <c r="AD347" s="285">
        <v>0</v>
      </c>
      <c r="AE347" s="323">
        <v>5</v>
      </c>
      <c r="AF347" s="294">
        <v>8</v>
      </c>
      <c r="AG347" s="294">
        <f t="shared" ref="AG347:AG348" si="888">ROUNDUP((SUM(AC347:AF347)*0.1),0)</f>
        <v>3</v>
      </c>
      <c r="AH347" s="253">
        <f t="shared" ref="AH347:AH348" si="889">SUM(AC347:AG347)</f>
        <v>31</v>
      </c>
      <c r="AI347" s="250">
        <f>IF(T347="AIR",'Catalogue Aluminium'!$K$9,IF(T347="TRENCH",'Catalogue Aluminium'!$K$12,"NA"))</f>
        <v>0.89</v>
      </c>
      <c r="AJ347" s="248">
        <f>IF(T347="Air",(IF(U347="1C",'Catalogue Aluminium'!$L$9,'Catalogue Aluminium'!$M$9)),IF(T347="DUCT",(IF($U347="1C",'Catalogue Aluminium'!$L$10,'Catalogue Aluminium'!$M$10)),IF(T347="GROUND",(IF($U347="1C",'Catalogue Aluminium'!$L$11,'Catalogue Aluminium'!$M$11)),IF(T347="TRENCH",(IF($U347="1C",'Catalogue Aluminium'!$L$12,'Catalogue Aluminium'!$M$12))))))</f>
        <v>0.66</v>
      </c>
      <c r="AK347" s="250" t="str">
        <f>IF(T347="Air",'Catalogue Aluminium'!$N$9,IF(T347="GROUND",'Catalogue Aluminium'!$N$10,IF(T347="DUCT",'Catalogue Aluminium'!$N$11,IF(T347="TRENCH",'Catalogue Aluminium'!$N$12,"NA"))))</f>
        <v>NA</v>
      </c>
      <c r="AL347" s="250" t="str">
        <f>IF(T347="Air",(IF(U347="1C",'Catalogue Aluminium'!$O$9,'Catalogue Aluminium'!$P$9)),IF(T347="DUCT",(IF($U347="1C",'Catalogue Aluminium'!$O$10,'Catalogue Aluminium'!$P$10)),IF(T347="GROUND",(IF($U347="1C",'Catalogue Aluminium'!$O$11,'Catalogue Aluminium'!$P$11)),IF(T347="TRENCH",(IF($U347="1C",'Catalogue Aluminium'!$O$12,'Catalogue Aluminium'!$P$12))))))</f>
        <v>NA</v>
      </c>
      <c r="AM347" s="250" t="str">
        <f>IF(T347="AIR","NA",IF(T347="TRENCH","NA",IF(T347="DUCT",IF(U347="1C",VLOOKUP(V347,'Catalogue Aluminium'!$Q$9:$S$28,2,FALSE),VLOOKUP(V347,'Catalogue Aluminium'!$Q$9:$S$28,3)),IF(T347="GROUND",IF(U347="1C",VLOOKUP(V347,'Catalogue Aluminium'!$Q$9:$S$28,2,FALSE),VLOOKUP(V347,'Catalogue Aluminium'!$Q$9:$S$28,3))))))</f>
        <v>NA</v>
      </c>
      <c r="AN347" s="257">
        <f>IF(T347="AIR",AI347*AJ347,IF(T347="TRENCH",AI347*AJ347,IF(T347="DUCT",AJ347*AK347*AL347*AM347,IF(T347="GROUND",AJ347*AK347*AL347*AM347))))</f>
        <v>0.58740000000000003</v>
      </c>
      <c r="AO347" s="256">
        <f>Z347*AN347</f>
        <v>55.803000000000004</v>
      </c>
      <c r="AP347" s="255">
        <f t="shared" ref="AP347:AP348" si="890">CEILING(((N347)/AO347),1)</f>
        <v>1</v>
      </c>
      <c r="AQ347" s="256" t="str">
        <f>IF(AO347*AP347&gt;=N347,"YES","NO")</f>
        <v>YES</v>
      </c>
      <c r="AR347" s="257">
        <f>SQRT(3)*AH347*N347*((AA347*L347)+(AB347*SIN(ACOS(L347))))*100/(AP347*K347*1000)</f>
        <v>1.0080375056966653</v>
      </c>
      <c r="AS347" s="249" t="str">
        <f>IF(G347="INCOMER",(IF(AR347&lt;=2,"YES","NO")),IF(G347="POWER",(IF(AR347&lt;=2.5,"YES","NO")),IF(G347="MOTOR",(IF(AR347&lt;=3,"YES","NO")))))</f>
        <v>YES</v>
      </c>
      <c r="AT347" s="257" t="str">
        <f>IF(G347="MOTOR",(SQRT(3)*AH347*O347*((AA347*P347)+(AB347*SIN(ACOS(P347))))*100/(AP347*K347*1000)),"NA")</f>
        <v>NA</v>
      </c>
      <c r="AU347" s="249" t="str">
        <f>IF(G347="MOTOR",IF(AT347&lt;=15,"YES","NO"),"NA")</f>
        <v>NA</v>
      </c>
      <c r="AV347" s="260" t="str">
        <f>IF(U347="1C",CONCATENATE(AP347,"R x ",Y347,"kV x ",U347," x ",V347," Sqmm/Phase"),CONCATENATE(AP347,"R x ",0.6,"/1kV x ",U347," x ",V347," Sqmm"))</f>
        <v>1R x 0.6/1kV x 3.5C x 25 Sqmm</v>
      </c>
      <c r="AW347" s="260" t="str">
        <f>IF(U347="1C",CONCATENATE(AP347,"R x ",Y347,"kV x ",U347," x ",V347," Sqmm/Phase"),CONCATENATE(AP347,"R x ",0.6,"/1kV x ",U347," x ",V347,(IF(G347="MOTOR","+PE",""))," Sqmm"))</f>
        <v>1R x 0.6/1kV x 3.5C x 25 Sqmm</v>
      </c>
      <c r="AX347" s="249">
        <f>(IF(K347=400,(IF(U347="1C",(4*AH347*AP347),(AH347*AP347))),IF(K347=230,(AH347*AP347))))</f>
        <v>31</v>
      </c>
      <c r="AY347" s="261"/>
    </row>
    <row r="348" spans="1:51">
      <c r="A348" s="243">
        <f t="shared" ref="A348:A369" si="891">1+A347</f>
        <v>223</v>
      </c>
      <c r="B348" s="373" t="s">
        <v>625</v>
      </c>
      <c r="C348" s="243" t="str">
        <f>$D$293</f>
        <v>PDB-1</v>
      </c>
      <c r="D348" s="272" t="s">
        <v>627</v>
      </c>
      <c r="E348" s="351" t="s">
        <v>463</v>
      </c>
      <c r="F348" s="410" t="s">
        <v>29</v>
      </c>
      <c r="G348" s="243" t="s">
        <v>298</v>
      </c>
      <c r="H348" s="256">
        <v>31.073684210526316</v>
      </c>
      <c r="I348" s="243" t="s">
        <v>299</v>
      </c>
      <c r="J348" s="243" t="s">
        <v>300</v>
      </c>
      <c r="K348" s="255">
        <v>400</v>
      </c>
      <c r="L348" s="249">
        <v>0.85</v>
      </c>
      <c r="M348" s="256">
        <v>0.95</v>
      </c>
      <c r="N348" s="248">
        <f>IF(I348="kVA",IF(J348="3Ph",(H348*1000/(1.732*M348*K348)),(H348*1000/(M348*K348))),IF(I348="kW",IF(J348="3Ph",(H348*1000/(1.732*M348*K348*L348)),(H348*1000/(M348*K348*L348)))))</f>
        <v>55.544663215321002</v>
      </c>
      <c r="O348" s="248">
        <f t="shared" si="769"/>
        <v>0</v>
      </c>
      <c r="P348" s="249" t="str">
        <f>IF(G348="MOTOR",0.2,"0.00")</f>
        <v>0.00</v>
      </c>
      <c r="Q348" s="256">
        <v>50</v>
      </c>
      <c r="R348" s="256">
        <v>0</v>
      </c>
      <c r="S348" s="256">
        <f>(Q348*1000*SQRT(R348)/143)</f>
        <v>0</v>
      </c>
      <c r="T348" s="249" t="s">
        <v>131</v>
      </c>
      <c r="U348" s="256" t="s">
        <v>390</v>
      </c>
      <c r="V348" s="249">
        <v>25</v>
      </c>
      <c r="W348" s="249" t="str">
        <f>CONCATENATE(U348," X ",V348)</f>
        <v>3.5C X 25</v>
      </c>
      <c r="X348" s="249" t="str">
        <f>(IF(J348="1Ph",W348,IF(J348="3Ph",(IF(G348="MOTOR",(CONCATENATE(W348,"+PE")),W348)))))</f>
        <v>3.5C X 25</v>
      </c>
      <c r="Y348" s="249" t="s">
        <v>314</v>
      </c>
      <c r="Z348" s="250">
        <f>IF(T348="AIR",VLOOKUP(W348,'Catalogue Aluminium'!$B$9:$G$91,2,FALSE),IF(T348="GROUND",VLOOKUP(W348,'Catalogue Aluminium'!$B$9:$G$91,3,FALSE),IF(T348="DUCT",VLOOKUP(W348,'Catalogue Aluminium'!$B$9:$G$91,4,FALSE),IF(T348="TRENCH",VLOOKUP(W348,'Catalogue Aluminium'!$B$9:$G$91,2,FALSE)))))</f>
        <v>95</v>
      </c>
      <c r="AA348" s="251">
        <f>VLOOKUP(W348,'Catalogue Aluminium'!$B$9:$G$91,5,FALSE)</f>
        <v>1.54</v>
      </c>
      <c r="AB348" s="251">
        <f>VLOOKUP(W348,'Catalogue Aluminium'!$B$9:$G$91,6,FALSE)</f>
        <v>8.1600000000000006E-2</v>
      </c>
      <c r="AC348" s="323">
        <v>15</v>
      </c>
      <c r="AD348" s="285">
        <v>0</v>
      </c>
      <c r="AE348" s="323">
        <v>5</v>
      </c>
      <c r="AF348" s="294">
        <v>8</v>
      </c>
      <c r="AG348" s="294">
        <f t="shared" si="888"/>
        <v>3</v>
      </c>
      <c r="AH348" s="253">
        <f t="shared" si="889"/>
        <v>31</v>
      </c>
      <c r="AI348" s="250">
        <f>IF(T348="AIR",'Catalogue Aluminium'!$K$9,IF(T348="TRENCH",'Catalogue Aluminium'!$K$12,"NA"))</f>
        <v>0.89</v>
      </c>
      <c r="AJ348" s="248">
        <f>IF(T348="Air",(IF(U348="1C",'Catalogue Aluminium'!$L$9,'Catalogue Aluminium'!$M$9)),IF(T348="DUCT",(IF($U348="1C",'Catalogue Aluminium'!$L$10,'Catalogue Aluminium'!$M$10)),IF(T348="GROUND",(IF($U348="1C",'Catalogue Aluminium'!$L$11,'Catalogue Aluminium'!$M$11)),IF(T348="TRENCH",(IF($U348="1C",'Catalogue Aluminium'!$L$12,'Catalogue Aluminium'!$M$12))))))</f>
        <v>0.66</v>
      </c>
      <c r="AK348" s="250" t="str">
        <f>IF(T348="Air",'Catalogue Aluminium'!$N$9,IF(T348="GROUND",'Catalogue Aluminium'!$N$10,IF(T348="DUCT",'Catalogue Aluminium'!$N$11,IF(T348="TRENCH",'Catalogue Aluminium'!$N$12,"NA"))))</f>
        <v>NA</v>
      </c>
      <c r="AL348" s="250" t="str">
        <f>IF(T348="Air",(IF(U348="1C",'Catalogue Aluminium'!$O$9,'Catalogue Aluminium'!$P$9)),IF(T348="DUCT",(IF($U348="1C",'Catalogue Aluminium'!$O$10,'Catalogue Aluminium'!$P$10)),IF(T348="GROUND",(IF($U348="1C",'Catalogue Aluminium'!$O$11,'Catalogue Aluminium'!$P$11)),IF(T348="TRENCH",(IF($U348="1C",'Catalogue Aluminium'!$O$12,'Catalogue Aluminium'!$P$12))))))</f>
        <v>NA</v>
      </c>
      <c r="AM348" s="250" t="str">
        <f>IF(T348="AIR","NA",IF(T348="TRENCH","NA",IF(T348="DUCT",IF(U348="1C",VLOOKUP(V348,'Catalogue Aluminium'!$Q$9:$S$28,2,FALSE),VLOOKUP(V348,'Catalogue Aluminium'!$Q$9:$S$28,3)),IF(T348="GROUND",IF(U348="1C",VLOOKUP(V348,'Catalogue Aluminium'!$Q$9:$S$28,2,FALSE),VLOOKUP(V348,'Catalogue Aluminium'!$Q$9:$S$28,3))))))</f>
        <v>NA</v>
      </c>
      <c r="AN348" s="257">
        <f>IF(T348="AIR",AI348*AJ348,IF(T348="TRENCH",AI348*AJ348,IF(T348="DUCT",AJ348*AK348*AL348*AM348,IF(T348="GROUND",AJ348*AK348*AL348*AM348))))</f>
        <v>0.58740000000000003</v>
      </c>
      <c r="AO348" s="256">
        <f>Z348*AN348</f>
        <v>55.803000000000004</v>
      </c>
      <c r="AP348" s="255">
        <f t="shared" si="890"/>
        <v>1</v>
      </c>
      <c r="AQ348" s="256" t="str">
        <f>IF(AO348*AP348&gt;=N348,"YES","NO")</f>
        <v>YES</v>
      </c>
      <c r="AR348" s="257">
        <f>SQRT(3)*AH348*N348*((AA348*L348)+(AB348*SIN(ACOS(L348))))*100/(AP348*K348*1000)</f>
        <v>1.0080375056966653</v>
      </c>
      <c r="AS348" s="249" t="str">
        <f>IF(G348="INCOMER",(IF(AR348&lt;=2,"YES","NO")),IF(G348="POWER",(IF(AR348&lt;=2.5,"YES","NO")),IF(G348="MOTOR",(IF(AR348&lt;=3,"YES","NO")))))</f>
        <v>YES</v>
      </c>
      <c r="AT348" s="257" t="str">
        <f>IF(G348="MOTOR",(SQRT(3)*AH348*O348*((AA348*P348)+(AB348*SIN(ACOS(P348))))*100/(AP348*K348*1000)),"NA")</f>
        <v>NA</v>
      </c>
      <c r="AU348" s="249" t="str">
        <f>IF(G348="MOTOR",IF(AT348&lt;=15,"YES","NO"),"NA")</f>
        <v>NA</v>
      </c>
      <c r="AV348" s="260" t="str">
        <f>IF(U348="1C",CONCATENATE(AP348,"R x ",Y348,"kV x ",U348," x ",V348," Sqmm/Phase"),CONCATENATE(AP348,"R x ",0.6,"/1kV x ",U348," x ",V348," Sqmm"))</f>
        <v>1R x 0.6/1kV x 3.5C x 25 Sqmm</v>
      </c>
      <c r="AW348" s="260" t="str">
        <f>IF(U348="1C",CONCATENATE(AP348,"R x ",Y348,"kV x ",U348," x ",V348," Sqmm/Phase"),CONCATENATE(AP348,"R x ",0.6,"/1kV x ",U348," x ",V348,(IF(G348="MOTOR","+PE",""))," Sqmm"))</f>
        <v>1R x 0.6/1kV x 3.5C x 25 Sqmm</v>
      </c>
      <c r="AX348" s="249">
        <f>(IF(K348=400,(IF(U348="1C",(4*AH348*AP348),(AH348*AP348))),IF(K348=230,(AH348*AP348))))</f>
        <v>31</v>
      </c>
      <c r="AY348" s="261"/>
    </row>
    <row r="349" spans="1:51" ht="25">
      <c r="A349" s="243">
        <f t="shared" si="891"/>
        <v>224</v>
      </c>
      <c r="B349" s="373" t="s">
        <v>467</v>
      </c>
      <c r="C349" s="243" t="str">
        <f>$D$6</f>
        <v>PMCC-1</v>
      </c>
      <c r="D349" s="272" t="s">
        <v>628</v>
      </c>
      <c r="E349" s="351" t="s">
        <v>463</v>
      </c>
      <c r="F349" s="410"/>
      <c r="G349" s="246" t="s">
        <v>306</v>
      </c>
      <c r="H349" s="256">
        <v>343.19366346235347</v>
      </c>
      <c r="I349" s="243" t="s">
        <v>299</v>
      </c>
      <c r="J349" s="243" t="s">
        <v>300</v>
      </c>
      <c r="K349" s="255">
        <v>400</v>
      </c>
      <c r="L349" s="249">
        <v>0.84999999999999987</v>
      </c>
      <c r="M349" s="256">
        <v>0.95099999999999985</v>
      </c>
      <c r="N349" s="248">
        <f>IF(I349="kVA",IF(J349="3Ph",(H349*1000/(1.732*M349*K349)),(H349*1000/(M349*K349))),IF(I349="kW",IF(J349="3Ph",(H349*1000/(1.732*M349*K349*L349)),(H349*1000/(M349*K349*L349)))))</f>
        <v>612.81860095636034</v>
      </c>
      <c r="O349" s="292"/>
      <c r="P349" s="293"/>
      <c r="Q349" s="293"/>
      <c r="R349" s="293"/>
      <c r="S349" s="293"/>
      <c r="T349" s="293"/>
      <c r="U349" s="293"/>
      <c r="V349" s="293"/>
      <c r="W349" s="293"/>
      <c r="X349" s="293"/>
      <c r="Y349" s="293"/>
      <c r="Z349" s="293"/>
      <c r="AA349" s="293"/>
      <c r="AB349" s="293"/>
      <c r="AC349" s="606"/>
      <c r="AD349" s="606"/>
      <c r="AE349" s="606"/>
      <c r="AF349" s="606"/>
      <c r="AG349" s="606"/>
      <c r="AH349" s="293"/>
      <c r="AI349" s="293"/>
      <c r="AJ349" s="293"/>
      <c r="AK349" s="293"/>
      <c r="AL349" s="293"/>
      <c r="AM349" s="293"/>
      <c r="AN349" s="293"/>
      <c r="AO349" s="293"/>
      <c r="AP349" s="293"/>
      <c r="AQ349" s="293"/>
      <c r="AR349" s="293"/>
      <c r="AS349" s="293"/>
      <c r="AT349" s="293"/>
      <c r="AU349" s="293"/>
      <c r="AV349" s="293"/>
      <c r="AW349" s="293"/>
      <c r="AX349" s="293"/>
      <c r="AY349" s="293"/>
    </row>
    <row r="350" spans="1:51" ht="25">
      <c r="A350" s="243">
        <f t="shared" si="891"/>
        <v>225</v>
      </c>
      <c r="B350" s="373" t="s">
        <v>467</v>
      </c>
      <c r="C350" s="243" t="str">
        <f>$D$6</f>
        <v>PMCC-1</v>
      </c>
      <c r="D350" s="272" t="s">
        <v>629</v>
      </c>
      <c r="E350" s="351" t="s">
        <v>463</v>
      </c>
      <c r="F350" s="410"/>
      <c r="G350" s="246" t="s">
        <v>306</v>
      </c>
      <c r="H350" s="256">
        <v>343.19366346235347</v>
      </c>
      <c r="I350" s="243" t="s">
        <v>299</v>
      </c>
      <c r="J350" s="243" t="s">
        <v>300</v>
      </c>
      <c r="K350" s="255">
        <v>400</v>
      </c>
      <c r="L350" s="249">
        <v>0.84999999999999987</v>
      </c>
      <c r="M350" s="256">
        <v>0.95099999999999985</v>
      </c>
      <c r="N350" s="248">
        <f>IF(I350="kVA",IF(J350="3Ph",(H350*1000/(1.732*M350*K350)),(H350*1000/(M350*K350))),IF(I350="kW",IF(J350="3Ph",(H350*1000/(1.732*M350*K350*L350)),(H350*1000/(M350*K350*L350)))))</f>
        <v>612.81860095636034</v>
      </c>
      <c r="O350" s="292"/>
      <c r="P350" s="293"/>
      <c r="Q350" s="293"/>
      <c r="R350" s="293"/>
      <c r="S350" s="293"/>
      <c r="T350" s="293"/>
      <c r="U350" s="293"/>
      <c r="V350" s="293"/>
      <c r="W350" s="293"/>
      <c r="X350" s="293"/>
      <c r="Y350" s="293"/>
      <c r="Z350" s="293"/>
      <c r="AA350" s="293"/>
      <c r="AB350" s="293"/>
      <c r="AC350" s="606"/>
      <c r="AD350" s="606"/>
      <c r="AE350" s="606"/>
      <c r="AF350" s="606"/>
      <c r="AG350" s="606"/>
      <c r="AH350" s="293"/>
      <c r="AI350" s="293"/>
      <c r="AJ350" s="293"/>
      <c r="AK350" s="293"/>
      <c r="AL350" s="293"/>
      <c r="AM350" s="293"/>
      <c r="AN350" s="293"/>
      <c r="AO350" s="293"/>
      <c r="AP350" s="293"/>
      <c r="AQ350" s="293"/>
      <c r="AR350" s="293"/>
      <c r="AS350" s="293"/>
      <c r="AT350" s="293"/>
      <c r="AU350" s="293"/>
      <c r="AV350" s="293"/>
      <c r="AW350" s="293"/>
      <c r="AX350" s="293"/>
      <c r="AY350" s="293"/>
    </row>
    <row r="351" spans="1:51" s="70" customFormat="1" ht="26.25" customHeight="1">
      <c r="A351" s="376"/>
      <c r="B351" s="376"/>
      <c r="C351" s="376"/>
      <c r="D351" s="242" t="s">
        <v>630</v>
      </c>
      <c r="E351" s="378"/>
      <c r="F351" s="566"/>
      <c r="G351" s="376"/>
      <c r="H351" s="379"/>
      <c r="I351" s="376"/>
      <c r="J351" s="376"/>
      <c r="K351" s="380"/>
      <c r="L351" s="381"/>
      <c r="M351" s="379"/>
      <c r="N351" s="382"/>
      <c r="O351" s="382"/>
      <c r="P351" s="381"/>
      <c r="Q351" s="379"/>
      <c r="R351" s="379"/>
      <c r="S351" s="379"/>
      <c r="T351" s="381"/>
      <c r="U351" s="379"/>
      <c r="V351" s="381"/>
      <c r="W351" s="381"/>
      <c r="X351" s="381"/>
      <c r="Y351" s="381"/>
      <c r="Z351" s="383"/>
      <c r="AA351" s="384"/>
      <c r="AB351" s="384"/>
      <c r="AC351" s="570"/>
      <c r="AD351" s="570"/>
      <c r="AE351" s="570"/>
      <c r="AF351" s="570"/>
      <c r="AG351" s="570"/>
      <c r="AH351" s="385"/>
      <c r="AI351" s="383"/>
      <c r="AJ351" s="382"/>
      <c r="AK351" s="383"/>
      <c r="AL351" s="383"/>
      <c r="AM351" s="383"/>
      <c r="AN351" s="386"/>
      <c r="AO351" s="379"/>
      <c r="AP351" s="380"/>
      <c r="AQ351" s="379"/>
      <c r="AR351" s="386"/>
      <c r="AS351" s="381"/>
      <c r="AT351" s="386"/>
      <c r="AU351" s="386"/>
      <c r="AV351" s="387"/>
      <c r="AW351" s="387"/>
      <c r="AX351" s="381"/>
      <c r="AY351" s="388"/>
    </row>
    <row r="352" spans="1:51">
      <c r="A352" s="243">
        <f>1+A350</f>
        <v>226</v>
      </c>
      <c r="B352" s="373" t="s">
        <v>307</v>
      </c>
      <c r="C352" s="243" t="str">
        <f t="shared" ref="C352:C367" si="892">$D$351</f>
        <v>ACDB-1</v>
      </c>
      <c r="D352" s="272" t="s">
        <v>631</v>
      </c>
      <c r="E352" s="351" t="s">
        <v>463</v>
      </c>
      <c r="F352" s="410"/>
      <c r="G352" s="243" t="s">
        <v>298</v>
      </c>
      <c r="H352" s="256">
        <v>5</v>
      </c>
      <c r="I352" s="243" t="s">
        <v>299</v>
      </c>
      <c r="J352" s="243" t="s">
        <v>300</v>
      </c>
      <c r="K352" s="255">
        <v>400</v>
      </c>
      <c r="L352" s="249">
        <v>0.84999999999999987</v>
      </c>
      <c r="M352" s="256">
        <v>0.95099999999999985</v>
      </c>
      <c r="N352" s="248">
        <f t="shared" ref="N352:N369" si="893">IF(I352="kVA",IF(J352="3Ph",(H352*1000/(1.732*M352*K352)),(H352*1000/(M352*K352))),IF(I352="kW",IF(J352="3Ph",(H352*1000/(1.732*M352*K352*L352)),(H352*1000/(M352*K352*L352)))))</f>
        <v>8.9281747625212677</v>
      </c>
      <c r="O352" s="248">
        <f t="shared" ref="O352:O367" si="894">IF(G352="MOTOR",(6*N352),IF(G352="VFD",(1*N352),0))</f>
        <v>0</v>
      </c>
      <c r="P352" s="249" t="str">
        <f t="shared" ref="P352:P367" si="895">IF(G352="MOTOR",0.2,"0.00")</f>
        <v>0.00</v>
      </c>
      <c r="Q352" s="256">
        <v>50</v>
      </c>
      <c r="R352" s="256">
        <v>0</v>
      </c>
      <c r="S352" s="256">
        <f t="shared" ref="S352:S367" si="896">(Q352*1000*SQRT(R352)/143)</f>
        <v>0</v>
      </c>
      <c r="T352" s="249" t="s">
        <v>131</v>
      </c>
      <c r="U352" s="256" t="s">
        <v>377</v>
      </c>
      <c r="V352" s="249">
        <v>4</v>
      </c>
      <c r="W352" s="249" t="str">
        <f t="shared" ref="W352:W367" si="897">CONCATENATE(U352," X ",V352)</f>
        <v>4C X 4</v>
      </c>
      <c r="X352" s="249" t="str">
        <f t="shared" ref="X352:X367" si="898">(IF(J352="1Ph",W352,IF(J352="3Ph",(IF(G352="MOTOR",(CONCATENATE(W352,"+PE")),W352)))))</f>
        <v>4C X 4</v>
      </c>
      <c r="Y352" s="249" t="s">
        <v>314</v>
      </c>
      <c r="Z352" s="250">
        <f>IF(T352="AIR",VLOOKUP(W352,'Catalogue Aluminium'!$B$9:$G$91,2,FALSE),IF(T352="GROUND",VLOOKUP(W352,'Catalogue Aluminium'!$B$9:$G$91,3,FALSE),IF(T352="DUCT",VLOOKUP(W352,'Catalogue Aluminium'!$B$9:$G$91,4,FALSE),IF(T352="TRENCH",VLOOKUP(W352,'Catalogue Aluminium'!$B$9:$G$91,2,FALSE)))))</f>
        <v>38</v>
      </c>
      <c r="AA352" s="251">
        <f>VLOOKUP(W352,'Catalogue Aluminium'!$B$9:$G$91,5,FALSE)</f>
        <v>5.9</v>
      </c>
      <c r="AB352" s="251">
        <f>VLOOKUP(W352,'Catalogue Aluminium'!$B$9:$G$91,6,FALSE)</f>
        <v>9.4700000000000006E-2</v>
      </c>
      <c r="AC352" s="285">
        <f>30+6</f>
        <v>36</v>
      </c>
      <c r="AD352" s="323">
        <v>0</v>
      </c>
      <c r="AE352" s="294">
        <v>5</v>
      </c>
      <c r="AF352" s="294">
        <v>8</v>
      </c>
      <c r="AG352" s="294">
        <f t="shared" ref="AG352:AG367" si="899">ROUNDUP((SUM(AC352:AF352)*0.1),0)</f>
        <v>5</v>
      </c>
      <c r="AH352" s="253">
        <f t="shared" ref="AH352:AH367" si="900">SUM(AC352:AG352)</f>
        <v>54</v>
      </c>
      <c r="AI352" s="250">
        <f>IF(T352="AIR",'Catalogue Aluminium'!$K$9,IF(T352="TRENCH",'Catalogue Aluminium'!$K$12,"NA"))</f>
        <v>0.89</v>
      </c>
      <c r="AJ352" s="248">
        <f>IF(T352="Air",(IF(U352="1C",'Catalogue Aluminium'!$L$9,'Catalogue Aluminium'!$M$9)),IF(T352="DUCT",(IF($U352="1C",'Catalogue Aluminium'!$L$10,'Catalogue Aluminium'!$M$10)),IF(T352="GROUND",(IF($U352="1C",'Catalogue Aluminium'!$L$11,'Catalogue Aluminium'!$M$11)),IF(T352="TRENCH",(IF($U352="1C",'Catalogue Aluminium'!$L$12,'Catalogue Aluminium'!$M$12))))))</f>
        <v>0.66</v>
      </c>
      <c r="AK352" s="250" t="str">
        <f>IF(T352="Air",'Catalogue Aluminium'!$N$9,IF(T352="GROUND",'Catalogue Aluminium'!$N$10,IF(T352="DUCT",'Catalogue Aluminium'!$N$11,IF(T352="TRENCH",'Catalogue Aluminium'!$N$12,"NA"))))</f>
        <v>NA</v>
      </c>
      <c r="AL352" s="250" t="str">
        <f>IF(T352="Air",(IF(U352="1C",'Catalogue Aluminium'!$O$9,'Catalogue Aluminium'!$P$9)),IF(T352="DUCT",(IF($U352="1C",'Catalogue Aluminium'!$O$10,'Catalogue Aluminium'!$P$10)),IF(T352="GROUND",(IF($U352="1C",'Catalogue Aluminium'!$O$11,'Catalogue Aluminium'!$P$11)),IF(T352="TRENCH",(IF($U352="1C",'Catalogue Aluminium'!$O$12,'Catalogue Aluminium'!$P$12))))))</f>
        <v>NA</v>
      </c>
      <c r="AM352" s="250" t="str">
        <f>IF(T352="AIR","NA",IF(T352="TRENCH","NA",IF(T352="DUCT",IF(U352="1C",VLOOKUP(V352,'Catalogue Aluminium'!$Q$9:$S$28,2,FALSE),VLOOKUP(V352,'Catalogue Aluminium'!$Q$9:$S$28,3)),IF(T352="GROUND",IF(U352="1C",VLOOKUP(V352,'Catalogue Aluminium'!$Q$9:$S$28,2,FALSE),VLOOKUP(V352,'Catalogue Aluminium'!$Q$9:$S$28,3))))))</f>
        <v>NA</v>
      </c>
      <c r="AN352" s="257">
        <f t="shared" ref="AN352:AN367" si="901">IF(T352="AIR",AI352*AJ352,IF(T352="TRENCH",AI352*AJ352,IF(T352="DUCT",AJ352*AK352*AL352*AM352,IF(T352="GROUND",AJ352*AK352*AL352*AM352))))</f>
        <v>0.58740000000000003</v>
      </c>
      <c r="AO352" s="256">
        <f t="shared" ref="AO352:AO367" si="902">Z352*AN352</f>
        <v>22.321200000000001</v>
      </c>
      <c r="AP352" s="255">
        <f t="shared" ref="AP352:AP367" si="903">CEILING(((N352)/AO352),1)</f>
        <v>1</v>
      </c>
      <c r="AQ352" s="256" t="str">
        <f t="shared" ref="AQ352:AQ367" si="904">IF(AO352*AP352&gt;=N352,"YES","NO")</f>
        <v>YES</v>
      </c>
      <c r="AR352" s="257">
        <f t="shared" ref="AR352:AR367" si="905">SQRT(3)*AH352*N352*((AA352*L352)+(AB352*SIN(ACOS(L352))))*100/(AP352*K352*1000)</f>
        <v>1.0573695043955984</v>
      </c>
      <c r="AS352" s="249" t="str">
        <f t="shared" ref="AS352:AS367" si="906">IF(G352="INCOMER",(IF(AR352&lt;=2,"YES","NO")),IF(G352="POWER",(IF(AR352&lt;=2.5,"YES","NO")),IF(G352="MOTOR",(IF(AR352&lt;=3,"YES","NO")))))</f>
        <v>YES</v>
      </c>
      <c r="AT352" s="257" t="str">
        <f t="shared" ref="AT352:AT367" si="907">IF(G352="MOTOR",(SQRT(3)*AH352*O352*((AA352*P352)+(AB352*SIN(ACOS(P352))))*100/(AP352*K352*1000)),"NA")</f>
        <v>NA</v>
      </c>
      <c r="AU352" s="249" t="str">
        <f t="shared" ref="AU352:AU367" si="908">IF(G352="MOTOR",IF(AT352&lt;=15,"YES","NO"),"NA")</f>
        <v>NA</v>
      </c>
      <c r="AV352" s="260" t="str">
        <f t="shared" ref="AV352:AV367" si="909">IF(U352="1C",CONCATENATE(AP352,"R x ",Y352,"kV x ",U352," x ",V352," Sqmm/Phase"),CONCATENATE(AP352,"R x ",0.6,"/1kV x ",U352," x ",V352," Sqmm"))</f>
        <v>1R x 0.6/1kV x 4C x 4 Sqmm</v>
      </c>
      <c r="AW352" s="260" t="str">
        <f t="shared" ref="AW352:AW367" si="910">IF(U352="1C",CONCATENATE(AP352,"R x ",Y352,"kV x ",U352," x ",V352," Sqmm/Phase"),CONCATENATE(AP352,"R x ",0.6,"/1kV x ",U352," x ",V352,(IF(G352="MOTOR","+PE",""))," Sqmm"))</f>
        <v>1R x 0.6/1kV x 4C x 4 Sqmm</v>
      </c>
      <c r="AX352" s="249">
        <f t="shared" ref="AX352:AX367" si="911">(IF(K352=400,(IF(U352="1C",(4*AH352*AP352),(AH352*AP352))),IF(K352=230,(AH352*AP352))))</f>
        <v>54</v>
      </c>
      <c r="AY352" s="261"/>
    </row>
    <row r="353" spans="1:51">
      <c r="A353" s="243">
        <f t="shared" si="891"/>
        <v>227</v>
      </c>
      <c r="B353" s="373" t="s">
        <v>307</v>
      </c>
      <c r="C353" s="243" t="str">
        <f t="shared" si="892"/>
        <v>ACDB-1</v>
      </c>
      <c r="D353" s="272" t="s">
        <v>632</v>
      </c>
      <c r="E353" s="351" t="s">
        <v>463</v>
      </c>
      <c r="F353" s="410"/>
      <c r="G353" s="243" t="s">
        <v>298</v>
      </c>
      <c r="H353" s="256">
        <v>5</v>
      </c>
      <c r="I353" s="243" t="s">
        <v>299</v>
      </c>
      <c r="J353" s="243" t="s">
        <v>300</v>
      </c>
      <c r="K353" s="255">
        <v>400</v>
      </c>
      <c r="L353" s="249">
        <v>0.84999999999999987</v>
      </c>
      <c r="M353" s="256">
        <v>0.95099999999999985</v>
      </c>
      <c r="N353" s="248">
        <f t="shared" si="893"/>
        <v>8.9281747625212677</v>
      </c>
      <c r="O353" s="248">
        <f t="shared" si="894"/>
        <v>0</v>
      </c>
      <c r="P353" s="249" t="str">
        <f t="shared" si="895"/>
        <v>0.00</v>
      </c>
      <c r="Q353" s="256">
        <v>50</v>
      </c>
      <c r="R353" s="256">
        <v>0</v>
      </c>
      <c r="S353" s="256">
        <f t="shared" si="896"/>
        <v>0</v>
      </c>
      <c r="T353" s="249" t="s">
        <v>131</v>
      </c>
      <c r="U353" s="256" t="s">
        <v>377</v>
      </c>
      <c r="V353" s="249">
        <v>4</v>
      </c>
      <c r="W353" s="249" t="str">
        <f t="shared" si="897"/>
        <v>4C X 4</v>
      </c>
      <c r="X353" s="249" t="str">
        <f t="shared" si="898"/>
        <v>4C X 4</v>
      </c>
      <c r="Y353" s="249" t="s">
        <v>314</v>
      </c>
      <c r="Z353" s="250">
        <f>IF(T353="AIR",VLOOKUP(W353,'Catalogue Aluminium'!$B$9:$G$91,2,FALSE),IF(T353="GROUND",VLOOKUP(W353,'Catalogue Aluminium'!$B$9:$G$91,3,FALSE),IF(T353="DUCT",VLOOKUP(W353,'Catalogue Aluminium'!$B$9:$G$91,4,FALSE),IF(T353="TRENCH",VLOOKUP(W353,'Catalogue Aluminium'!$B$9:$G$91,2,FALSE)))))</f>
        <v>38</v>
      </c>
      <c r="AA353" s="251">
        <f>VLOOKUP(W353,'Catalogue Aluminium'!$B$9:$G$91,5,FALSE)</f>
        <v>5.9</v>
      </c>
      <c r="AB353" s="251">
        <f>VLOOKUP(W353,'Catalogue Aluminium'!$B$9:$G$91,6,FALSE)</f>
        <v>9.4700000000000006E-2</v>
      </c>
      <c r="AC353" s="285">
        <f t="shared" ref="AC353" si="912">30+6</f>
        <v>36</v>
      </c>
      <c r="AD353" s="323">
        <v>0</v>
      </c>
      <c r="AE353" s="294">
        <v>5</v>
      </c>
      <c r="AF353" s="294">
        <v>8</v>
      </c>
      <c r="AG353" s="294">
        <f t="shared" si="899"/>
        <v>5</v>
      </c>
      <c r="AH353" s="253">
        <f t="shared" si="900"/>
        <v>54</v>
      </c>
      <c r="AI353" s="250">
        <f>IF(T353="AIR",'Catalogue Aluminium'!$K$9,IF(T353="TRENCH",'Catalogue Aluminium'!$K$12,"NA"))</f>
        <v>0.89</v>
      </c>
      <c r="AJ353" s="248">
        <f>IF(T353="Air",(IF(U353="1C",'Catalogue Aluminium'!$L$9,'Catalogue Aluminium'!$M$9)),IF(T353="DUCT",(IF($U353="1C",'Catalogue Aluminium'!$L$10,'Catalogue Aluminium'!$M$10)),IF(T353="GROUND",(IF($U353="1C",'Catalogue Aluminium'!$L$11,'Catalogue Aluminium'!$M$11)),IF(T353="TRENCH",(IF($U353="1C",'Catalogue Aluminium'!$L$12,'Catalogue Aluminium'!$M$12))))))</f>
        <v>0.66</v>
      </c>
      <c r="AK353" s="250" t="str">
        <f>IF(T353="Air",'Catalogue Aluminium'!$N$9,IF(T353="GROUND",'Catalogue Aluminium'!$N$10,IF(T353="DUCT",'Catalogue Aluminium'!$N$11,IF(T353="TRENCH",'Catalogue Aluminium'!$N$12,"NA"))))</f>
        <v>NA</v>
      </c>
      <c r="AL353" s="250" t="str">
        <f>IF(T353="Air",(IF(U353="1C",'Catalogue Aluminium'!$O$9,'Catalogue Aluminium'!$P$9)),IF(T353="DUCT",(IF($U353="1C",'Catalogue Aluminium'!$O$10,'Catalogue Aluminium'!$P$10)),IF(T353="GROUND",(IF($U353="1C",'Catalogue Aluminium'!$O$11,'Catalogue Aluminium'!$P$11)),IF(T353="TRENCH",(IF($U353="1C",'Catalogue Aluminium'!$O$12,'Catalogue Aluminium'!$P$12))))))</f>
        <v>NA</v>
      </c>
      <c r="AM353" s="250" t="str">
        <f>IF(T353="AIR","NA",IF(T353="TRENCH","NA",IF(T353="DUCT",IF(U353="1C",VLOOKUP(V353,'Catalogue Aluminium'!$Q$9:$S$28,2,FALSE),VLOOKUP(V353,'Catalogue Aluminium'!$Q$9:$S$28,3)),IF(T353="GROUND",IF(U353="1C",VLOOKUP(V353,'Catalogue Aluminium'!$Q$9:$S$28,2,FALSE),VLOOKUP(V353,'Catalogue Aluminium'!$Q$9:$S$28,3))))))</f>
        <v>NA</v>
      </c>
      <c r="AN353" s="257">
        <f t="shared" si="901"/>
        <v>0.58740000000000003</v>
      </c>
      <c r="AO353" s="256">
        <f t="shared" si="902"/>
        <v>22.321200000000001</v>
      </c>
      <c r="AP353" s="255">
        <f t="shared" si="903"/>
        <v>1</v>
      </c>
      <c r="AQ353" s="256" t="str">
        <f t="shared" si="904"/>
        <v>YES</v>
      </c>
      <c r="AR353" s="257">
        <f t="shared" si="905"/>
        <v>1.0573695043955984</v>
      </c>
      <c r="AS353" s="249" t="str">
        <f t="shared" si="906"/>
        <v>YES</v>
      </c>
      <c r="AT353" s="257" t="str">
        <f t="shared" si="907"/>
        <v>NA</v>
      </c>
      <c r="AU353" s="249" t="str">
        <f t="shared" si="908"/>
        <v>NA</v>
      </c>
      <c r="AV353" s="260" t="str">
        <f t="shared" si="909"/>
        <v>1R x 0.6/1kV x 4C x 4 Sqmm</v>
      </c>
      <c r="AW353" s="260" t="str">
        <f t="shared" si="910"/>
        <v>1R x 0.6/1kV x 4C x 4 Sqmm</v>
      </c>
      <c r="AX353" s="249">
        <f t="shared" si="911"/>
        <v>54</v>
      </c>
      <c r="AY353" s="261"/>
    </row>
    <row r="354" spans="1:51">
      <c r="A354" s="243">
        <f t="shared" si="891"/>
        <v>228</v>
      </c>
      <c r="B354" s="373" t="s">
        <v>633</v>
      </c>
      <c r="C354" s="243" t="str">
        <f t="shared" si="892"/>
        <v>ACDB-1</v>
      </c>
      <c r="D354" s="272" t="s">
        <v>634</v>
      </c>
      <c r="E354" s="351" t="s">
        <v>463</v>
      </c>
      <c r="F354" s="410"/>
      <c r="G354" s="243" t="s">
        <v>298</v>
      </c>
      <c r="H354" s="256">
        <v>5</v>
      </c>
      <c r="I354" s="243" t="s">
        <v>299</v>
      </c>
      <c r="J354" s="243" t="s">
        <v>300</v>
      </c>
      <c r="K354" s="255">
        <v>400</v>
      </c>
      <c r="L354" s="249">
        <v>0.84999999999999987</v>
      </c>
      <c r="M354" s="256">
        <v>0.95099999999999985</v>
      </c>
      <c r="N354" s="248">
        <f t="shared" si="893"/>
        <v>8.9281747625212677</v>
      </c>
      <c r="O354" s="248">
        <f t="shared" si="894"/>
        <v>0</v>
      </c>
      <c r="P354" s="249" t="str">
        <f t="shared" si="895"/>
        <v>0.00</v>
      </c>
      <c r="Q354" s="256">
        <v>50</v>
      </c>
      <c r="R354" s="256">
        <v>0</v>
      </c>
      <c r="S354" s="256">
        <f t="shared" si="896"/>
        <v>0</v>
      </c>
      <c r="T354" s="249" t="s">
        <v>131</v>
      </c>
      <c r="U354" s="256" t="s">
        <v>377</v>
      </c>
      <c r="V354" s="249">
        <v>4</v>
      </c>
      <c r="W354" s="249" t="str">
        <f t="shared" si="897"/>
        <v>4C X 4</v>
      </c>
      <c r="X354" s="249" t="str">
        <f t="shared" si="898"/>
        <v>4C X 4</v>
      </c>
      <c r="Y354" s="249" t="s">
        <v>314</v>
      </c>
      <c r="Z354" s="250">
        <f>IF(T354="AIR",VLOOKUP(W354,'Catalogue Aluminium'!$B$9:$G$91,2,FALSE),IF(T354="GROUND",VLOOKUP(W354,'Catalogue Aluminium'!$B$9:$G$91,3,FALSE),IF(T354="DUCT",VLOOKUP(W354,'Catalogue Aluminium'!$B$9:$G$91,4,FALSE),IF(T354="TRENCH",VLOOKUP(W354,'Catalogue Aluminium'!$B$9:$G$91,2,FALSE)))))</f>
        <v>38</v>
      </c>
      <c r="AA354" s="251">
        <f>VLOOKUP(W354,'Catalogue Aluminium'!$B$9:$G$91,5,FALSE)</f>
        <v>5.9</v>
      </c>
      <c r="AB354" s="251">
        <f>VLOOKUP(W354,'Catalogue Aluminium'!$B$9:$G$91,6,FALSE)</f>
        <v>9.4700000000000006E-2</v>
      </c>
      <c r="AC354" s="285">
        <f>25</f>
        <v>25</v>
      </c>
      <c r="AD354" s="323">
        <v>0</v>
      </c>
      <c r="AE354" s="294">
        <v>5</v>
      </c>
      <c r="AF354" s="294">
        <v>8</v>
      </c>
      <c r="AG354" s="294">
        <f t="shared" si="899"/>
        <v>4</v>
      </c>
      <c r="AH354" s="253">
        <f t="shared" si="900"/>
        <v>42</v>
      </c>
      <c r="AI354" s="250">
        <f>IF(T354="AIR",'Catalogue Aluminium'!$K$9,IF(T354="TRENCH",'Catalogue Aluminium'!$K$12,"NA"))</f>
        <v>0.89</v>
      </c>
      <c r="AJ354" s="248">
        <f>IF(T354="Air",(IF(U354="1C",'Catalogue Aluminium'!$L$9,'Catalogue Aluminium'!$M$9)),IF(T354="DUCT",(IF($U354="1C",'Catalogue Aluminium'!$L$10,'Catalogue Aluminium'!$M$10)),IF(T354="GROUND",(IF($U354="1C",'Catalogue Aluminium'!$L$11,'Catalogue Aluminium'!$M$11)),IF(T354="TRENCH",(IF($U354="1C",'Catalogue Aluminium'!$L$12,'Catalogue Aluminium'!$M$12))))))</f>
        <v>0.66</v>
      </c>
      <c r="AK354" s="250" t="str">
        <f>IF(T354="Air",'Catalogue Aluminium'!$N$9,IF(T354="GROUND",'Catalogue Aluminium'!$N$10,IF(T354="DUCT",'Catalogue Aluminium'!$N$11,IF(T354="TRENCH",'Catalogue Aluminium'!$N$12,"NA"))))</f>
        <v>NA</v>
      </c>
      <c r="AL354" s="250" t="str">
        <f>IF(T354="Air",(IF(U354="1C",'Catalogue Aluminium'!$O$9,'Catalogue Aluminium'!$P$9)),IF(T354="DUCT",(IF($U354="1C",'Catalogue Aluminium'!$O$10,'Catalogue Aluminium'!$P$10)),IF(T354="GROUND",(IF($U354="1C",'Catalogue Aluminium'!$O$11,'Catalogue Aluminium'!$P$11)),IF(T354="TRENCH",(IF($U354="1C",'Catalogue Aluminium'!$O$12,'Catalogue Aluminium'!$P$12))))))</f>
        <v>NA</v>
      </c>
      <c r="AM354" s="250" t="str">
        <f>IF(T354="AIR","NA",IF(T354="TRENCH","NA",IF(T354="DUCT",IF(U354="1C",VLOOKUP(V354,'Catalogue Aluminium'!$Q$9:$S$28,2,FALSE),VLOOKUP(V354,'Catalogue Aluminium'!$Q$9:$S$28,3)),IF(T354="GROUND",IF(U354="1C",VLOOKUP(V354,'Catalogue Aluminium'!$Q$9:$S$28,2,FALSE),VLOOKUP(V354,'Catalogue Aluminium'!$Q$9:$S$28,3))))))</f>
        <v>NA</v>
      </c>
      <c r="AN354" s="257">
        <f t="shared" si="901"/>
        <v>0.58740000000000003</v>
      </c>
      <c r="AO354" s="256">
        <f t="shared" si="902"/>
        <v>22.321200000000001</v>
      </c>
      <c r="AP354" s="255">
        <f t="shared" si="903"/>
        <v>1</v>
      </c>
      <c r="AQ354" s="256" t="str">
        <f t="shared" si="904"/>
        <v>YES</v>
      </c>
      <c r="AR354" s="257">
        <f t="shared" si="905"/>
        <v>0.82239850341879905</v>
      </c>
      <c r="AS354" s="249" t="str">
        <f t="shared" si="906"/>
        <v>YES</v>
      </c>
      <c r="AT354" s="257" t="str">
        <f t="shared" si="907"/>
        <v>NA</v>
      </c>
      <c r="AU354" s="249" t="str">
        <f t="shared" si="908"/>
        <v>NA</v>
      </c>
      <c r="AV354" s="260" t="str">
        <f t="shared" si="909"/>
        <v>1R x 0.6/1kV x 4C x 4 Sqmm</v>
      </c>
      <c r="AW354" s="260" t="str">
        <f t="shared" si="910"/>
        <v>1R x 0.6/1kV x 4C x 4 Sqmm</v>
      </c>
      <c r="AX354" s="249">
        <f t="shared" si="911"/>
        <v>42</v>
      </c>
      <c r="AY354" s="261"/>
    </row>
    <row r="355" spans="1:51">
      <c r="A355" s="243">
        <f t="shared" si="891"/>
        <v>229</v>
      </c>
      <c r="B355" s="373" t="s">
        <v>633</v>
      </c>
      <c r="C355" s="243" t="str">
        <f t="shared" si="892"/>
        <v>ACDB-1</v>
      </c>
      <c r="D355" s="272" t="s">
        <v>635</v>
      </c>
      <c r="E355" s="351" t="s">
        <v>463</v>
      </c>
      <c r="F355" s="410"/>
      <c r="G355" s="243" t="s">
        <v>298</v>
      </c>
      <c r="H355" s="256">
        <v>5</v>
      </c>
      <c r="I355" s="243" t="s">
        <v>299</v>
      </c>
      <c r="J355" s="243" t="s">
        <v>300</v>
      </c>
      <c r="K355" s="255">
        <v>400</v>
      </c>
      <c r="L355" s="249">
        <v>0.84999999999999987</v>
      </c>
      <c r="M355" s="256">
        <v>0.95099999999999985</v>
      </c>
      <c r="N355" s="248">
        <f t="shared" si="893"/>
        <v>8.9281747625212677</v>
      </c>
      <c r="O355" s="248">
        <f t="shared" si="894"/>
        <v>0</v>
      </c>
      <c r="P355" s="249" t="str">
        <f t="shared" si="895"/>
        <v>0.00</v>
      </c>
      <c r="Q355" s="256">
        <v>50</v>
      </c>
      <c r="R355" s="256">
        <v>0</v>
      </c>
      <c r="S355" s="256">
        <f t="shared" si="896"/>
        <v>0</v>
      </c>
      <c r="T355" s="249" t="s">
        <v>131</v>
      </c>
      <c r="U355" s="256" t="s">
        <v>377</v>
      </c>
      <c r="V355" s="249">
        <v>4</v>
      </c>
      <c r="W355" s="249" t="str">
        <f t="shared" si="897"/>
        <v>4C X 4</v>
      </c>
      <c r="X355" s="249" t="str">
        <f t="shared" si="898"/>
        <v>4C X 4</v>
      </c>
      <c r="Y355" s="249" t="s">
        <v>314</v>
      </c>
      <c r="Z355" s="250">
        <f>IF(T355="AIR",VLOOKUP(W355,'Catalogue Aluminium'!$B$9:$G$91,2,FALSE),IF(T355="GROUND",VLOOKUP(W355,'Catalogue Aluminium'!$B$9:$G$91,3,FALSE),IF(T355="DUCT",VLOOKUP(W355,'Catalogue Aluminium'!$B$9:$G$91,4,FALSE),IF(T355="TRENCH",VLOOKUP(W355,'Catalogue Aluminium'!$B$9:$G$91,2,FALSE)))))</f>
        <v>38</v>
      </c>
      <c r="AA355" s="251">
        <f>VLOOKUP(W355,'Catalogue Aluminium'!$B$9:$G$91,5,FALSE)</f>
        <v>5.9</v>
      </c>
      <c r="AB355" s="251">
        <f>VLOOKUP(W355,'Catalogue Aluminium'!$B$9:$G$91,6,FALSE)</f>
        <v>9.4700000000000006E-2</v>
      </c>
      <c r="AC355" s="285">
        <v>30</v>
      </c>
      <c r="AD355" s="323">
        <v>0</v>
      </c>
      <c r="AE355" s="294">
        <v>5</v>
      </c>
      <c r="AF355" s="294">
        <v>8</v>
      </c>
      <c r="AG355" s="294">
        <f t="shared" si="899"/>
        <v>5</v>
      </c>
      <c r="AH355" s="253">
        <f t="shared" si="900"/>
        <v>48</v>
      </c>
      <c r="AI355" s="250">
        <f>IF(T355="AIR",'Catalogue Aluminium'!$K$9,IF(T355="TRENCH",'Catalogue Aluminium'!$K$12,"NA"))</f>
        <v>0.89</v>
      </c>
      <c r="AJ355" s="248">
        <f>IF(T355="Air",(IF(U355="1C",'Catalogue Aluminium'!$L$9,'Catalogue Aluminium'!$M$9)),IF(T355="DUCT",(IF($U355="1C",'Catalogue Aluminium'!$L$10,'Catalogue Aluminium'!$M$10)),IF(T355="GROUND",(IF($U355="1C",'Catalogue Aluminium'!$L$11,'Catalogue Aluminium'!$M$11)),IF(T355="TRENCH",(IF($U355="1C",'Catalogue Aluminium'!$L$12,'Catalogue Aluminium'!$M$12))))))</f>
        <v>0.66</v>
      </c>
      <c r="AK355" s="250" t="str">
        <f>IF(T355="Air",'Catalogue Aluminium'!$N$9,IF(T355="GROUND",'Catalogue Aluminium'!$N$10,IF(T355="DUCT",'Catalogue Aluminium'!$N$11,IF(T355="TRENCH",'Catalogue Aluminium'!$N$12,"NA"))))</f>
        <v>NA</v>
      </c>
      <c r="AL355" s="250" t="str">
        <f>IF(T355="Air",(IF(U355="1C",'Catalogue Aluminium'!$O$9,'Catalogue Aluminium'!$P$9)),IF(T355="DUCT",(IF($U355="1C",'Catalogue Aluminium'!$O$10,'Catalogue Aluminium'!$P$10)),IF(T355="GROUND",(IF($U355="1C",'Catalogue Aluminium'!$O$11,'Catalogue Aluminium'!$P$11)),IF(T355="TRENCH",(IF($U355="1C",'Catalogue Aluminium'!$O$12,'Catalogue Aluminium'!$P$12))))))</f>
        <v>NA</v>
      </c>
      <c r="AM355" s="250" t="str">
        <f>IF(T355="AIR","NA",IF(T355="TRENCH","NA",IF(T355="DUCT",IF(U355="1C",VLOOKUP(V355,'Catalogue Aluminium'!$Q$9:$S$28,2,FALSE),VLOOKUP(V355,'Catalogue Aluminium'!$Q$9:$S$28,3)),IF(T355="GROUND",IF(U355="1C",VLOOKUP(V355,'Catalogue Aluminium'!$Q$9:$S$28,2,FALSE),VLOOKUP(V355,'Catalogue Aluminium'!$Q$9:$S$28,3))))))</f>
        <v>NA</v>
      </c>
      <c r="AN355" s="257">
        <f t="shared" si="901"/>
        <v>0.58740000000000003</v>
      </c>
      <c r="AO355" s="256">
        <f t="shared" si="902"/>
        <v>22.321200000000001</v>
      </c>
      <c r="AP355" s="255">
        <f t="shared" si="903"/>
        <v>1</v>
      </c>
      <c r="AQ355" s="256" t="str">
        <f t="shared" si="904"/>
        <v>YES</v>
      </c>
      <c r="AR355" s="257">
        <f t="shared" si="905"/>
        <v>0.93988400390719884</v>
      </c>
      <c r="AS355" s="249" t="str">
        <f t="shared" si="906"/>
        <v>YES</v>
      </c>
      <c r="AT355" s="257" t="str">
        <f t="shared" si="907"/>
        <v>NA</v>
      </c>
      <c r="AU355" s="249" t="str">
        <f t="shared" si="908"/>
        <v>NA</v>
      </c>
      <c r="AV355" s="260" t="str">
        <f t="shared" si="909"/>
        <v>1R x 0.6/1kV x 4C x 4 Sqmm</v>
      </c>
      <c r="AW355" s="260" t="str">
        <f t="shared" si="910"/>
        <v>1R x 0.6/1kV x 4C x 4 Sqmm</v>
      </c>
      <c r="AX355" s="249">
        <f t="shared" si="911"/>
        <v>48</v>
      </c>
      <c r="AY355" s="261"/>
    </row>
    <row r="356" spans="1:51">
      <c r="A356" s="243">
        <f t="shared" si="891"/>
        <v>230</v>
      </c>
      <c r="B356" s="373" t="s">
        <v>483</v>
      </c>
      <c r="C356" s="243" t="str">
        <f t="shared" si="892"/>
        <v>ACDB-1</v>
      </c>
      <c r="D356" s="272" t="s">
        <v>636</v>
      </c>
      <c r="E356" s="351" t="s">
        <v>463</v>
      </c>
      <c r="F356" s="410"/>
      <c r="G356" s="243" t="s">
        <v>298</v>
      </c>
      <c r="H356" s="256">
        <v>5</v>
      </c>
      <c r="I356" s="243" t="s">
        <v>299</v>
      </c>
      <c r="J356" s="243" t="s">
        <v>300</v>
      </c>
      <c r="K356" s="255">
        <v>400</v>
      </c>
      <c r="L356" s="249">
        <v>0.84999999999999987</v>
      </c>
      <c r="M356" s="256">
        <v>0.95099999999999985</v>
      </c>
      <c r="N356" s="248">
        <f t="shared" si="893"/>
        <v>8.9281747625212677</v>
      </c>
      <c r="O356" s="248">
        <f t="shared" si="894"/>
        <v>0</v>
      </c>
      <c r="P356" s="249" t="str">
        <f t="shared" si="895"/>
        <v>0.00</v>
      </c>
      <c r="Q356" s="256">
        <v>50</v>
      </c>
      <c r="R356" s="256">
        <v>0</v>
      </c>
      <c r="S356" s="256">
        <f t="shared" si="896"/>
        <v>0</v>
      </c>
      <c r="T356" s="249" t="s">
        <v>131</v>
      </c>
      <c r="U356" s="256" t="s">
        <v>377</v>
      </c>
      <c r="V356" s="249">
        <v>4</v>
      </c>
      <c r="W356" s="249" t="str">
        <f t="shared" si="897"/>
        <v>4C X 4</v>
      </c>
      <c r="X356" s="249" t="str">
        <f t="shared" si="898"/>
        <v>4C X 4</v>
      </c>
      <c r="Y356" s="249" t="s">
        <v>314</v>
      </c>
      <c r="Z356" s="250">
        <f>IF(T356="AIR",VLOOKUP(W356,'Catalogue Aluminium'!$B$9:$G$91,2,FALSE),IF(T356="GROUND",VLOOKUP(W356,'Catalogue Aluminium'!$B$9:$G$91,3,FALSE),IF(T356="DUCT",VLOOKUP(W356,'Catalogue Aluminium'!$B$9:$G$91,4,FALSE),IF(T356="TRENCH",VLOOKUP(W356,'Catalogue Aluminium'!$B$9:$G$91,2,FALSE)))))</f>
        <v>38</v>
      </c>
      <c r="AA356" s="251">
        <f>VLOOKUP(W356,'Catalogue Aluminium'!$B$9:$G$91,5,FALSE)</f>
        <v>5.9</v>
      </c>
      <c r="AB356" s="251">
        <f>VLOOKUP(W356,'Catalogue Aluminium'!$B$9:$G$91,6,FALSE)</f>
        <v>9.4700000000000006E-2</v>
      </c>
      <c r="AC356" s="285">
        <v>15</v>
      </c>
      <c r="AD356" s="323">
        <v>0</v>
      </c>
      <c r="AE356" s="294">
        <v>5</v>
      </c>
      <c r="AF356" s="294">
        <v>8</v>
      </c>
      <c r="AG356" s="294">
        <f t="shared" si="899"/>
        <v>3</v>
      </c>
      <c r="AH356" s="253">
        <f t="shared" si="900"/>
        <v>31</v>
      </c>
      <c r="AI356" s="250">
        <f>IF(T356="AIR",'Catalogue Aluminium'!$K$9,IF(T356="TRENCH",'Catalogue Aluminium'!$K$12,"NA"))</f>
        <v>0.89</v>
      </c>
      <c r="AJ356" s="248">
        <f>IF(T356="Air",(IF(U356="1C",'Catalogue Aluminium'!$L$9,'Catalogue Aluminium'!$M$9)),IF(T356="DUCT",(IF($U356="1C",'Catalogue Aluminium'!$L$10,'Catalogue Aluminium'!$M$10)),IF(T356="GROUND",(IF($U356="1C",'Catalogue Aluminium'!$L$11,'Catalogue Aluminium'!$M$11)),IF(T356="TRENCH",(IF($U356="1C",'Catalogue Aluminium'!$L$12,'Catalogue Aluminium'!$M$12))))))</f>
        <v>0.66</v>
      </c>
      <c r="AK356" s="250" t="str">
        <f>IF(T356="Air",'Catalogue Aluminium'!$N$9,IF(T356="GROUND",'Catalogue Aluminium'!$N$10,IF(T356="DUCT",'Catalogue Aluminium'!$N$11,IF(T356="TRENCH",'Catalogue Aluminium'!$N$12,"NA"))))</f>
        <v>NA</v>
      </c>
      <c r="AL356" s="250" t="str">
        <f>IF(T356="Air",(IF(U356="1C",'Catalogue Aluminium'!$O$9,'Catalogue Aluminium'!$P$9)),IF(T356="DUCT",(IF($U356="1C",'Catalogue Aluminium'!$O$10,'Catalogue Aluminium'!$P$10)),IF(T356="GROUND",(IF($U356="1C",'Catalogue Aluminium'!$O$11,'Catalogue Aluminium'!$P$11)),IF(T356="TRENCH",(IF($U356="1C",'Catalogue Aluminium'!$O$12,'Catalogue Aluminium'!$P$12))))))</f>
        <v>NA</v>
      </c>
      <c r="AM356" s="250" t="str">
        <f>IF(T356="AIR","NA",IF(T356="TRENCH","NA",IF(T356="DUCT",IF(U356="1C",VLOOKUP(V356,'Catalogue Aluminium'!$Q$9:$S$28,2,FALSE),VLOOKUP(V356,'Catalogue Aluminium'!$Q$9:$S$28,3)),IF(T356="GROUND",IF(U356="1C",VLOOKUP(V356,'Catalogue Aluminium'!$Q$9:$S$28,2,FALSE),VLOOKUP(V356,'Catalogue Aluminium'!$Q$9:$S$28,3))))))</f>
        <v>NA</v>
      </c>
      <c r="AN356" s="257">
        <f t="shared" si="901"/>
        <v>0.58740000000000003</v>
      </c>
      <c r="AO356" s="256">
        <f t="shared" si="902"/>
        <v>22.321200000000001</v>
      </c>
      <c r="AP356" s="255">
        <f t="shared" si="903"/>
        <v>1</v>
      </c>
      <c r="AQ356" s="256" t="str">
        <f t="shared" si="904"/>
        <v>YES</v>
      </c>
      <c r="AR356" s="257">
        <f t="shared" si="905"/>
        <v>0.60700841919006587</v>
      </c>
      <c r="AS356" s="249" t="str">
        <f t="shared" si="906"/>
        <v>YES</v>
      </c>
      <c r="AT356" s="257" t="str">
        <f t="shared" si="907"/>
        <v>NA</v>
      </c>
      <c r="AU356" s="249" t="str">
        <f t="shared" si="908"/>
        <v>NA</v>
      </c>
      <c r="AV356" s="260" t="str">
        <f t="shared" si="909"/>
        <v>1R x 0.6/1kV x 4C x 4 Sqmm</v>
      </c>
      <c r="AW356" s="260" t="str">
        <f t="shared" si="910"/>
        <v>1R x 0.6/1kV x 4C x 4 Sqmm</v>
      </c>
      <c r="AX356" s="249">
        <f t="shared" si="911"/>
        <v>31</v>
      </c>
      <c r="AY356" s="261"/>
    </row>
    <row r="357" spans="1:51">
      <c r="A357" s="243">
        <f t="shared" si="891"/>
        <v>231</v>
      </c>
      <c r="B357" s="373" t="s">
        <v>483</v>
      </c>
      <c r="C357" s="243" t="str">
        <f t="shared" si="892"/>
        <v>ACDB-1</v>
      </c>
      <c r="D357" s="272" t="s">
        <v>637</v>
      </c>
      <c r="E357" s="351" t="s">
        <v>463</v>
      </c>
      <c r="F357" s="410"/>
      <c r="G357" s="243" t="s">
        <v>298</v>
      </c>
      <c r="H357" s="256">
        <v>5</v>
      </c>
      <c r="I357" s="243" t="s">
        <v>299</v>
      </c>
      <c r="J357" s="243" t="s">
        <v>300</v>
      </c>
      <c r="K357" s="255">
        <v>400</v>
      </c>
      <c r="L357" s="249">
        <v>0.84999999999999987</v>
      </c>
      <c r="M357" s="256">
        <v>0.95099999999999985</v>
      </c>
      <c r="N357" s="248">
        <f t="shared" si="893"/>
        <v>8.9281747625212677</v>
      </c>
      <c r="O357" s="248">
        <f t="shared" si="894"/>
        <v>0</v>
      </c>
      <c r="P357" s="249" t="str">
        <f t="shared" si="895"/>
        <v>0.00</v>
      </c>
      <c r="Q357" s="256">
        <v>50</v>
      </c>
      <c r="R357" s="256">
        <v>0</v>
      </c>
      <c r="S357" s="256">
        <f t="shared" si="896"/>
        <v>0</v>
      </c>
      <c r="T357" s="249" t="s">
        <v>131</v>
      </c>
      <c r="U357" s="256" t="s">
        <v>377</v>
      </c>
      <c r="V357" s="249">
        <v>4</v>
      </c>
      <c r="W357" s="249" t="str">
        <f t="shared" si="897"/>
        <v>4C X 4</v>
      </c>
      <c r="X357" s="249" t="str">
        <f t="shared" si="898"/>
        <v>4C X 4</v>
      </c>
      <c r="Y357" s="249" t="s">
        <v>314</v>
      </c>
      <c r="Z357" s="250">
        <f>IF(T357="AIR",VLOOKUP(W357,'Catalogue Aluminium'!$B$9:$G$91,2,FALSE),IF(T357="GROUND",VLOOKUP(W357,'Catalogue Aluminium'!$B$9:$G$91,3,FALSE),IF(T357="DUCT",VLOOKUP(W357,'Catalogue Aluminium'!$B$9:$G$91,4,FALSE),IF(T357="TRENCH",VLOOKUP(W357,'Catalogue Aluminium'!$B$9:$G$91,2,FALSE)))))</f>
        <v>38</v>
      </c>
      <c r="AA357" s="251">
        <f>VLOOKUP(W357,'Catalogue Aluminium'!$B$9:$G$91,5,FALSE)</f>
        <v>5.9</v>
      </c>
      <c r="AB357" s="251">
        <f>VLOOKUP(W357,'Catalogue Aluminium'!$B$9:$G$91,6,FALSE)</f>
        <v>9.4700000000000006E-2</v>
      </c>
      <c r="AC357" s="285">
        <v>15</v>
      </c>
      <c r="AD357" s="323">
        <v>0</v>
      </c>
      <c r="AE357" s="294">
        <v>5</v>
      </c>
      <c r="AF357" s="294">
        <v>8</v>
      </c>
      <c r="AG357" s="294">
        <f t="shared" si="899"/>
        <v>3</v>
      </c>
      <c r="AH357" s="253">
        <f t="shared" si="900"/>
        <v>31</v>
      </c>
      <c r="AI357" s="250">
        <f>IF(T357="AIR",'Catalogue Aluminium'!$K$9,IF(T357="TRENCH",'Catalogue Aluminium'!$K$12,"NA"))</f>
        <v>0.89</v>
      </c>
      <c r="AJ357" s="248">
        <f>IF(T357="Air",(IF(U357="1C",'Catalogue Aluminium'!$L$9,'Catalogue Aluminium'!$M$9)),IF(T357="DUCT",(IF($U357="1C",'Catalogue Aluminium'!$L$10,'Catalogue Aluminium'!$M$10)),IF(T357="GROUND",(IF($U357="1C",'Catalogue Aluminium'!$L$11,'Catalogue Aluminium'!$M$11)),IF(T357="TRENCH",(IF($U357="1C",'Catalogue Aluminium'!$L$12,'Catalogue Aluminium'!$M$12))))))</f>
        <v>0.66</v>
      </c>
      <c r="AK357" s="250" t="str">
        <f>IF(T357="Air",'Catalogue Aluminium'!$N$9,IF(T357="GROUND",'Catalogue Aluminium'!$N$10,IF(T357="DUCT",'Catalogue Aluminium'!$N$11,IF(T357="TRENCH",'Catalogue Aluminium'!$N$12,"NA"))))</f>
        <v>NA</v>
      </c>
      <c r="AL357" s="250" t="str">
        <f>IF(T357="Air",(IF(U357="1C",'Catalogue Aluminium'!$O$9,'Catalogue Aluminium'!$P$9)),IF(T357="DUCT",(IF($U357="1C",'Catalogue Aluminium'!$O$10,'Catalogue Aluminium'!$P$10)),IF(T357="GROUND",(IF($U357="1C",'Catalogue Aluminium'!$O$11,'Catalogue Aluminium'!$P$11)),IF(T357="TRENCH",(IF($U357="1C",'Catalogue Aluminium'!$O$12,'Catalogue Aluminium'!$P$12))))))</f>
        <v>NA</v>
      </c>
      <c r="AM357" s="250" t="str">
        <f>IF(T357="AIR","NA",IF(T357="TRENCH","NA",IF(T357="DUCT",IF(U357="1C",VLOOKUP(V357,'Catalogue Aluminium'!$Q$9:$S$28,2,FALSE),VLOOKUP(V357,'Catalogue Aluminium'!$Q$9:$S$28,3)),IF(T357="GROUND",IF(U357="1C",VLOOKUP(V357,'Catalogue Aluminium'!$Q$9:$S$28,2,FALSE),VLOOKUP(V357,'Catalogue Aluminium'!$Q$9:$S$28,3))))))</f>
        <v>NA</v>
      </c>
      <c r="AN357" s="257">
        <f t="shared" si="901"/>
        <v>0.58740000000000003</v>
      </c>
      <c r="AO357" s="256">
        <f t="shared" si="902"/>
        <v>22.321200000000001</v>
      </c>
      <c r="AP357" s="255">
        <f t="shared" si="903"/>
        <v>1</v>
      </c>
      <c r="AQ357" s="256" t="str">
        <f t="shared" si="904"/>
        <v>YES</v>
      </c>
      <c r="AR357" s="257">
        <f t="shared" si="905"/>
        <v>0.60700841919006587</v>
      </c>
      <c r="AS357" s="249" t="str">
        <f t="shared" si="906"/>
        <v>YES</v>
      </c>
      <c r="AT357" s="257" t="str">
        <f t="shared" si="907"/>
        <v>NA</v>
      </c>
      <c r="AU357" s="249" t="str">
        <f t="shared" si="908"/>
        <v>NA</v>
      </c>
      <c r="AV357" s="260" t="str">
        <f t="shared" si="909"/>
        <v>1R x 0.6/1kV x 4C x 4 Sqmm</v>
      </c>
      <c r="AW357" s="260" t="str">
        <f t="shared" si="910"/>
        <v>1R x 0.6/1kV x 4C x 4 Sqmm</v>
      </c>
      <c r="AX357" s="249">
        <f t="shared" si="911"/>
        <v>31</v>
      </c>
      <c r="AY357" s="261"/>
    </row>
    <row r="358" spans="1:51">
      <c r="A358" s="243">
        <f t="shared" si="891"/>
        <v>232</v>
      </c>
      <c r="B358" s="373" t="s">
        <v>638</v>
      </c>
      <c r="C358" s="243" t="str">
        <f t="shared" si="892"/>
        <v>ACDB-1</v>
      </c>
      <c r="D358" s="272" t="s">
        <v>639</v>
      </c>
      <c r="E358" s="351" t="s">
        <v>463</v>
      </c>
      <c r="F358" s="410"/>
      <c r="G358" s="243" t="s">
        <v>298</v>
      </c>
      <c r="H358" s="304">
        <v>10</v>
      </c>
      <c r="I358" s="243" t="s">
        <v>299</v>
      </c>
      <c r="J358" s="243" t="s">
        <v>300</v>
      </c>
      <c r="K358" s="255">
        <v>400</v>
      </c>
      <c r="L358" s="249">
        <v>0.84999999999999987</v>
      </c>
      <c r="M358" s="256">
        <v>0.95099999999999985</v>
      </c>
      <c r="N358" s="248">
        <f t="shared" si="893"/>
        <v>17.856349525042535</v>
      </c>
      <c r="O358" s="248">
        <f t="shared" si="894"/>
        <v>0</v>
      </c>
      <c r="P358" s="249" t="str">
        <f t="shared" si="895"/>
        <v>0.00</v>
      </c>
      <c r="Q358" s="256">
        <v>50</v>
      </c>
      <c r="R358" s="256">
        <v>0</v>
      </c>
      <c r="S358" s="256">
        <f t="shared" si="896"/>
        <v>0</v>
      </c>
      <c r="T358" s="249" t="s">
        <v>131</v>
      </c>
      <c r="U358" s="256" t="s">
        <v>377</v>
      </c>
      <c r="V358" s="249">
        <v>4</v>
      </c>
      <c r="W358" s="249" t="str">
        <f t="shared" si="897"/>
        <v>4C X 4</v>
      </c>
      <c r="X358" s="249" t="str">
        <f t="shared" si="898"/>
        <v>4C X 4</v>
      </c>
      <c r="Y358" s="249" t="s">
        <v>314</v>
      </c>
      <c r="Z358" s="250">
        <f>IF(T358="AIR",VLOOKUP(W358,'Catalogue Aluminium'!$B$9:$G$91,2,FALSE),IF(T358="GROUND",VLOOKUP(W358,'Catalogue Aluminium'!$B$9:$G$91,3,FALSE),IF(T358="DUCT",VLOOKUP(W358,'Catalogue Aluminium'!$B$9:$G$91,4,FALSE),IF(T358="TRENCH",VLOOKUP(W358,'Catalogue Aluminium'!$B$9:$G$91,2,FALSE)))))</f>
        <v>38</v>
      </c>
      <c r="AA358" s="251">
        <f>VLOOKUP(W358,'Catalogue Aluminium'!$B$9:$G$91,5,FALSE)</f>
        <v>5.9</v>
      </c>
      <c r="AB358" s="251">
        <f>VLOOKUP(W358,'Catalogue Aluminium'!$B$9:$G$91,6,FALSE)</f>
        <v>9.4700000000000006E-2</v>
      </c>
      <c r="AC358" s="323">
        <f>4+28</f>
        <v>32</v>
      </c>
      <c r="AD358" s="323">
        <v>0</v>
      </c>
      <c r="AE358" s="294">
        <v>5</v>
      </c>
      <c r="AF358" s="294">
        <v>8</v>
      </c>
      <c r="AG358" s="294">
        <f t="shared" si="899"/>
        <v>5</v>
      </c>
      <c r="AH358" s="253">
        <f t="shared" si="900"/>
        <v>50</v>
      </c>
      <c r="AI358" s="250">
        <f>IF(T358="AIR",'Catalogue Aluminium'!$K$9,IF(T358="TRENCH",'Catalogue Aluminium'!$K$12,"NA"))</f>
        <v>0.89</v>
      </c>
      <c r="AJ358" s="248">
        <f>IF(T358="Air",(IF(U358="1C",'Catalogue Aluminium'!$L$9,'Catalogue Aluminium'!$M$9)),IF(T358="DUCT",(IF($U358="1C",'Catalogue Aluminium'!$L$10,'Catalogue Aluminium'!$M$10)),IF(T358="GROUND",(IF($U358="1C",'Catalogue Aluminium'!$L$11,'Catalogue Aluminium'!$M$11)),IF(T358="TRENCH",(IF($U358="1C",'Catalogue Aluminium'!$L$12,'Catalogue Aluminium'!$M$12))))))</f>
        <v>0.66</v>
      </c>
      <c r="AK358" s="250" t="str">
        <f>IF(T358="Air",'Catalogue Aluminium'!$N$9,IF(T358="GROUND",'Catalogue Aluminium'!$N$10,IF(T358="DUCT",'Catalogue Aluminium'!$N$11,IF(T358="TRENCH",'Catalogue Aluminium'!$N$12,"NA"))))</f>
        <v>NA</v>
      </c>
      <c r="AL358" s="250" t="str">
        <f>IF(T358="Air",(IF(U358="1C",'Catalogue Aluminium'!$O$9,'Catalogue Aluminium'!$P$9)),IF(T358="DUCT",(IF($U358="1C",'Catalogue Aluminium'!$O$10,'Catalogue Aluminium'!$P$10)),IF(T358="GROUND",(IF($U358="1C",'Catalogue Aluminium'!$O$11,'Catalogue Aluminium'!$P$11)),IF(T358="TRENCH",(IF($U358="1C",'Catalogue Aluminium'!$O$12,'Catalogue Aluminium'!$P$12))))))</f>
        <v>NA</v>
      </c>
      <c r="AM358" s="250" t="str">
        <f>IF(T358="AIR","NA",IF(T358="TRENCH","NA",IF(T358="DUCT",IF(U358="1C",VLOOKUP(V358,'Catalogue Aluminium'!$Q$9:$S$28,2,FALSE),VLOOKUP(V358,'Catalogue Aluminium'!$Q$9:$S$28,3)),IF(T358="GROUND",IF(U358="1C",VLOOKUP(V358,'Catalogue Aluminium'!$Q$9:$S$28,2,FALSE),VLOOKUP(V358,'Catalogue Aluminium'!$Q$9:$S$28,3))))))</f>
        <v>NA</v>
      </c>
      <c r="AN358" s="257">
        <f t="shared" si="901"/>
        <v>0.58740000000000003</v>
      </c>
      <c r="AO358" s="256">
        <f t="shared" si="902"/>
        <v>22.321200000000001</v>
      </c>
      <c r="AP358" s="255">
        <f t="shared" si="903"/>
        <v>1</v>
      </c>
      <c r="AQ358" s="256" t="str">
        <f t="shared" si="904"/>
        <v>YES</v>
      </c>
      <c r="AR358" s="257">
        <f t="shared" si="905"/>
        <v>1.9580916748066639</v>
      </c>
      <c r="AS358" s="249" t="str">
        <f t="shared" si="906"/>
        <v>YES</v>
      </c>
      <c r="AT358" s="257" t="str">
        <f t="shared" si="907"/>
        <v>NA</v>
      </c>
      <c r="AU358" s="249" t="str">
        <f t="shared" si="908"/>
        <v>NA</v>
      </c>
      <c r="AV358" s="260" t="str">
        <f t="shared" si="909"/>
        <v>1R x 0.6/1kV x 4C x 4 Sqmm</v>
      </c>
      <c r="AW358" s="260" t="str">
        <f t="shared" si="910"/>
        <v>1R x 0.6/1kV x 4C x 4 Sqmm</v>
      </c>
      <c r="AX358" s="249">
        <f t="shared" si="911"/>
        <v>50</v>
      </c>
      <c r="AY358" s="261"/>
    </row>
    <row r="359" spans="1:51">
      <c r="A359" s="243">
        <f t="shared" si="891"/>
        <v>233</v>
      </c>
      <c r="B359" s="373" t="s">
        <v>640</v>
      </c>
      <c r="C359" s="243" t="str">
        <f t="shared" si="892"/>
        <v>ACDB-1</v>
      </c>
      <c r="D359" s="272" t="s">
        <v>641</v>
      </c>
      <c r="E359" s="351" t="s">
        <v>463</v>
      </c>
      <c r="F359" s="410"/>
      <c r="G359" s="243" t="s">
        <v>298</v>
      </c>
      <c r="H359" s="304">
        <v>10</v>
      </c>
      <c r="I359" s="243" t="s">
        <v>299</v>
      </c>
      <c r="J359" s="243" t="s">
        <v>300</v>
      </c>
      <c r="K359" s="255">
        <v>400</v>
      </c>
      <c r="L359" s="249">
        <v>0.84999999999999987</v>
      </c>
      <c r="M359" s="256">
        <v>0.95099999999999985</v>
      </c>
      <c r="N359" s="248">
        <f t="shared" si="893"/>
        <v>17.856349525042535</v>
      </c>
      <c r="O359" s="248">
        <f t="shared" si="894"/>
        <v>0</v>
      </c>
      <c r="P359" s="249" t="str">
        <f t="shared" si="895"/>
        <v>0.00</v>
      </c>
      <c r="Q359" s="256">
        <v>50</v>
      </c>
      <c r="R359" s="256">
        <v>0</v>
      </c>
      <c r="S359" s="256">
        <f t="shared" si="896"/>
        <v>0</v>
      </c>
      <c r="T359" s="249" t="s">
        <v>131</v>
      </c>
      <c r="U359" s="256" t="s">
        <v>377</v>
      </c>
      <c r="V359" s="249">
        <v>4</v>
      </c>
      <c r="W359" s="249" t="str">
        <f t="shared" si="897"/>
        <v>4C X 4</v>
      </c>
      <c r="X359" s="249" t="str">
        <f t="shared" si="898"/>
        <v>4C X 4</v>
      </c>
      <c r="Y359" s="249" t="s">
        <v>314</v>
      </c>
      <c r="Z359" s="250">
        <f>IF(T359="AIR",VLOOKUP(W359,'Catalogue Aluminium'!$B$9:$G$91,2,FALSE),IF(T359="GROUND",VLOOKUP(W359,'Catalogue Aluminium'!$B$9:$G$91,3,FALSE),IF(T359="DUCT",VLOOKUP(W359,'Catalogue Aluminium'!$B$9:$G$91,4,FALSE),IF(T359="TRENCH",VLOOKUP(W359,'Catalogue Aluminium'!$B$9:$G$91,2,FALSE)))))</f>
        <v>38</v>
      </c>
      <c r="AA359" s="251">
        <f>VLOOKUP(W359,'Catalogue Aluminium'!$B$9:$G$91,5,FALSE)</f>
        <v>5.9</v>
      </c>
      <c r="AB359" s="251">
        <f>VLOOKUP(W359,'Catalogue Aluminium'!$B$9:$G$91,6,FALSE)</f>
        <v>9.4700000000000006E-2</v>
      </c>
      <c r="AC359" s="323">
        <f>11+28</f>
        <v>39</v>
      </c>
      <c r="AD359" s="323">
        <v>0</v>
      </c>
      <c r="AE359" s="294">
        <v>5</v>
      </c>
      <c r="AF359" s="294">
        <v>8</v>
      </c>
      <c r="AG359" s="294">
        <f t="shared" si="899"/>
        <v>6</v>
      </c>
      <c r="AH359" s="253">
        <f t="shared" si="900"/>
        <v>58</v>
      </c>
      <c r="AI359" s="250">
        <f>IF(T359="AIR",'Catalogue Aluminium'!$K$9,IF(T359="TRENCH",'Catalogue Aluminium'!$K$12,"NA"))</f>
        <v>0.89</v>
      </c>
      <c r="AJ359" s="248">
        <f>IF(T359="Air",(IF(U359="1C",'Catalogue Aluminium'!$L$9,'Catalogue Aluminium'!$M$9)),IF(T359="DUCT",(IF($U359="1C",'Catalogue Aluminium'!$L$10,'Catalogue Aluminium'!$M$10)),IF(T359="GROUND",(IF($U359="1C",'Catalogue Aluminium'!$L$11,'Catalogue Aluminium'!$M$11)),IF(T359="TRENCH",(IF($U359="1C",'Catalogue Aluminium'!$L$12,'Catalogue Aluminium'!$M$12))))))</f>
        <v>0.66</v>
      </c>
      <c r="AK359" s="250" t="str">
        <f>IF(T359="Air",'Catalogue Aluminium'!$N$9,IF(T359="GROUND",'Catalogue Aluminium'!$N$10,IF(T359="DUCT",'Catalogue Aluminium'!$N$11,IF(T359="TRENCH",'Catalogue Aluminium'!$N$12,"NA"))))</f>
        <v>NA</v>
      </c>
      <c r="AL359" s="250" t="str">
        <f>IF(T359="Air",(IF(U359="1C",'Catalogue Aluminium'!$O$9,'Catalogue Aluminium'!$P$9)),IF(T359="DUCT",(IF($U359="1C",'Catalogue Aluminium'!$O$10,'Catalogue Aluminium'!$P$10)),IF(T359="GROUND",(IF($U359="1C",'Catalogue Aluminium'!$O$11,'Catalogue Aluminium'!$P$11)),IF(T359="TRENCH",(IF($U359="1C",'Catalogue Aluminium'!$O$12,'Catalogue Aluminium'!$P$12))))))</f>
        <v>NA</v>
      </c>
      <c r="AM359" s="250" t="str">
        <f>IF(T359="AIR","NA",IF(T359="TRENCH","NA",IF(T359="DUCT",IF(U359="1C",VLOOKUP(V359,'Catalogue Aluminium'!$Q$9:$S$28,2,FALSE),VLOOKUP(V359,'Catalogue Aluminium'!$Q$9:$S$28,3)),IF(T359="GROUND",IF(U359="1C",VLOOKUP(V359,'Catalogue Aluminium'!$Q$9:$S$28,2,FALSE),VLOOKUP(V359,'Catalogue Aluminium'!$Q$9:$S$28,3))))))</f>
        <v>NA</v>
      </c>
      <c r="AN359" s="257">
        <f t="shared" si="901"/>
        <v>0.58740000000000003</v>
      </c>
      <c r="AO359" s="256">
        <f t="shared" si="902"/>
        <v>22.321200000000001</v>
      </c>
      <c r="AP359" s="255">
        <f t="shared" si="903"/>
        <v>1</v>
      </c>
      <c r="AQ359" s="256" t="str">
        <f t="shared" si="904"/>
        <v>YES</v>
      </c>
      <c r="AR359" s="257">
        <f t="shared" si="905"/>
        <v>2.2713863427757301</v>
      </c>
      <c r="AS359" s="249" t="str">
        <f t="shared" si="906"/>
        <v>YES</v>
      </c>
      <c r="AT359" s="257" t="str">
        <f t="shared" si="907"/>
        <v>NA</v>
      </c>
      <c r="AU359" s="249" t="str">
        <f t="shared" si="908"/>
        <v>NA</v>
      </c>
      <c r="AV359" s="260" t="str">
        <f t="shared" si="909"/>
        <v>1R x 0.6/1kV x 4C x 4 Sqmm</v>
      </c>
      <c r="AW359" s="260" t="str">
        <f t="shared" si="910"/>
        <v>1R x 0.6/1kV x 4C x 4 Sqmm</v>
      </c>
      <c r="AX359" s="249">
        <f t="shared" si="911"/>
        <v>58</v>
      </c>
      <c r="AY359" s="261"/>
    </row>
    <row r="360" spans="1:51" ht="25">
      <c r="A360" s="243">
        <f t="shared" si="891"/>
        <v>234</v>
      </c>
      <c r="B360" s="373" t="s">
        <v>633</v>
      </c>
      <c r="C360" s="243" t="str">
        <f t="shared" si="892"/>
        <v>ACDB-1</v>
      </c>
      <c r="D360" s="272" t="s">
        <v>642</v>
      </c>
      <c r="E360" s="351" t="s">
        <v>463</v>
      </c>
      <c r="F360" s="410"/>
      <c r="G360" s="243" t="s">
        <v>298</v>
      </c>
      <c r="H360" s="256">
        <v>5</v>
      </c>
      <c r="I360" s="243" t="s">
        <v>299</v>
      </c>
      <c r="J360" s="243" t="s">
        <v>300</v>
      </c>
      <c r="K360" s="255">
        <v>400</v>
      </c>
      <c r="L360" s="249">
        <v>0.84999999999999987</v>
      </c>
      <c r="M360" s="256">
        <v>0.95099999999999985</v>
      </c>
      <c r="N360" s="248">
        <f t="shared" si="893"/>
        <v>8.9281747625212677</v>
      </c>
      <c r="O360" s="248">
        <f t="shared" si="894"/>
        <v>0</v>
      </c>
      <c r="P360" s="249" t="str">
        <f t="shared" si="895"/>
        <v>0.00</v>
      </c>
      <c r="Q360" s="256">
        <v>50</v>
      </c>
      <c r="R360" s="256">
        <v>0</v>
      </c>
      <c r="S360" s="256">
        <f t="shared" si="896"/>
        <v>0</v>
      </c>
      <c r="T360" s="249" t="s">
        <v>131</v>
      </c>
      <c r="U360" s="256" t="s">
        <v>377</v>
      </c>
      <c r="V360" s="249">
        <v>4</v>
      </c>
      <c r="W360" s="249" t="str">
        <f t="shared" si="897"/>
        <v>4C X 4</v>
      </c>
      <c r="X360" s="249" t="str">
        <f t="shared" si="898"/>
        <v>4C X 4</v>
      </c>
      <c r="Y360" s="249" t="s">
        <v>314</v>
      </c>
      <c r="Z360" s="250">
        <f>IF(T360="AIR",VLOOKUP(W360,'Catalogue Aluminium'!$B$9:$G$91,2,FALSE),IF(T360="GROUND",VLOOKUP(W360,'Catalogue Aluminium'!$B$9:$G$91,3,FALSE),IF(T360="DUCT",VLOOKUP(W360,'Catalogue Aluminium'!$B$9:$G$91,4,FALSE),IF(T360="TRENCH",VLOOKUP(W360,'Catalogue Aluminium'!$B$9:$G$91,2,FALSE)))))</f>
        <v>38</v>
      </c>
      <c r="AA360" s="251">
        <f>VLOOKUP(W360,'Catalogue Aluminium'!$B$9:$G$91,5,FALSE)</f>
        <v>5.9</v>
      </c>
      <c r="AB360" s="251">
        <f>VLOOKUP(W360,'Catalogue Aluminium'!$B$9:$G$91,6,FALSE)</f>
        <v>9.4700000000000006E-2</v>
      </c>
      <c r="AC360" s="323">
        <f>4+30</f>
        <v>34</v>
      </c>
      <c r="AD360" s="323">
        <v>0</v>
      </c>
      <c r="AE360" s="294">
        <v>5</v>
      </c>
      <c r="AF360" s="294">
        <v>8</v>
      </c>
      <c r="AG360" s="294">
        <f t="shared" si="899"/>
        <v>5</v>
      </c>
      <c r="AH360" s="253">
        <f t="shared" si="900"/>
        <v>52</v>
      </c>
      <c r="AI360" s="250">
        <f>IF(T360="AIR",'Catalogue Aluminium'!$K$9,IF(T360="TRENCH",'Catalogue Aluminium'!$K$12,"NA"))</f>
        <v>0.89</v>
      </c>
      <c r="AJ360" s="248">
        <f>IF(T360="Air",(IF(U360="1C",'Catalogue Aluminium'!$L$9,'Catalogue Aluminium'!$M$9)),IF(T360="DUCT",(IF($U360="1C",'Catalogue Aluminium'!$L$10,'Catalogue Aluminium'!$M$10)),IF(T360="GROUND",(IF($U360="1C",'Catalogue Aluminium'!$L$11,'Catalogue Aluminium'!$M$11)),IF(T360="TRENCH",(IF($U360="1C",'Catalogue Aluminium'!$L$12,'Catalogue Aluminium'!$M$12))))))</f>
        <v>0.66</v>
      </c>
      <c r="AK360" s="250" t="str">
        <f>IF(T360="Air",'Catalogue Aluminium'!$N$9,IF(T360="GROUND",'Catalogue Aluminium'!$N$10,IF(T360="DUCT",'Catalogue Aluminium'!$N$11,IF(T360="TRENCH",'Catalogue Aluminium'!$N$12,"NA"))))</f>
        <v>NA</v>
      </c>
      <c r="AL360" s="250" t="str">
        <f>IF(T360="Air",(IF(U360="1C",'Catalogue Aluminium'!$O$9,'Catalogue Aluminium'!$P$9)),IF(T360="DUCT",(IF($U360="1C",'Catalogue Aluminium'!$O$10,'Catalogue Aluminium'!$P$10)),IF(T360="GROUND",(IF($U360="1C",'Catalogue Aluminium'!$O$11,'Catalogue Aluminium'!$P$11)),IF(T360="TRENCH",(IF($U360="1C",'Catalogue Aluminium'!$O$12,'Catalogue Aluminium'!$P$12))))))</f>
        <v>NA</v>
      </c>
      <c r="AM360" s="250" t="str">
        <f>IF(T360="AIR","NA",IF(T360="TRENCH","NA",IF(T360="DUCT",IF(U360="1C",VLOOKUP(V360,'Catalogue Aluminium'!$Q$9:$S$28,2,FALSE),VLOOKUP(V360,'Catalogue Aluminium'!$Q$9:$S$28,3)),IF(T360="GROUND",IF(U360="1C",VLOOKUP(V360,'Catalogue Aluminium'!$Q$9:$S$28,2,FALSE),VLOOKUP(V360,'Catalogue Aluminium'!$Q$9:$S$28,3))))))</f>
        <v>NA</v>
      </c>
      <c r="AN360" s="257">
        <f t="shared" si="901"/>
        <v>0.58740000000000003</v>
      </c>
      <c r="AO360" s="256">
        <f t="shared" si="902"/>
        <v>22.321200000000001</v>
      </c>
      <c r="AP360" s="255">
        <f t="shared" si="903"/>
        <v>1</v>
      </c>
      <c r="AQ360" s="256" t="str">
        <f t="shared" si="904"/>
        <v>YES</v>
      </c>
      <c r="AR360" s="257">
        <f t="shared" si="905"/>
        <v>1.0182076708994654</v>
      </c>
      <c r="AS360" s="249" t="str">
        <f t="shared" si="906"/>
        <v>YES</v>
      </c>
      <c r="AT360" s="257" t="str">
        <f t="shared" si="907"/>
        <v>NA</v>
      </c>
      <c r="AU360" s="249" t="str">
        <f t="shared" si="908"/>
        <v>NA</v>
      </c>
      <c r="AV360" s="260" t="str">
        <f t="shared" si="909"/>
        <v>1R x 0.6/1kV x 4C x 4 Sqmm</v>
      </c>
      <c r="AW360" s="260" t="str">
        <f t="shared" si="910"/>
        <v>1R x 0.6/1kV x 4C x 4 Sqmm</v>
      </c>
      <c r="AX360" s="249">
        <f t="shared" si="911"/>
        <v>52</v>
      </c>
      <c r="AY360" s="261"/>
    </row>
    <row r="361" spans="1:51" ht="25">
      <c r="A361" s="243">
        <f t="shared" si="891"/>
        <v>235</v>
      </c>
      <c r="B361" s="373" t="s">
        <v>633</v>
      </c>
      <c r="C361" s="243" t="str">
        <f t="shared" si="892"/>
        <v>ACDB-1</v>
      </c>
      <c r="D361" s="272" t="s">
        <v>643</v>
      </c>
      <c r="E361" s="351" t="s">
        <v>463</v>
      </c>
      <c r="F361" s="410"/>
      <c r="G361" s="243" t="s">
        <v>298</v>
      </c>
      <c r="H361" s="256">
        <v>5</v>
      </c>
      <c r="I361" s="243" t="s">
        <v>299</v>
      </c>
      <c r="J361" s="243" t="s">
        <v>300</v>
      </c>
      <c r="K361" s="255">
        <v>400</v>
      </c>
      <c r="L361" s="249">
        <v>0.84999999999999987</v>
      </c>
      <c r="M361" s="256">
        <v>0.95099999999999985</v>
      </c>
      <c r="N361" s="248">
        <f t="shared" si="893"/>
        <v>8.9281747625212677</v>
      </c>
      <c r="O361" s="248">
        <f t="shared" si="894"/>
        <v>0</v>
      </c>
      <c r="P361" s="249" t="str">
        <f t="shared" si="895"/>
        <v>0.00</v>
      </c>
      <c r="Q361" s="256">
        <v>50</v>
      </c>
      <c r="R361" s="256">
        <v>0</v>
      </c>
      <c r="S361" s="256">
        <f t="shared" si="896"/>
        <v>0</v>
      </c>
      <c r="T361" s="249" t="s">
        <v>131</v>
      </c>
      <c r="U361" s="256" t="s">
        <v>377</v>
      </c>
      <c r="V361" s="249">
        <v>4</v>
      </c>
      <c r="W361" s="249" t="str">
        <f t="shared" si="897"/>
        <v>4C X 4</v>
      </c>
      <c r="X361" s="249" t="str">
        <f t="shared" si="898"/>
        <v>4C X 4</v>
      </c>
      <c r="Y361" s="249" t="s">
        <v>314</v>
      </c>
      <c r="Z361" s="250">
        <f>IF(T361="AIR",VLOOKUP(W361,'Catalogue Aluminium'!$B$9:$G$91,2,FALSE),IF(T361="GROUND",VLOOKUP(W361,'Catalogue Aluminium'!$B$9:$G$91,3,FALSE),IF(T361="DUCT",VLOOKUP(W361,'Catalogue Aluminium'!$B$9:$G$91,4,FALSE),IF(T361="TRENCH",VLOOKUP(W361,'Catalogue Aluminium'!$B$9:$G$91,2,FALSE)))))</f>
        <v>38</v>
      </c>
      <c r="AA361" s="251">
        <f>VLOOKUP(W361,'Catalogue Aluminium'!$B$9:$G$91,5,FALSE)</f>
        <v>5.9</v>
      </c>
      <c r="AB361" s="251">
        <f>VLOOKUP(W361,'Catalogue Aluminium'!$B$9:$G$91,6,FALSE)</f>
        <v>9.4700000000000006E-2</v>
      </c>
      <c r="AC361" s="323">
        <f>11+30</f>
        <v>41</v>
      </c>
      <c r="AD361" s="323">
        <v>0</v>
      </c>
      <c r="AE361" s="294">
        <v>5</v>
      </c>
      <c r="AF361" s="294">
        <v>8</v>
      </c>
      <c r="AG361" s="294">
        <f t="shared" si="899"/>
        <v>6</v>
      </c>
      <c r="AH361" s="253">
        <f t="shared" si="900"/>
        <v>60</v>
      </c>
      <c r="AI361" s="250">
        <f>IF(T361="AIR",'Catalogue Aluminium'!$K$9,IF(T361="TRENCH",'Catalogue Aluminium'!$K$12,"NA"))</f>
        <v>0.89</v>
      </c>
      <c r="AJ361" s="248">
        <f>IF(T361="Air",(IF(U361="1C",'Catalogue Aluminium'!$L$9,'Catalogue Aluminium'!$M$9)),IF(T361="DUCT",(IF($U361="1C",'Catalogue Aluminium'!$L$10,'Catalogue Aluminium'!$M$10)),IF(T361="GROUND",(IF($U361="1C",'Catalogue Aluminium'!$L$11,'Catalogue Aluminium'!$M$11)),IF(T361="TRENCH",(IF($U361="1C",'Catalogue Aluminium'!$L$12,'Catalogue Aluminium'!$M$12))))))</f>
        <v>0.66</v>
      </c>
      <c r="AK361" s="250" t="str">
        <f>IF(T361="Air",'Catalogue Aluminium'!$N$9,IF(T361="GROUND",'Catalogue Aluminium'!$N$10,IF(T361="DUCT",'Catalogue Aluminium'!$N$11,IF(T361="TRENCH",'Catalogue Aluminium'!$N$12,"NA"))))</f>
        <v>NA</v>
      </c>
      <c r="AL361" s="250" t="str">
        <f>IF(T361="Air",(IF(U361="1C",'Catalogue Aluminium'!$O$9,'Catalogue Aluminium'!$P$9)),IF(T361="DUCT",(IF($U361="1C",'Catalogue Aluminium'!$O$10,'Catalogue Aluminium'!$P$10)),IF(T361="GROUND",(IF($U361="1C",'Catalogue Aluminium'!$O$11,'Catalogue Aluminium'!$P$11)),IF(T361="TRENCH",(IF($U361="1C",'Catalogue Aluminium'!$O$12,'Catalogue Aluminium'!$P$12))))))</f>
        <v>NA</v>
      </c>
      <c r="AM361" s="250" t="str">
        <f>IF(T361="AIR","NA",IF(T361="TRENCH","NA",IF(T361="DUCT",IF(U361="1C",VLOOKUP(V361,'Catalogue Aluminium'!$Q$9:$S$28,2,FALSE),VLOOKUP(V361,'Catalogue Aluminium'!$Q$9:$S$28,3)),IF(T361="GROUND",IF(U361="1C",VLOOKUP(V361,'Catalogue Aluminium'!$Q$9:$S$28,2,FALSE),VLOOKUP(V361,'Catalogue Aluminium'!$Q$9:$S$28,3))))))</f>
        <v>NA</v>
      </c>
      <c r="AN361" s="257">
        <f t="shared" si="901"/>
        <v>0.58740000000000003</v>
      </c>
      <c r="AO361" s="256">
        <f t="shared" si="902"/>
        <v>22.321200000000001</v>
      </c>
      <c r="AP361" s="255">
        <f t="shared" si="903"/>
        <v>1</v>
      </c>
      <c r="AQ361" s="256" t="str">
        <f t="shared" si="904"/>
        <v>YES</v>
      </c>
      <c r="AR361" s="257">
        <f t="shared" si="905"/>
        <v>1.1748550048839983</v>
      </c>
      <c r="AS361" s="249" t="str">
        <f t="shared" si="906"/>
        <v>YES</v>
      </c>
      <c r="AT361" s="257" t="str">
        <f t="shared" si="907"/>
        <v>NA</v>
      </c>
      <c r="AU361" s="249" t="str">
        <f t="shared" si="908"/>
        <v>NA</v>
      </c>
      <c r="AV361" s="260" t="str">
        <f t="shared" si="909"/>
        <v>1R x 0.6/1kV x 4C x 4 Sqmm</v>
      </c>
      <c r="AW361" s="260" t="str">
        <f t="shared" si="910"/>
        <v>1R x 0.6/1kV x 4C x 4 Sqmm</v>
      </c>
      <c r="AX361" s="249">
        <f t="shared" si="911"/>
        <v>60</v>
      </c>
      <c r="AY361" s="261"/>
    </row>
    <row r="362" spans="1:51">
      <c r="A362" s="243">
        <f t="shared" si="891"/>
        <v>236</v>
      </c>
      <c r="B362" s="373" t="s">
        <v>483</v>
      </c>
      <c r="C362" s="243" t="str">
        <f t="shared" si="892"/>
        <v>ACDB-1</v>
      </c>
      <c r="D362" s="272" t="s">
        <v>644</v>
      </c>
      <c r="E362" s="351" t="s">
        <v>463</v>
      </c>
      <c r="F362" s="410"/>
      <c r="G362" s="243" t="s">
        <v>298</v>
      </c>
      <c r="H362" s="256">
        <v>5</v>
      </c>
      <c r="I362" s="243" t="s">
        <v>299</v>
      </c>
      <c r="J362" s="243" t="s">
        <v>300</v>
      </c>
      <c r="K362" s="255">
        <v>400</v>
      </c>
      <c r="L362" s="249">
        <v>0.84999999999999987</v>
      </c>
      <c r="M362" s="256">
        <v>0.95099999999999985</v>
      </c>
      <c r="N362" s="248">
        <f t="shared" si="893"/>
        <v>8.9281747625212677</v>
      </c>
      <c r="O362" s="248">
        <f t="shared" si="894"/>
        <v>0</v>
      </c>
      <c r="P362" s="249" t="str">
        <f t="shared" si="895"/>
        <v>0.00</v>
      </c>
      <c r="Q362" s="256">
        <v>50</v>
      </c>
      <c r="R362" s="256">
        <v>0</v>
      </c>
      <c r="S362" s="256">
        <f t="shared" si="896"/>
        <v>0</v>
      </c>
      <c r="T362" s="249" t="s">
        <v>131</v>
      </c>
      <c r="U362" s="256" t="s">
        <v>377</v>
      </c>
      <c r="V362" s="249">
        <v>4</v>
      </c>
      <c r="W362" s="249" t="str">
        <f t="shared" si="897"/>
        <v>4C X 4</v>
      </c>
      <c r="X362" s="249" t="str">
        <f t="shared" si="898"/>
        <v>4C X 4</v>
      </c>
      <c r="Y362" s="249" t="s">
        <v>314</v>
      </c>
      <c r="Z362" s="250">
        <f>IF(T362="AIR",VLOOKUP(W362,'Catalogue Aluminium'!$B$9:$G$91,2,FALSE),IF(T362="GROUND",VLOOKUP(W362,'Catalogue Aluminium'!$B$9:$G$91,3,FALSE),IF(T362="DUCT",VLOOKUP(W362,'Catalogue Aluminium'!$B$9:$G$91,4,FALSE),IF(T362="TRENCH",VLOOKUP(W362,'Catalogue Aluminium'!$B$9:$G$91,2,FALSE)))))</f>
        <v>38</v>
      </c>
      <c r="AA362" s="251">
        <f>VLOOKUP(W362,'Catalogue Aluminium'!$B$9:$G$91,5,FALSE)</f>
        <v>5.9</v>
      </c>
      <c r="AB362" s="251">
        <f>VLOOKUP(W362,'Catalogue Aluminium'!$B$9:$G$91,6,FALSE)</f>
        <v>9.4700000000000006E-2</v>
      </c>
      <c r="AC362" s="323">
        <f>4+5</f>
        <v>9</v>
      </c>
      <c r="AD362" s="323">
        <v>0</v>
      </c>
      <c r="AE362" s="294">
        <v>5</v>
      </c>
      <c r="AF362" s="294">
        <v>8</v>
      </c>
      <c r="AG362" s="294">
        <f t="shared" si="899"/>
        <v>3</v>
      </c>
      <c r="AH362" s="253">
        <f t="shared" si="900"/>
        <v>25</v>
      </c>
      <c r="AI362" s="250">
        <f>IF(T362="AIR",'Catalogue Aluminium'!$K$9,IF(T362="TRENCH",'Catalogue Aluminium'!$K$12,"NA"))</f>
        <v>0.89</v>
      </c>
      <c r="AJ362" s="248">
        <f>IF(T362="Air",(IF(U362="1C",'Catalogue Aluminium'!$L$9,'Catalogue Aluminium'!$M$9)),IF(T362="DUCT",(IF($U362="1C",'Catalogue Aluminium'!$L$10,'Catalogue Aluminium'!$M$10)),IF(T362="GROUND",(IF($U362="1C",'Catalogue Aluminium'!$L$11,'Catalogue Aluminium'!$M$11)),IF(T362="TRENCH",(IF($U362="1C",'Catalogue Aluminium'!$L$12,'Catalogue Aluminium'!$M$12))))))</f>
        <v>0.66</v>
      </c>
      <c r="AK362" s="250" t="str">
        <f>IF(T362="Air",'Catalogue Aluminium'!$N$9,IF(T362="GROUND",'Catalogue Aluminium'!$N$10,IF(T362="DUCT",'Catalogue Aluminium'!$N$11,IF(T362="TRENCH",'Catalogue Aluminium'!$N$12,"NA"))))</f>
        <v>NA</v>
      </c>
      <c r="AL362" s="250" t="str">
        <f>IF(T362="Air",(IF(U362="1C",'Catalogue Aluminium'!$O$9,'Catalogue Aluminium'!$P$9)),IF(T362="DUCT",(IF($U362="1C",'Catalogue Aluminium'!$O$10,'Catalogue Aluminium'!$P$10)),IF(T362="GROUND",(IF($U362="1C",'Catalogue Aluminium'!$O$11,'Catalogue Aluminium'!$P$11)),IF(T362="TRENCH",(IF($U362="1C",'Catalogue Aluminium'!$O$12,'Catalogue Aluminium'!$P$12))))))</f>
        <v>NA</v>
      </c>
      <c r="AM362" s="250" t="str">
        <f>IF(T362="AIR","NA",IF(T362="TRENCH","NA",IF(T362="DUCT",IF(U362="1C",VLOOKUP(V362,'Catalogue Aluminium'!$Q$9:$S$28,2,FALSE),VLOOKUP(V362,'Catalogue Aluminium'!$Q$9:$S$28,3)),IF(T362="GROUND",IF(U362="1C",VLOOKUP(V362,'Catalogue Aluminium'!$Q$9:$S$28,2,FALSE),VLOOKUP(V362,'Catalogue Aluminium'!$Q$9:$S$28,3))))))</f>
        <v>NA</v>
      </c>
      <c r="AN362" s="257">
        <f t="shared" si="901"/>
        <v>0.58740000000000003</v>
      </c>
      <c r="AO362" s="256">
        <f t="shared" si="902"/>
        <v>22.321200000000001</v>
      </c>
      <c r="AP362" s="255">
        <f t="shared" si="903"/>
        <v>1</v>
      </c>
      <c r="AQ362" s="256" t="str">
        <f t="shared" si="904"/>
        <v>YES</v>
      </c>
      <c r="AR362" s="257">
        <f t="shared" si="905"/>
        <v>0.48952291870166598</v>
      </c>
      <c r="AS362" s="249" t="str">
        <f t="shared" si="906"/>
        <v>YES</v>
      </c>
      <c r="AT362" s="257" t="str">
        <f t="shared" si="907"/>
        <v>NA</v>
      </c>
      <c r="AU362" s="249" t="str">
        <f t="shared" si="908"/>
        <v>NA</v>
      </c>
      <c r="AV362" s="260" t="str">
        <f t="shared" si="909"/>
        <v>1R x 0.6/1kV x 4C x 4 Sqmm</v>
      </c>
      <c r="AW362" s="260" t="str">
        <f t="shared" si="910"/>
        <v>1R x 0.6/1kV x 4C x 4 Sqmm</v>
      </c>
      <c r="AX362" s="249">
        <f t="shared" si="911"/>
        <v>25</v>
      </c>
      <c r="AY362" s="261"/>
    </row>
    <row r="363" spans="1:51">
      <c r="A363" s="243">
        <f t="shared" si="891"/>
        <v>237</v>
      </c>
      <c r="B363" s="373" t="s">
        <v>483</v>
      </c>
      <c r="C363" s="243" t="str">
        <f t="shared" si="892"/>
        <v>ACDB-1</v>
      </c>
      <c r="D363" s="272" t="s">
        <v>645</v>
      </c>
      <c r="E363" s="351" t="s">
        <v>463</v>
      </c>
      <c r="F363" s="410"/>
      <c r="G363" s="243" t="s">
        <v>298</v>
      </c>
      <c r="H363" s="256">
        <v>5</v>
      </c>
      <c r="I363" s="243" t="s">
        <v>299</v>
      </c>
      <c r="J363" s="243" t="s">
        <v>300</v>
      </c>
      <c r="K363" s="255">
        <v>400</v>
      </c>
      <c r="L363" s="249">
        <v>0.84999999999999987</v>
      </c>
      <c r="M363" s="256">
        <v>0.95099999999999985</v>
      </c>
      <c r="N363" s="248">
        <f t="shared" si="893"/>
        <v>8.9281747625212677</v>
      </c>
      <c r="O363" s="248">
        <f t="shared" si="894"/>
        <v>0</v>
      </c>
      <c r="P363" s="249" t="str">
        <f t="shared" si="895"/>
        <v>0.00</v>
      </c>
      <c r="Q363" s="256">
        <v>50</v>
      </c>
      <c r="R363" s="256">
        <v>0</v>
      </c>
      <c r="S363" s="256">
        <f t="shared" si="896"/>
        <v>0</v>
      </c>
      <c r="T363" s="249" t="s">
        <v>131</v>
      </c>
      <c r="U363" s="256" t="s">
        <v>377</v>
      </c>
      <c r="V363" s="249">
        <v>4</v>
      </c>
      <c r="W363" s="249" t="str">
        <f t="shared" si="897"/>
        <v>4C X 4</v>
      </c>
      <c r="X363" s="249" t="str">
        <f t="shared" si="898"/>
        <v>4C X 4</v>
      </c>
      <c r="Y363" s="249" t="s">
        <v>314</v>
      </c>
      <c r="Z363" s="250">
        <f>IF(T363="AIR",VLOOKUP(W363,'Catalogue Aluminium'!$B$9:$G$91,2,FALSE),IF(T363="GROUND",VLOOKUP(W363,'Catalogue Aluminium'!$B$9:$G$91,3,FALSE),IF(T363="DUCT",VLOOKUP(W363,'Catalogue Aluminium'!$B$9:$G$91,4,FALSE),IF(T363="TRENCH",VLOOKUP(W363,'Catalogue Aluminium'!$B$9:$G$91,2,FALSE)))))</f>
        <v>38</v>
      </c>
      <c r="AA363" s="251">
        <f>VLOOKUP(W363,'Catalogue Aluminium'!$B$9:$G$91,5,FALSE)</f>
        <v>5.9</v>
      </c>
      <c r="AB363" s="251">
        <f>VLOOKUP(W363,'Catalogue Aluminium'!$B$9:$G$91,6,FALSE)</f>
        <v>9.4700000000000006E-2</v>
      </c>
      <c r="AC363" s="323">
        <f>10+5</f>
        <v>15</v>
      </c>
      <c r="AD363" s="323">
        <v>0</v>
      </c>
      <c r="AE363" s="294">
        <v>5</v>
      </c>
      <c r="AF363" s="294">
        <v>8</v>
      </c>
      <c r="AG363" s="294">
        <f t="shared" si="899"/>
        <v>3</v>
      </c>
      <c r="AH363" s="253">
        <f t="shared" si="900"/>
        <v>31</v>
      </c>
      <c r="AI363" s="250">
        <f>IF(T363="AIR",'Catalogue Aluminium'!$K$9,IF(T363="TRENCH",'Catalogue Aluminium'!$K$12,"NA"))</f>
        <v>0.89</v>
      </c>
      <c r="AJ363" s="248">
        <f>IF(T363="Air",(IF(U363="1C",'Catalogue Aluminium'!$L$9,'Catalogue Aluminium'!$M$9)),IF(T363="DUCT",(IF($U363="1C",'Catalogue Aluminium'!$L$10,'Catalogue Aluminium'!$M$10)),IF(T363="GROUND",(IF($U363="1C",'Catalogue Aluminium'!$L$11,'Catalogue Aluminium'!$M$11)),IF(T363="TRENCH",(IF($U363="1C",'Catalogue Aluminium'!$L$12,'Catalogue Aluminium'!$M$12))))))</f>
        <v>0.66</v>
      </c>
      <c r="AK363" s="250" t="str">
        <f>IF(T363="Air",'Catalogue Aluminium'!$N$9,IF(T363="GROUND",'Catalogue Aluminium'!$N$10,IF(T363="DUCT",'Catalogue Aluminium'!$N$11,IF(T363="TRENCH",'Catalogue Aluminium'!$N$12,"NA"))))</f>
        <v>NA</v>
      </c>
      <c r="AL363" s="250" t="str">
        <f>IF(T363="Air",(IF(U363="1C",'Catalogue Aluminium'!$O$9,'Catalogue Aluminium'!$P$9)),IF(T363="DUCT",(IF($U363="1C",'Catalogue Aluminium'!$O$10,'Catalogue Aluminium'!$P$10)),IF(T363="GROUND",(IF($U363="1C",'Catalogue Aluminium'!$O$11,'Catalogue Aluminium'!$P$11)),IF(T363="TRENCH",(IF($U363="1C",'Catalogue Aluminium'!$O$12,'Catalogue Aluminium'!$P$12))))))</f>
        <v>NA</v>
      </c>
      <c r="AM363" s="250" t="str">
        <f>IF(T363="AIR","NA",IF(T363="TRENCH","NA",IF(T363="DUCT",IF(U363="1C",VLOOKUP(V363,'Catalogue Aluminium'!$Q$9:$S$28,2,FALSE),VLOOKUP(V363,'Catalogue Aluminium'!$Q$9:$S$28,3)),IF(T363="GROUND",IF(U363="1C",VLOOKUP(V363,'Catalogue Aluminium'!$Q$9:$S$28,2,FALSE),VLOOKUP(V363,'Catalogue Aluminium'!$Q$9:$S$28,3))))))</f>
        <v>NA</v>
      </c>
      <c r="AN363" s="257">
        <f t="shared" si="901"/>
        <v>0.58740000000000003</v>
      </c>
      <c r="AO363" s="256">
        <f t="shared" si="902"/>
        <v>22.321200000000001</v>
      </c>
      <c r="AP363" s="255">
        <f t="shared" si="903"/>
        <v>1</v>
      </c>
      <c r="AQ363" s="256" t="str">
        <f t="shared" si="904"/>
        <v>YES</v>
      </c>
      <c r="AR363" s="257">
        <f t="shared" si="905"/>
        <v>0.60700841919006587</v>
      </c>
      <c r="AS363" s="249" t="str">
        <f t="shared" si="906"/>
        <v>YES</v>
      </c>
      <c r="AT363" s="257" t="str">
        <f t="shared" si="907"/>
        <v>NA</v>
      </c>
      <c r="AU363" s="249" t="str">
        <f t="shared" si="908"/>
        <v>NA</v>
      </c>
      <c r="AV363" s="260" t="str">
        <f t="shared" si="909"/>
        <v>1R x 0.6/1kV x 4C x 4 Sqmm</v>
      </c>
      <c r="AW363" s="260" t="str">
        <f t="shared" si="910"/>
        <v>1R x 0.6/1kV x 4C x 4 Sqmm</v>
      </c>
      <c r="AX363" s="249">
        <f t="shared" si="911"/>
        <v>31</v>
      </c>
      <c r="AY363" s="261"/>
    </row>
    <row r="364" spans="1:51">
      <c r="A364" s="243">
        <f t="shared" si="891"/>
        <v>238</v>
      </c>
      <c r="B364" s="373" t="s">
        <v>646</v>
      </c>
      <c r="C364" s="243" t="str">
        <f t="shared" si="892"/>
        <v>ACDB-1</v>
      </c>
      <c r="D364" s="272" t="s">
        <v>647</v>
      </c>
      <c r="E364" s="351" t="s">
        <v>463</v>
      </c>
      <c r="F364" s="410"/>
      <c r="G364" s="243" t="s">
        <v>298</v>
      </c>
      <c r="H364" s="256">
        <v>3</v>
      </c>
      <c r="I364" s="243" t="s">
        <v>299</v>
      </c>
      <c r="J364" s="243" t="s">
        <v>300</v>
      </c>
      <c r="K364" s="255">
        <v>400</v>
      </c>
      <c r="L364" s="249">
        <v>0.84999999999999987</v>
      </c>
      <c r="M364" s="256">
        <v>0.95099999999999985</v>
      </c>
      <c r="N364" s="248">
        <f t="shared" si="893"/>
        <v>5.3569048575127605</v>
      </c>
      <c r="O364" s="248">
        <f t="shared" si="894"/>
        <v>0</v>
      </c>
      <c r="P364" s="249" t="str">
        <f t="shared" si="895"/>
        <v>0.00</v>
      </c>
      <c r="Q364" s="256">
        <v>50</v>
      </c>
      <c r="R364" s="256">
        <v>0</v>
      </c>
      <c r="S364" s="256">
        <f t="shared" si="896"/>
        <v>0</v>
      </c>
      <c r="T364" s="249" t="s">
        <v>131</v>
      </c>
      <c r="U364" s="256" t="s">
        <v>377</v>
      </c>
      <c r="V364" s="249">
        <v>4</v>
      </c>
      <c r="W364" s="249" t="str">
        <f t="shared" si="897"/>
        <v>4C X 4</v>
      </c>
      <c r="X364" s="249" t="str">
        <f t="shared" si="898"/>
        <v>4C X 4</v>
      </c>
      <c r="Y364" s="249" t="s">
        <v>314</v>
      </c>
      <c r="Z364" s="250">
        <f>IF(T364="AIR",VLOOKUP(W364,'Catalogue Aluminium'!$B$9:$G$91,2,FALSE),IF(T364="GROUND",VLOOKUP(W364,'Catalogue Aluminium'!$B$9:$G$91,3,FALSE),IF(T364="DUCT",VLOOKUP(W364,'Catalogue Aluminium'!$B$9:$G$91,4,FALSE),IF(T364="TRENCH",VLOOKUP(W364,'Catalogue Aluminium'!$B$9:$G$91,2,FALSE)))))</f>
        <v>38</v>
      </c>
      <c r="AA364" s="251">
        <f>VLOOKUP(W364,'Catalogue Aluminium'!$B$9:$G$91,5,FALSE)</f>
        <v>5.9</v>
      </c>
      <c r="AB364" s="251">
        <f>VLOOKUP(W364,'Catalogue Aluminium'!$B$9:$G$91,6,FALSE)</f>
        <v>9.4700000000000006E-2</v>
      </c>
      <c r="AC364" s="323">
        <f>3+12+11+2</f>
        <v>28</v>
      </c>
      <c r="AD364" s="323">
        <v>0</v>
      </c>
      <c r="AE364" s="294">
        <v>5</v>
      </c>
      <c r="AF364" s="294">
        <v>8</v>
      </c>
      <c r="AG364" s="294">
        <f t="shared" si="899"/>
        <v>5</v>
      </c>
      <c r="AH364" s="253">
        <f t="shared" si="900"/>
        <v>46</v>
      </c>
      <c r="AI364" s="250">
        <f>IF(T364="AIR",'Catalogue Aluminium'!$K$9,IF(T364="TRENCH",'Catalogue Aluminium'!$K$12,"NA"))</f>
        <v>0.89</v>
      </c>
      <c r="AJ364" s="248">
        <f>IF(T364="Air",(IF(U364="1C",'Catalogue Aluminium'!$L$9,'Catalogue Aluminium'!$M$9)),IF(T364="DUCT",(IF($U364="1C",'Catalogue Aluminium'!$L$10,'Catalogue Aluminium'!$M$10)),IF(T364="GROUND",(IF($U364="1C",'Catalogue Aluminium'!$L$11,'Catalogue Aluminium'!$M$11)),IF(T364="TRENCH",(IF($U364="1C",'Catalogue Aluminium'!$L$12,'Catalogue Aluminium'!$M$12))))))</f>
        <v>0.66</v>
      </c>
      <c r="AK364" s="250" t="str">
        <f>IF(T364="Air",'Catalogue Aluminium'!$N$9,IF(T364="GROUND",'Catalogue Aluminium'!$N$10,IF(T364="DUCT",'Catalogue Aluminium'!$N$11,IF(T364="TRENCH",'Catalogue Aluminium'!$N$12,"NA"))))</f>
        <v>NA</v>
      </c>
      <c r="AL364" s="250" t="str">
        <f>IF(T364="Air",(IF(U364="1C",'Catalogue Aluminium'!$O$9,'Catalogue Aluminium'!$P$9)),IF(T364="DUCT",(IF($U364="1C",'Catalogue Aluminium'!$O$10,'Catalogue Aluminium'!$P$10)),IF(T364="GROUND",(IF($U364="1C",'Catalogue Aluminium'!$O$11,'Catalogue Aluminium'!$P$11)),IF(T364="TRENCH",(IF($U364="1C",'Catalogue Aluminium'!$O$12,'Catalogue Aluminium'!$P$12))))))</f>
        <v>NA</v>
      </c>
      <c r="AM364" s="250" t="str">
        <f>IF(T364="AIR","NA",IF(T364="TRENCH","NA",IF(T364="DUCT",IF(U364="1C",VLOOKUP(V364,'Catalogue Aluminium'!$Q$9:$S$28,2,FALSE),VLOOKUP(V364,'Catalogue Aluminium'!$Q$9:$S$28,3)),IF(T364="GROUND",IF(U364="1C",VLOOKUP(V364,'Catalogue Aluminium'!$Q$9:$S$28,2,FALSE),VLOOKUP(V364,'Catalogue Aluminium'!$Q$9:$S$28,3))))))</f>
        <v>NA</v>
      </c>
      <c r="AN364" s="257">
        <f t="shared" si="901"/>
        <v>0.58740000000000003</v>
      </c>
      <c r="AO364" s="256">
        <f t="shared" si="902"/>
        <v>22.321200000000001</v>
      </c>
      <c r="AP364" s="255">
        <f t="shared" si="903"/>
        <v>1</v>
      </c>
      <c r="AQ364" s="256" t="str">
        <f t="shared" si="904"/>
        <v>YES</v>
      </c>
      <c r="AR364" s="257">
        <f t="shared" si="905"/>
        <v>0.54043330224663921</v>
      </c>
      <c r="AS364" s="249" t="str">
        <f t="shared" si="906"/>
        <v>YES</v>
      </c>
      <c r="AT364" s="257" t="str">
        <f t="shared" si="907"/>
        <v>NA</v>
      </c>
      <c r="AU364" s="249" t="str">
        <f t="shared" si="908"/>
        <v>NA</v>
      </c>
      <c r="AV364" s="260" t="str">
        <f t="shared" si="909"/>
        <v>1R x 0.6/1kV x 4C x 4 Sqmm</v>
      </c>
      <c r="AW364" s="260" t="str">
        <f t="shared" si="910"/>
        <v>1R x 0.6/1kV x 4C x 4 Sqmm</v>
      </c>
      <c r="AX364" s="249">
        <f t="shared" si="911"/>
        <v>46</v>
      </c>
      <c r="AY364" s="261"/>
    </row>
    <row r="365" spans="1:51">
      <c r="A365" s="243">
        <f t="shared" si="891"/>
        <v>239</v>
      </c>
      <c r="B365" s="373" t="s">
        <v>648</v>
      </c>
      <c r="C365" s="243" t="str">
        <f t="shared" si="892"/>
        <v>ACDB-1</v>
      </c>
      <c r="D365" s="272" t="s">
        <v>649</v>
      </c>
      <c r="E365" s="351" t="s">
        <v>463</v>
      </c>
      <c r="F365" s="410"/>
      <c r="G365" s="243" t="s">
        <v>298</v>
      </c>
      <c r="H365" s="256">
        <v>3</v>
      </c>
      <c r="I365" s="243" t="s">
        <v>299</v>
      </c>
      <c r="J365" s="243" t="s">
        <v>300</v>
      </c>
      <c r="K365" s="255">
        <v>400</v>
      </c>
      <c r="L365" s="249">
        <v>0.84999999999999987</v>
      </c>
      <c r="M365" s="256">
        <v>0.95099999999999985</v>
      </c>
      <c r="N365" s="248">
        <f t="shared" si="893"/>
        <v>5.3569048575127605</v>
      </c>
      <c r="O365" s="248">
        <f t="shared" si="894"/>
        <v>0</v>
      </c>
      <c r="P365" s="249" t="str">
        <f t="shared" si="895"/>
        <v>0.00</v>
      </c>
      <c r="Q365" s="256">
        <v>50</v>
      </c>
      <c r="R365" s="256">
        <v>0</v>
      </c>
      <c r="S365" s="256">
        <f t="shared" si="896"/>
        <v>0</v>
      </c>
      <c r="T365" s="249" t="s">
        <v>131</v>
      </c>
      <c r="U365" s="256" t="s">
        <v>377</v>
      </c>
      <c r="V365" s="249">
        <v>4</v>
      </c>
      <c r="W365" s="249" t="str">
        <f t="shared" si="897"/>
        <v>4C X 4</v>
      </c>
      <c r="X365" s="249" t="str">
        <f t="shared" si="898"/>
        <v>4C X 4</v>
      </c>
      <c r="Y365" s="249" t="s">
        <v>314</v>
      </c>
      <c r="Z365" s="250">
        <f>IF(T365="AIR",VLOOKUP(W365,'Catalogue Aluminium'!$B$9:$G$91,2,FALSE),IF(T365="GROUND",VLOOKUP(W365,'Catalogue Aluminium'!$B$9:$G$91,3,FALSE),IF(T365="DUCT",VLOOKUP(W365,'Catalogue Aluminium'!$B$9:$G$91,4,FALSE),IF(T365="TRENCH",VLOOKUP(W365,'Catalogue Aluminium'!$B$9:$G$91,2,FALSE)))))</f>
        <v>38</v>
      </c>
      <c r="AA365" s="251">
        <f>VLOOKUP(W365,'Catalogue Aluminium'!$B$9:$G$91,5,FALSE)</f>
        <v>5.9</v>
      </c>
      <c r="AB365" s="251">
        <f>VLOOKUP(W365,'Catalogue Aluminium'!$B$9:$G$91,6,FALSE)</f>
        <v>9.4700000000000006E-2</v>
      </c>
      <c r="AC365" s="323">
        <f>3+12+4+2</f>
        <v>21</v>
      </c>
      <c r="AD365" s="323">
        <v>0</v>
      </c>
      <c r="AE365" s="294">
        <v>5</v>
      </c>
      <c r="AF365" s="294">
        <v>8</v>
      </c>
      <c r="AG365" s="294">
        <f t="shared" si="899"/>
        <v>4</v>
      </c>
      <c r="AH365" s="253">
        <f t="shared" si="900"/>
        <v>38</v>
      </c>
      <c r="AI365" s="250">
        <f>IF(T365="AIR",'Catalogue Aluminium'!$K$9,IF(T365="TRENCH",'Catalogue Aluminium'!$K$12,"NA"))</f>
        <v>0.89</v>
      </c>
      <c r="AJ365" s="248">
        <f>IF(T365="Air",(IF(U365="1C",'Catalogue Aluminium'!$L$9,'Catalogue Aluminium'!$M$9)),IF(T365="DUCT",(IF($U365="1C",'Catalogue Aluminium'!$L$10,'Catalogue Aluminium'!$M$10)),IF(T365="GROUND",(IF($U365="1C",'Catalogue Aluminium'!$L$11,'Catalogue Aluminium'!$M$11)),IF(T365="TRENCH",(IF($U365="1C",'Catalogue Aluminium'!$L$12,'Catalogue Aluminium'!$M$12))))))</f>
        <v>0.66</v>
      </c>
      <c r="AK365" s="250" t="str">
        <f>IF(T365="Air",'Catalogue Aluminium'!$N$9,IF(T365="GROUND",'Catalogue Aluminium'!$N$10,IF(T365="DUCT",'Catalogue Aluminium'!$N$11,IF(T365="TRENCH",'Catalogue Aluminium'!$N$12,"NA"))))</f>
        <v>NA</v>
      </c>
      <c r="AL365" s="250" t="str">
        <f>IF(T365="Air",(IF(U365="1C",'Catalogue Aluminium'!$O$9,'Catalogue Aluminium'!$P$9)),IF(T365="DUCT",(IF($U365="1C",'Catalogue Aluminium'!$O$10,'Catalogue Aluminium'!$P$10)),IF(T365="GROUND",(IF($U365="1C",'Catalogue Aluminium'!$O$11,'Catalogue Aluminium'!$P$11)),IF(T365="TRENCH",(IF($U365="1C",'Catalogue Aluminium'!$O$12,'Catalogue Aluminium'!$P$12))))))</f>
        <v>NA</v>
      </c>
      <c r="AM365" s="250" t="str">
        <f>IF(T365="AIR","NA",IF(T365="TRENCH","NA",IF(T365="DUCT",IF(U365="1C",VLOOKUP(V365,'Catalogue Aluminium'!$Q$9:$S$28,2,FALSE),VLOOKUP(V365,'Catalogue Aluminium'!$Q$9:$S$28,3)),IF(T365="GROUND",IF(U365="1C",VLOOKUP(V365,'Catalogue Aluminium'!$Q$9:$S$28,2,FALSE),VLOOKUP(V365,'Catalogue Aluminium'!$Q$9:$S$28,3))))))</f>
        <v>NA</v>
      </c>
      <c r="AN365" s="257">
        <f t="shared" si="901"/>
        <v>0.58740000000000003</v>
      </c>
      <c r="AO365" s="256">
        <f t="shared" si="902"/>
        <v>22.321200000000001</v>
      </c>
      <c r="AP365" s="255">
        <f t="shared" si="903"/>
        <v>1</v>
      </c>
      <c r="AQ365" s="256" t="str">
        <f t="shared" si="904"/>
        <v>YES</v>
      </c>
      <c r="AR365" s="257">
        <f t="shared" si="905"/>
        <v>0.4464449018559194</v>
      </c>
      <c r="AS365" s="249" t="str">
        <f t="shared" si="906"/>
        <v>YES</v>
      </c>
      <c r="AT365" s="257" t="str">
        <f t="shared" si="907"/>
        <v>NA</v>
      </c>
      <c r="AU365" s="249" t="str">
        <f t="shared" si="908"/>
        <v>NA</v>
      </c>
      <c r="AV365" s="260" t="str">
        <f t="shared" si="909"/>
        <v>1R x 0.6/1kV x 4C x 4 Sqmm</v>
      </c>
      <c r="AW365" s="260" t="str">
        <f t="shared" si="910"/>
        <v>1R x 0.6/1kV x 4C x 4 Sqmm</v>
      </c>
      <c r="AX365" s="249">
        <f t="shared" si="911"/>
        <v>38</v>
      </c>
      <c r="AY365" s="261"/>
    </row>
    <row r="366" spans="1:51">
      <c r="A366" s="243">
        <f t="shared" si="891"/>
        <v>240</v>
      </c>
      <c r="B366" s="373" t="s">
        <v>638</v>
      </c>
      <c r="C366" s="243" t="str">
        <f t="shared" si="892"/>
        <v>ACDB-1</v>
      </c>
      <c r="D366" s="272" t="s">
        <v>650</v>
      </c>
      <c r="E366" s="351" t="s">
        <v>463</v>
      </c>
      <c r="F366" s="410"/>
      <c r="G366" s="243" t="s">
        <v>298</v>
      </c>
      <c r="H366" s="256">
        <v>5</v>
      </c>
      <c r="I366" s="243" t="s">
        <v>299</v>
      </c>
      <c r="J366" s="243" t="s">
        <v>300</v>
      </c>
      <c r="K366" s="255">
        <v>400</v>
      </c>
      <c r="L366" s="249">
        <v>0.84999999999999987</v>
      </c>
      <c r="M366" s="256">
        <v>0.95099999999999985</v>
      </c>
      <c r="N366" s="248">
        <f t="shared" si="893"/>
        <v>8.9281747625212677</v>
      </c>
      <c r="O366" s="248">
        <f t="shared" si="894"/>
        <v>0</v>
      </c>
      <c r="P366" s="249" t="str">
        <f t="shared" si="895"/>
        <v>0.00</v>
      </c>
      <c r="Q366" s="256">
        <v>50</v>
      </c>
      <c r="R366" s="256">
        <v>0</v>
      </c>
      <c r="S366" s="256">
        <f t="shared" si="896"/>
        <v>0</v>
      </c>
      <c r="T366" s="249" t="s">
        <v>131</v>
      </c>
      <c r="U366" s="256" t="s">
        <v>377</v>
      </c>
      <c r="V366" s="249">
        <v>4</v>
      </c>
      <c r="W366" s="249" t="str">
        <f t="shared" si="897"/>
        <v>4C X 4</v>
      </c>
      <c r="X366" s="249" t="str">
        <f t="shared" si="898"/>
        <v>4C X 4</v>
      </c>
      <c r="Y366" s="249" t="s">
        <v>314</v>
      </c>
      <c r="Z366" s="250">
        <f>IF(T366="AIR",VLOOKUP(W366,'Catalogue Aluminium'!$B$9:$G$91,2,FALSE),IF(T366="GROUND",VLOOKUP(W366,'Catalogue Aluminium'!$B$9:$G$91,3,FALSE),IF(T366="DUCT",VLOOKUP(W366,'Catalogue Aluminium'!$B$9:$G$91,4,FALSE),IF(T366="TRENCH",VLOOKUP(W366,'Catalogue Aluminium'!$B$9:$G$91,2,FALSE)))))</f>
        <v>38</v>
      </c>
      <c r="AA366" s="251">
        <f>VLOOKUP(W366,'Catalogue Aluminium'!$B$9:$G$91,5,FALSE)</f>
        <v>5.9</v>
      </c>
      <c r="AB366" s="251">
        <f>VLOOKUP(W366,'Catalogue Aluminium'!$B$9:$G$91,6,FALSE)</f>
        <v>9.4700000000000006E-2</v>
      </c>
      <c r="AC366" s="323">
        <f>21+22</f>
        <v>43</v>
      </c>
      <c r="AD366" s="323">
        <v>0</v>
      </c>
      <c r="AE366" s="294">
        <v>5</v>
      </c>
      <c r="AF366" s="294">
        <v>8</v>
      </c>
      <c r="AG366" s="294">
        <f t="shared" si="899"/>
        <v>6</v>
      </c>
      <c r="AH366" s="253">
        <f t="shared" si="900"/>
        <v>62</v>
      </c>
      <c r="AI366" s="250">
        <f>IF(T366="AIR",'Catalogue Aluminium'!$K$9,IF(T366="TRENCH",'Catalogue Aluminium'!$K$12,"NA"))</f>
        <v>0.89</v>
      </c>
      <c r="AJ366" s="248">
        <f>IF(T366="Air",(IF(U366="1C",'Catalogue Aluminium'!$L$9,'Catalogue Aluminium'!$M$9)),IF(T366="DUCT",(IF($U366="1C",'Catalogue Aluminium'!$L$10,'Catalogue Aluminium'!$M$10)),IF(T366="GROUND",(IF($U366="1C",'Catalogue Aluminium'!$L$11,'Catalogue Aluminium'!$M$11)),IF(T366="TRENCH",(IF($U366="1C",'Catalogue Aluminium'!$L$12,'Catalogue Aluminium'!$M$12))))))</f>
        <v>0.66</v>
      </c>
      <c r="AK366" s="250" t="str">
        <f>IF(T366="Air",'Catalogue Aluminium'!$N$9,IF(T366="GROUND",'Catalogue Aluminium'!$N$10,IF(T366="DUCT",'Catalogue Aluminium'!$N$11,IF(T366="TRENCH",'Catalogue Aluminium'!$N$12,"NA"))))</f>
        <v>NA</v>
      </c>
      <c r="AL366" s="250" t="str">
        <f>IF(T366="Air",(IF(U366="1C",'Catalogue Aluminium'!$O$9,'Catalogue Aluminium'!$P$9)),IF(T366="DUCT",(IF($U366="1C",'Catalogue Aluminium'!$O$10,'Catalogue Aluminium'!$P$10)),IF(T366="GROUND",(IF($U366="1C",'Catalogue Aluminium'!$O$11,'Catalogue Aluminium'!$P$11)),IF(T366="TRENCH",(IF($U366="1C",'Catalogue Aluminium'!$O$12,'Catalogue Aluminium'!$P$12))))))</f>
        <v>NA</v>
      </c>
      <c r="AM366" s="250" t="str">
        <f>IF(T366="AIR","NA",IF(T366="TRENCH","NA",IF(T366="DUCT",IF(U366="1C",VLOOKUP(V366,'Catalogue Aluminium'!$Q$9:$S$28,2,FALSE),VLOOKUP(V366,'Catalogue Aluminium'!$Q$9:$S$28,3)),IF(T366="GROUND",IF(U366="1C",VLOOKUP(V366,'Catalogue Aluminium'!$Q$9:$S$28,2,FALSE),VLOOKUP(V366,'Catalogue Aluminium'!$Q$9:$S$28,3))))))</f>
        <v>NA</v>
      </c>
      <c r="AN366" s="257">
        <f t="shared" si="901"/>
        <v>0.58740000000000003</v>
      </c>
      <c r="AO366" s="256">
        <f t="shared" si="902"/>
        <v>22.321200000000001</v>
      </c>
      <c r="AP366" s="255">
        <f t="shared" si="903"/>
        <v>1</v>
      </c>
      <c r="AQ366" s="256" t="str">
        <f t="shared" si="904"/>
        <v>YES</v>
      </c>
      <c r="AR366" s="257">
        <f t="shared" si="905"/>
        <v>1.2140168383801317</v>
      </c>
      <c r="AS366" s="249" t="str">
        <f t="shared" si="906"/>
        <v>YES</v>
      </c>
      <c r="AT366" s="257" t="str">
        <f t="shared" si="907"/>
        <v>NA</v>
      </c>
      <c r="AU366" s="249" t="str">
        <f t="shared" si="908"/>
        <v>NA</v>
      </c>
      <c r="AV366" s="260" t="str">
        <f t="shared" si="909"/>
        <v>1R x 0.6/1kV x 4C x 4 Sqmm</v>
      </c>
      <c r="AW366" s="260" t="str">
        <f t="shared" si="910"/>
        <v>1R x 0.6/1kV x 4C x 4 Sqmm</v>
      </c>
      <c r="AX366" s="249">
        <f t="shared" si="911"/>
        <v>62</v>
      </c>
      <c r="AY366" s="261"/>
    </row>
    <row r="367" spans="1:51">
      <c r="A367" s="243">
        <f t="shared" si="891"/>
        <v>241</v>
      </c>
      <c r="B367" s="373" t="s">
        <v>640</v>
      </c>
      <c r="C367" s="243" t="str">
        <f t="shared" si="892"/>
        <v>ACDB-1</v>
      </c>
      <c r="D367" s="272" t="s">
        <v>651</v>
      </c>
      <c r="E367" s="351" t="s">
        <v>463</v>
      </c>
      <c r="F367" s="410"/>
      <c r="G367" s="243" t="s">
        <v>298</v>
      </c>
      <c r="H367" s="256">
        <v>5</v>
      </c>
      <c r="I367" s="243" t="s">
        <v>299</v>
      </c>
      <c r="J367" s="243" t="s">
        <v>300</v>
      </c>
      <c r="K367" s="255">
        <v>400</v>
      </c>
      <c r="L367" s="249">
        <v>0.84999999999999987</v>
      </c>
      <c r="M367" s="256">
        <v>0.95099999999999985</v>
      </c>
      <c r="N367" s="248">
        <f t="shared" si="893"/>
        <v>8.9281747625212677</v>
      </c>
      <c r="O367" s="248">
        <f t="shared" si="894"/>
        <v>0</v>
      </c>
      <c r="P367" s="249" t="str">
        <f t="shared" si="895"/>
        <v>0.00</v>
      </c>
      <c r="Q367" s="256">
        <v>50</v>
      </c>
      <c r="R367" s="256">
        <v>0</v>
      </c>
      <c r="S367" s="256">
        <f t="shared" si="896"/>
        <v>0</v>
      </c>
      <c r="T367" s="249" t="s">
        <v>131</v>
      </c>
      <c r="U367" s="256" t="s">
        <v>377</v>
      </c>
      <c r="V367" s="249">
        <v>4</v>
      </c>
      <c r="W367" s="249" t="str">
        <f t="shared" si="897"/>
        <v>4C X 4</v>
      </c>
      <c r="X367" s="249" t="str">
        <f t="shared" si="898"/>
        <v>4C X 4</v>
      </c>
      <c r="Y367" s="249" t="s">
        <v>314</v>
      </c>
      <c r="Z367" s="250">
        <f>IF(T367="AIR",VLOOKUP(W367,'Catalogue Aluminium'!$B$9:$G$91,2,FALSE),IF(T367="GROUND",VLOOKUP(W367,'Catalogue Aluminium'!$B$9:$G$91,3,FALSE),IF(T367="DUCT",VLOOKUP(W367,'Catalogue Aluminium'!$B$9:$G$91,4,FALSE),IF(T367="TRENCH",VLOOKUP(W367,'Catalogue Aluminium'!$B$9:$G$91,2,FALSE)))))</f>
        <v>38</v>
      </c>
      <c r="AA367" s="251">
        <f>VLOOKUP(W367,'Catalogue Aluminium'!$B$9:$G$91,5,FALSE)</f>
        <v>5.9</v>
      </c>
      <c r="AB367" s="251">
        <f>VLOOKUP(W367,'Catalogue Aluminium'!$B$9:$G$91,6,FALSE)</f>
        <v>9.4700000000000006E-2</v>
      </c>
      <c r="AC367" s="323">
        <f>21+22</f>
        <v>43</v>
      </c>
      <c r="AD367" s="323">
        <v>0</v>
      </c>
      <c r="AE367" s="294">
        <v>5</v>
      </c>
      <c r="AF367" s="294">
        <v>8</v>
      </c>
      <c r="AG367" s="294">
        <f t="shared" si="899"/>
        <v>6</v>
      </c>
      <c r="AH367" s="253">
        <f t="shared" si="900"/>
        <v>62</v>
      </c>
      <c r="AI367" s="250">
        <f>IF(T367="AIR",'Catalogue Aluminium'!$K$9,IF(T367="TRENCH",'Catalogue Aluminium'!$K$12,"NA"))</f>
        <v>0.89</v>
      </c>
      <c r="AJ367" s="248">
        <f>IF(T367="Air",(IF(U367="1C",'Catalogue Aluminium'!$L$9,'Catalogue Aluminium'!$M$9)),IF(T367="DUCT",(IF($U367="1C",'Catalogue Aluminium'!$L$10,'Catalogue Aluminium'!$M$10)),IF(T367="GROUND",(IF($U367="1C",'Catalogue Aluminium'!$L$11,'Catalogue Aluminium'!$M$11)),IF(T367="TRENCH",(IF($U367="1C",'Catalogue Aluminium'!$L$12,'Catalogue Aluminium'!$M$12))))))</f>
        <v>0.66</v>
      </c>
      <c r="AK367" s="250" t="str">
        <f>IF(T367="Air",'Catalogue Aluminium'!$N$9,IF(T367="GROUND",'Catalogue Aluminium'!$N$10,IF(T367="DUCT",'Catalogue Aluminium'!$N$11,IF(T367="TRENCH",'Catalogue Aluminium'!$N$12,"NA"))))</f>
        <v>NA</v>
      </c>
      <c r="AL367" s="250" t="str">
        <f>IF(T367="Air",(IF(U367="1C",'Catalogue Aluminium'!$O$9,'Catalogue Aluminium'!$P$9)),IF(T367="DUCT",(IF($U367="1C",'Catalogue Aluminium'!$O$10,'Catalogue Aluminium'!$P$10)),IF(T367="GROUND",(IF($U367="1C",'Catalogue Aluminium'!$O$11,'Catalogue Aluminium'!$P$11)),IF(T367="TRENCH",(IF($U367="1C",'Catalogue Aluminium'!$O$12,'Catalogue Aluminium'!$P$12))))))</f>
        <v>NA</v>
      </c>
      <c r="AM367" s="250" t="str">
        <f>IF(T367="AIR","NA",IF(T367="TRENCH","NA",IF(T367="DUCT",IF(U367="1C",VLOOKUP(V367,'Catalogue Aluminium'!$Q$9:$S$28,2,FALSE),VLOOKUP(V367,'Catalogue Aluminium'!$Q$9:$S$28,3)),IF(T367="GROUND",IF(U367="1C",VLOOKUP(V367,'Catalogue Aluminium'!$Q$9:$S$28,2,FALSE),VLOOKUP(V367,'Catalogue Aluminium'!$Q$9:$S$28,3))))))</f>
        <v>NA</v>
      </c>
      <c r="AN367" s="257">
        <f t="shared" si="901"/>
        <v>0.58740000000000003</v>
      </c>
      <c r="AO367" s="256">
        <f t="shared" si="902"/>
        <v>22.321200000000001</v>
      </c>
      <c r="AP367" s="255">
        <f t="shared" si="903"/>
        <v>1</v>
      </c>
      <c r="AQ367" s="256" t="str">
        <f t="shared" si="904"/>
        <v>YES</v>
      </c>
      <c r="AR367" s="257">
        <f t="shared" si="905"/>
        <v>1.2140168383801317</v>
      </c>
      <c r="AS367" s="249" t="str">
        <f t="shared" si="906"/>
        <v>YES</v>
      </c>
      <c r="AT367" s="257" t="str">
        <f t="shared" si="907"/>
        <v>NA</v>
      </c>
      <c r="AU367" s="249" t="str">
        <f t="shared" si="908"/>
        <v>NA</v>
      </c>
      <c r="AV367" s="260" t="str">
        <f t="shared" si="909"/>
        <v>1R x 0.6/1kV x 4C x 4 Sqmm</v>
      </c>
      <c r="AW367" s="260" t="str">
        <f t="shared" si="910"/>
        <v>1R x 0.6/1kV x 4C x 4 Sqmm</v>
      </c>
      <c r="AX367" s="249">
        <f t="shared" si="911"/>
        <v>62</v>
      </c>
      <c r="AY367" s="261"/>
    </row>
    <row r="368" spans="1:51" ht="25">
      <c r="A368" s="243">
        <f t="shared" si="891"/>
        <v>242</v>
      </c>
      <c r="B368" s="373" t="s">
        <v>625</v>
      </c>
      <c r="C368" s="243" t="str">
        <f>$C$347</f>
        <v>PDB-1</v>
      </c>
      <c r="D368" s="272" t="s">
        <v>652</v>
      </c>
      <c r="E368" s="351" t="s">
        <v>463</v>
      </c>
      <c r="F368" s="410"/>
      <c r="G368" s="246" t="s">
        <v>306</v>
      </c>
      <c r="H368" s="256">
        <v>28.231578947368426</v>
      </c>
      <c r="I368" s="243" t="s">
        <v>299</v>
      </c>
      <c r="J368" s="243" t="s">
        <v>300</v>
      </c>
      <c r="K368" s="255">
        <v>400</v>
      </c>
      <c r="L368" s="249">
        <v>0.84999999999999987</v>
      </c>
      <c r="M368" s="256">
        <v>0.95099999999999985</v>
      </c>
      <c r="N368" s="248">
        <f t="shared" si="893"/>
        <v>50.411294132804308</v>
      </c>
      <c r="O368" s="292"/>
      <c r="P368" s="293"/>
      <c r="Q368" s="293"/>
      <c r="R368" s="293"/>
      <c r="S368" s="293"/>
      <c r="T368" s="293"/>
      <c r="U368" s="293"/>
      <c r="V368" s="293"/>
      <c r="W368" s="293"/>
      <c r="X368" s="293"/>
      <c r="Y368" s="293"/>
      <c r="Z368" s="293"/>
      <c r="AA368" s="293"/>
      <c r="AB368" s="293"/>
      <c r="AC368" s="606"/>
      <c r="AD368" s="606"/>
      <c r="AE368" s="606"/>
      <c r="AF368" s="606"/>
      <c r="AG368" s="606"/>
      <c r="AH368" s="293"/>
      <c r="AI368" s="293"/>
      <c r="AJ368" s="293"/>
      <c r="AK368" s="293"/>
      <c r="AL368" s="293"/>
      <c r="AM368" s="293"/>
      <c r="AN368" s="293"/>
      <c r="AO368" s="293"/>
      <c r="AP368" s="293"/>
      <c r="AQ368" s="293"/>
      <c r="AR368" s="293"/>
      <c r="AS368" s="293"/>
      <c r="AT368" s="293"/>
      <c r="AU368" s="293"/>
      <c r="AV368" s="293"/>
      <c r="AW368" s="293"/>
      <c r="AX368" s="293"/>
      <c r="AY368" s="293"/>
    </row>
    <row r="369" spans="1:51" ht="25">
      <c r="A369" s="243">
        <f t="shared" si="891"/>
        <v>243</v>
      </c>
      <c r="B369" s="373" t="s">
        <v>625</v>
      </c>
      <c r="C369" s="243" t="str">
        <f>$C$347</f>
        <v>PDB-1</v>
      </c>
      <c r="D369" s="272" t="s">
        <v>653</v>
      </c>
      <c r="E369" s="351" t="s">
        <v>463</v>
      </c>
      <c r="F369" s="410"/>
      <c r="G369" s="246" t="s">
        <v>306</v>
      </c>
      <c r="H369" s="256">
        <v>28.231578947368426</v>
      </c>
      <c r="I369" s="243" t="s">
        <v>299</v>
      </c>
      <c r="J369" s="243" t="s">
        <v>300</v>
      </c>
      <c r="K369" s="255">
        <v>400</v>
      </c>
      <c r="L369" s="249">
        <v>0.84999999999999987</v>
      </c>
      <c r="M369" s="256">
        <v>0.95099999999999985</v>
      </c>
      <c r="N369" s="248">
        <f t="shared" si="893"/>
        <v>50.411294132804308</v>
      </c>
      <c r="O369" s="292"/>
      <c r="P369" s="293"/>
      <c r="Q369" s="293"/>
      <c r="R369" s="293"/>
      <c r="S369" s="293"/>
      <c r="T369" s="293"/>
      <c r="U369" s="293"/>
      <c r="V369" s="293"/>
      <c r="W369" s="293"/>
      <c r="X369" s="293"/>
      <c r="Y369" s="293"/>
      <c r="Z369" s="293"/>
      <c r="AA369" s="293"/>
      <c r="AB369" s="293"/>
      <c r="AC369" s="606"/>
      <c r="AD369" s="606"/>
      <c r="AE369" s="606"/>
      <c r="AF369" s="606"/>
      <c r="AG369" s="606"/>
      <c r="AH369" s="293"/>
      <c r="AI369" s="293"/>
      <c r="AJ369" s="293"/>
      <c r="AK369" s="293"/>
      <c r="AL369" s="293"/>
      <c r="AM369" s="293"/>
      <c r="AN369" s="293"/>
      <c r="AO369" s="293"/>
      <c r="AP369" s="293"/>
      <c r="AQ369" s="293"/>
      <c r="AR369" s="293"/>
      <c r="AS369" s="293"/>
      <c r="AT369" s="293"/>
      <c r="AU369" s="293"/>
      <c r="AV369" s="293"/>
      <c r="AW369" s="293"/>
      <c r="AX369" s="293"/>
      <c r="AY369" s="293"/>
    </row>
    <row r="370" spans="1:51" s="70" customFormat="1" ht="26.25" customHeight="1">
      <c r="A370" s="376"/>
      <c r="B370" s="376"/>
      <c r="C370" s="376"/>
      <c r="D370" s="242" t="s">
        <v>654</v>
      </c>
      <c r="E370" s="378"/>
      <c r="F370" s="566"/>
      <c r="G370" s="376"/>
      <c r="H370" s="379"/>
      <c r="I370" s="376"/>
      <c r="J370" s="376"/>
      <c r="K370" s="380"/>
      <c r="L370" s="381"/>
      <c r="M370" s="379"/>
      <c r="N370" s="382"/>
      <c r="O370" s="382"/>
      <c r="P370" s="381"/>
      <c r="Q370" s="379"/>
      <c r="R370" s="379"/>
      <c r="S370" s="379"/>
      <c r="T370" s="381"/>
      <c r="U370" s="379"/>
      <c r="V370" s="381"/>
      <c r="W370" s="381"/>
      <c r="X370" s="381"/>
      <c r="Y370" s="381"/>
      <c r="Z370" s="383"/>
      <c r="AA370" s="384"/>
      <c r="AB370" s="384"/>
      <c r="AC370" s="570"/>
      <c r="AD370" s="570"/>
      <c r="AE370" s="570"/>
      <c r="AF370" s="570"/>
      <c r="AG370" s="570"/>
      <c r="AH370" s="385"/>
      <c r="AI370" s="383"/>
      <c r="AJ370" s="382"/>
      <c r="AK370" s="383"/>
      <c r="AL370" s="383"/>
      <c r="AM370" s="383"/>
      <c r="AN370" s="386"/>
      <c r="AO370" s="379"/>
      <c r="AP370" s="380"/>
      <c r="AQ370" s="379"/>
      <c r="AR370" s="386"/>
      <c r="AS370" s="381"/>
      <c r="AT370" s="386"/>
      <c r="AU370" s="386"/>
      <c r="AV370" s="387"/>
      <c r="AW370" s="387"/>
      <c r="AX370" s="381"/>
      <c r="AY370" s="388"/>
    </row>
    <row r="371" spans="1:51">
      <c r="A371" s="243">
        <f>1+A369</f>
        <v>244</v>
      </c>
      <c r="B371" s="285" t="s">
        <v>655</v>
      </c>
      <c r="C371" s="243" t="s">
        <v>656</v>
      </c>
      <c r="D371" s="244" t="s">
        <v>657</v>
      </c>
      <c r="E371" s="352" t="s">
        <v>304</v>
      </c>
      <c r="F371" s="410"/>
      <c r="G371" s="243" t="s">
        <v>298</v>
      </c>
      <c r="H371" s="304">
        <v>10</v>
      </c>
      <c r="I371" s="243" t="s">
        <v>299</v>
      </c>
      <c r="J371" s="243" t="s">
        <v>300</v>
      </c>
      <c r="K371" s="255">
        <v>400</v>
      </c>
      <c r="L371" s="249">
        <v>0.84999999999999987</v>
      </c>
      <c r="M371" s="256">
        <v>0.95099999999999985</v>
      </c>
      <c r="N371" s="248">
        <f t="shared" ref="N371:N375" si="913">IF(I371="kVA",IF(J371="3Ph",(H371*1000/(1.732*M371*K371)),(H371*1000/(M371*K371))),IF(I371="kW",IF(J371="3Ph",(H371*1000/(1.732*M371*K371*L371)),(H371*1000/(M371*K371*L371)))))</f>
        <v>17.856349525042535</v>
      </c>
      <c r="O371" s="248">
        <f t="shared" ref="O371:O377" si="914">IF(G371="MOTOR",(6*N371),IF(G371="VFD",(1*N371),0))</f>
        <v>0</v>
      </c>
      <c r="P371" s="249" t="str">
        <f t="shared" ref="P371:P377" si="915">IF(G371="MOTOR",0.2,"0.00")</f>
        <v>0.00</v>
      </c>
      <c r="Q371" s="256">
        <v>25</v>
      </c>
      <c r="R371" s="256">
        <v>0</v>
      </c>
      <c r="S371" s="256">
        <f t="shared" ref="S371:S377" si="916">(Q371*1000*SQRT(R371)/143)</f>
        <v>0</v>
      </c>
      <c r="T371" s="249" t="s">
        <v>131</v>
      </c>
      <c r="U371" s="256" t="s">
        <v>390</v>
      </c>
      <c r="V371" s="249">
        <v>35</v>
      </c>
      <c r="W371" s="249" t="str">
        <f t="shared" ref="W371:W377" si="917">CONCATENATE(U371," X ",V371)</f>
        <v>3.5C X 35</v>
      </c>
      <c r="X371" s="249" t="str">
        <f t="shared" ref="X371:X377" si="918">(IF(J371="1Ph",W371,IF(J371="3Ph",(IF(G371="MOTOR",(CONCATENATE(W371,"+PE")),W371)))))</f>
        <v>3.5C X 35</v>
      </c>
      <c r="Y371" s="249" t="s">
        <v>314</v>
      </c>
      <c r="Z371" s="250">
        <f>IF(T371="AIR",VLOOKUP(W371,'Catalogue Aluminium'!$B$9:$G$91,2,FALSE),IF(T371="GROUND",VLOOKUP(W371,'Catalogue Aluminium'!$B$9:$G$91,3,FALSE),IF(T371="DUCT",VLOOKUP(W371,'Catalogue Aluminium'!$B$9:$G$91,4,FALSE),IF(T371="TRENCH",VLOOKUP(W371,'Catalogue Aluminium'!$B$9:$G$91,2,FALSE)))))</f>
        <v>117</v>
      </c>
      <c r="AA371" s="251">
        <f>VLOOKUP(W371,'Catalogue Aluminium'!$B$9:$G$91,5,FALSE)</f>
        <v>1.1100000000000001</v>
      </c>
      <c r="AB371" s="251">
        <f>VLOOKUP(W371,'Catalogue Aluminium'!$B$9:$G$91,6,FALSE)</f>
        <v>7.9399999999999998E-2</v>
      </c>
      <c r="AC371" s="285">
        <v>27</v>
      </c>
      <c r="AD371" s="413">
        <v>0</v>
      </c>
      <c r="AE371" s="294">
        <v>5</v>
      </c>
      <c r="AF371" s="294">
        <v>5</v>
      </c>
      <c r="AG371" s="294">
        <f t="shared" ref="AG371:AG382" si="919">ROUNDUP((SUM(AC371:AF371)*0.1),0)</f>
        <v>4</v>
      </c>
      <c r="AH371" s="253">
        <f t="shared" ref="AH371:AH382" si="920">SUM(AC371:AG371)</f>
        <v>41</v>
      </c>
      <c r="AI371" s="250">
        <f>IF(T371="AIR",'Catalogue Aluminium'!$K$9,IF(T371="TRENCH",'Catalogue Aluminium'!$K$12,"NA"))</f>
        <v>0.89</v>
      </c>
      <c r="AJ371" s="248">
        <f>IF(T371="Air",(IF(U371="1C",'Catalogue Aluminium'!$L$9,'Catalogue Aluminium'!$M$9)),IF(T371="DUCT",(IF($U371="1C",'Catalogue Aluminium'!$L$10,'Catalogue Aluminium'!$M$10)),IF(T371="GROUND",(IF($U371="1C",'Catalogue Aluminium'!$L$11,'Catalogue Aluminium'!$M$11)),IF(T371="TRENCH",(IF($U371="1C",'Catalogue Aluminium'!$L$12,'Catalogue Aluminium'!$M$12))))))</f>
        <v>0.66</v>
      </c>
      <c r="AK371" s="250" t="str">
        <f>IF(T371="Air",'Catalogue Aluminium'!$N$9,IF(T371="GROUND",'Catalogue Aluminium'!$N$10,IF(T371="DUCT",'Catalogue Aluminium'!$N$11,IF(T371="TRENCH",'Catalogue Aluminium'!$N$12,"NA"))))</f>
        <v>NA</v>
      </c>
      <c r="AL371" s="250" t="str">
        <f>IF(T371="Air",(IF(U371="1C",'Catalogue Aluminium'!$O$9,'Catalogue Aluminium'!$P$9)),IF(T371="DUCT",(IF($U371="1C",'Catalogue Aluminium'!$O$10,'Catalogue Aluminium'!$P$10)),IF(T371="GROUND",(IF($U371="1C",'Catalogue Aluminium'!$O$11,'Catalogue Aluminium'!$P$11)),IF(T371="TRENCH",(IF($U371="1C",'Catalogue Aluminium'!$O$12,'Catalogue Aluminium'!$P$12))))))</f>
        <v>NA</v>
      </c>
      <c r="AM371" s="250" t="str">
        <f>IF(T371="AIR","NA",IF(T371="TRENCH","NA",IF(T371="DUCT",IF(U371="1C",VLOOKUP(V371,'Catalogue Aluminium'!$Q$9:$S$28,2,FALSE),VLOOKUP(V371,'Catalogue Aluminium'!$Q$9:$S$28,3)),IF(T371="GROUND",IF(U371="1C",VLOOKUP(V371,'Catalogue Aluminium'!$Q$9:$S$28,2,FALSE),VLOOKUP(V371,'Catalogue Aluminium'!$Q$9:$S$28,3))))))</f>
        <v>NA</v>
      </c>
      <c r="AN371" s="257">
        <f t="shared" ref="AN371:AN377" si="921">IF(T371="AIR",AI371*AJ371,IF(T371="TRENCH",AI371*AJ371,IF(T371="DUCT",AJ371*AK371*AL371*AM371,IF(T371="GROUND",AJ371*AK371*AL371*AM371))))</f>
        <v>0.58740000000000003</v>
      </c>
      <c r="AO371" s="256">
        <f t="shared" ref="AO371:AO377" si="922">Z371*AN371</f>
        <v>68.725800000000007</v>
      </c>
      <c r="AP371" s="255">
        <f t="shared" ref="AP371:AP382" si="923">CEILING(((N371)/AO371),1)</f>
        <v>1</v>
      </c>
      <c r="AQ371" s="256" t="str">
        <f t="shared" ref="AQ371:AQ377" si="924">IF(AO371*AP371&gt;=N371,"YES","NO")</f>
        <v>YES</v>
      </c>
      <c r="AR371" s="257">
        <f t="shared" ref="AR371:AR377" si="925">SQRT(3)*AH371*N371*((AA371*L371)+(AB371*SIN(ACOS(L371))))*100/(AP371*K371*1000)</f>
        <v>0.31236139538015079</v>
      </c>
      <c r="AS371" s="249" t="str">
        <f>IF(G371="INCOMER",(IF(AR371&lt;=2,"YES","NO")),IF(G371="POWER",(IF(AR371&lt;=2.5,"YES","NO")),IF(G371="MOTOR",(IF(AR371&lt;=3,"YES","NO")))))</f>
        <v>YES</v>
      </c>
      <c r="AT371" s="257" t="str">
        <f t="shared" ref="AT371:AT382" si="926">IF(G371="MOTOR",(SQRT(3)*AH371*O371*((AA371*P371)+(AB371*SIN(ACOS(P371))))*100/(AP371*K371*1000)),"NA")</f>
        <v>NA</v>
      </c>
      <c r="AU371" s="249" t="str">
        <f t="shared" ref="AU371:AU382" si="927">IF(G371="MOTOR",IF(AT371&lt;=15,"YES","NO"),"NA")</f>
        <v>NA</v>
      </c>
      <c r="AV371" s="260" t="str">
        <f t="shared" ref="AV371:AV382" si="928">IF(U371="1C",CONCATENATE(AP371,"R x ",Y371,"kV x ",U371," x ",V371," Sqmm/Phase"),CONCATENATE(AP371,"R x ",0.6,"/1kV x ",U371," x ",V371," Sqmm"))</f>
        <v>1R x 0.6/1kV x 3.5C x 35 Sqmm</v>
      </c>
      <c r="AW371" s="260" t="str">
        <f t="shared" ref="AW371:AW382" si="929">IF(U371="1C",CONCATENATE(AP371,"R x ",Y371,"kV x ",U371," x ",V371," Sqmm/Phase"),CONCATENATE(AP371,"R x ",0.6,"/1kV x ",U371," x ",V371,(IF(G371="MOTOR","+PE",""))," Sqmm"))</f>
        <v>1R x 0.6/1kV x 3.5C x 35 Sqmm</v>
      </c>
      <c r="AX371" s="249">
        <f t="shared" ref="AX371:AX382" si="930">(IF(K371=400,(IF(U371="1C",(4*AH371*AP371),(AH371*AP371))),IF(K371=230,(AH371*AP371))))</f>
        <v>41</v>
      </c>
      <c r="AY371" s="261"/>
    </row>
    <row r="372" spans="1:51">
      <c r="A372" s="243">
        <f t="shared" ref="A372:A384" si="931">1+A371</f>
        <v>245</v>
      </c>
      <c r="B372" s="285" t="s">
        <v>658</v>
      </c>
      <c r="C372" s="243" t="s">
        <v>656</v>
      </c>
      <c r="D372" s="244" t="s">
        <v>659</v>
      </c>
      <c r="E372" s="321" t="s">
        <v>410</v>
      </c>
      <c r="F372" s="410"/>
      <c r="G372" s="243" t="s">
        <v>298</v>
      </c>
      <c r="H372" s="304">
        <v>5</v>
      </c>
      <c r="I372" s="243" t="s">
        <v>299</v>
      </c>
      <c r="J372" s="243" t="s">
        <v>300</v>
      </c>
      <c r="K372" s="255">
        <v>400</v>
      </c>
      <c r="L372" s="249">
        <v>0.84999999999999987</v>
      </c>
      <c r="M372" s="256">
        <v>0.95099999999999985</v>
      </c>
      <c r="N372" s="248">
        <f t="shared" si="913"/>
        <v>8.9281747625212677</v>
      </c>
      <c r="O372" s="248">
        <f t="shared" si="914"/>
        <v>0</v>
      </c>
      <c r="P372" s="249" t="str">
        <f t="shared" si="915"/>
        <v>0.00</v>
      </c>
      <c r="Q372" s="256">
        <v>25</v>
      </c>
      <c r="R372" s="256">
        <v>0</v>
      </c>
      <c r="S372" s="256">
        <f t="shared" si="916"/>
        <v>0</v>
      </c>
      <c r="T372" s="249" t="s">
        <v>301</v>
      </c>
      <c r="U372" s="248" t="s">
        <v>390</v>
      </c>
      <c r="V372" s="249">
        <v>35</v>
      </c>
      <c r="W372" s="249" t="str">
        <f t="shared" si="917"/>
        <v>3.5C X 35</v>
      </c>
      <c r="X372" s="249" t="str">
        <f t="shared" si="918"/>
        <v>3.5C X 35</v>
      </c>
      <c r="Y372" s="249" t="s">
        <v>314</v>
      </c>
      <c r="Z372" s="250">
        <f>IF(T372="AIR",VLOOKUP(W372,'Catalogue Aluminium'!$B$9:$G$91,2,FALSE),IF(T372="GROUND",VLOOKUP(W372,'Catalogue Aluminium'!$B$9:$G$91,3,FALSE),IF(T372="DUCT",VLOOKUP(W372,'Catalogue Aluminium'!$B$9:$G$91,4,FALSE),IF(T372="TRENCH",VLOOKUP(W372,'Catalogue Aluminium'!$B$9:$G$91,2,FALSE)))))</f>
        <v>117</v>
      </c>
      <c r="AA372" s="251">
        <f>VLOOKUP(W372,'Catalogue Aluminium'!$B$9:$G$91,5,FALSE)</f>
        <v>1.1100000000000001</v>
      </c>
      <c r="AB372" s="251">
        <f>VLOOKUP(W372,'Catalogue Aluminium'!$B$9:$G$91,6,FALSE)</f>
        <v>7.9399999999999998E-2</v>
      </c>
      <c r="AC372" s="285">
        <v>20</v>
      </c>
      <c r="AD372" s="413">
        <v>27</v>
      </c>
      <c r="AE372" s="294">
        <v>10</v>
      </c>
      <c r="AF372" s="294">
        <v>5</v>
      </c>
      <c r="AG372" s="294">
        <f t="shared" si="919"/>
        <v>7</v>
      </c>
      <c r="AH372" s="253">
        <f t="shared" si="920"/>
        <v>69</v>
      </c>
      <c r="AI372" s="250">
        <f>IF(T372="AIR",'Catalogue Aluminium'!$K$9,IF(T372="TRENCH",'Catalogue Aluminium'!$K$12,"NA"))</f>
        <v>0.89</v>
      </c>
      <c r="AJ372" s="248">
        <f>IF(T372="Air",(IF(U372="1C",'Catalogue Aluminium'!$L$9,'Catalogue Aluminium'!$M$9)),IF(T372="DUCT",(IF($U372="1C",'Catalogue Aluminium'!$L$10,'Catalogue Aluminium'!$M$10)),IF(T372="GROUND",(IF($U372="1C",'Catalogue Aluminium'!$L$11,'Catalogue Aluminium'!$M$11)),IF(T372="TRENCH",(IF($U372="1C",'Catalogue Aluminium'!$L$12,'Catalogue Aluminium'!$M$12))))))</f>
        <v>0.66</v>
      </c>
      <c r="AK372" s="250" t="str">
        <f>IF(T372="Air",'Catalogue Aluminium'!$N$9,IF(T372="GROUND",'Catalogue Aluminium'!$N$10,IF(T372="DUCT",'Catalogue Aluminium'!$N$11,IF(T372="TRENCH",'Catalogue Aluminium'!$N$12,"NA"))))</f>
        <v>NA</v>
      </c>
      <c r="AL372" s="250" t="str">
        <f>IF(T372="Air",(IF(U372="1C",'Catalogue Aluminium'!$O$9,'Catalogue Aluminium'!$P$9)),IF(T372="DUCT",(IF($U372="1C",'Catalogue Aluminium'!$O$10,'Catalogue Aluminium'!$P$10)),IF(T372="GROUND",(IF($U372="1C",'Catalogue Aluminium'!$O$11,'Catalogue Aluminium'!$P$11)),IF(T372="TRENCH",(IF($U372="1C",'Catalogue Aluminium'!$O$12,'Catalogue Aluminium'!$P$12))))))</f>
        <v>NA</v>
      </c>
      <c r="AM372" s="250" t="str">
        <f>IF(T372="AIR","NA",IF(T372="TRENCH","NA",IF(T372="DUCT",IF(U372="1C",VLOOKUP(V372,'Catalogue Aluminium'!$Q$9:$S$28,2,FALSE),VLOOKUP(V372,'Catalogue Aluminium'!$Q$9:$S$28,3)),IF(T372="GROUND",IF(U372="1C",VLOOKUP(V372,'Catalogue Aluminium'!$Q$9:$S$28,2,FALSE),VLOOKUP(V372,'Catalogue Aluminium'!$Q$9:$S$28,3))))))</f>
        <v>NA</v>
      </c>
      <c r="AN372" s="257">
        <f t="shared" si="921"/>
        <v>0.58740000000000003</v>
      </c>
      <c r="AO372" s="256">
        <f t="shared" si="922"/>
        <v>68.725800000000007</v>
      </c>
      <c r="AP372" s="255">
        <f t="shared" si="923"/>
        <v>1</v>
      </c>
      <c r="AQ372" s="256" t="str">
        <f t="shared" si="924"/>
        <v>YES</v>
      </c>
      <c r="AR372" s="257">
        <f t="shared" si="925"/>
        <v>0.26284068635646834</v>
      </c>
      <c r="AS372" s="249" t="str">
        <f t="shared" ref="AS372:AS382" si="932">IF(G372="INCOMER",(IF(AR372&lt;=2,"YES","NO")),IF(G372="POWER",(IF(AR372&lt;=2.5,"YES","NO")),IF(G372="MOTOR",(IF(AR372&lt;=3,"YES","NO")))))</f>
        <v>YES</v>
      </c>
      <c r="AT372" s="257" t="str">
        <f t="shared" si="926"/>
        <v>NA</v>
      </c>
      <c r="AU372" s="249" t="str">
        <f t="shared" si="927"/>
        <v>NA</v>
      </c>
      <c r="AV372" s="260" t="str">
        <f t="shared" si="928"/>
        <v>1R x 0.6/1kV x 3.5C x 35 Sqmm</v>
      </c>
      <c r="AW372" s="260" t="str">
        <f t="shared" si="929"/>
        <v>1R x 0.6/1kV x 3.5C x 35 Sqmm</v>
      </c>
      <c r="AX372" s="249">
        <f t="shared" si="930"/>
        <v>69</v>
      </c>
      <c r="AY372" s="261"/>
    </row>
    <row r="373" spans="1:51">
      <c r="A373" s="243">
        <f t="shared" si="931"/>
        <v>246</v>
      </c>
      <c r="B373" s="285" t="s">
        <v>660</v>
      </c>
      <c r="C373" s="243" t="s">
        <v>656</v>
      </c>
      <c r="D373" s="244" t="s">
        <v>661</v>
      </c>
      <c r="E373" s="352" t="s">
        <v>662</v>
      </c>
      <c r="F373" s="545"/>
      <c r="G373" s="243" t="s">
        <v>298</v>
      </c>
      <c r="H373" s="304">
        <v>5</v>
      </c>
      <c r="I373" s="243" t="s">
        <v>299</v>
      </c>
      <c r="J373" s="243" t="s">
        <v>300</v>
      </c>
      <c r="K373" s="255">
        <v>400</v>
      </c>
      <c r="L373" s="249">
        <v>0.84999999999999987</v>
      </c>
      <c r="M373" s="256">
        <v>0.95099999999999985</v>
      </c>
      <c r="N373" s="248">
        <f t="shared" si="913"/>
        <v>8.9281747625212677</v>
      </c>
      <c r="O373" s="248">
        <f t="shared" si="914"/>
        <v>0</v>
      </c>
      <c r="P373" s="249" t="str">
        <f t="shared" si="915"/>
        <v>0.00</v>
      </c>
      <c r="Q373" s="256">
        <v>25</v>
      </c>
      <c r="R373" s="256">
        <v>0</v>
      </c>
      <c r="S373" s="256">
        <f t="shared" si="916"/>
        <v>0</v>
      </c>
      <c r="T373" s="249" t="s">
        <v>131</v>
      </c>
      <c r="U373" s="248" t="s">
        <v>390</v>
      </c>
      <c r="V373" s="249">
        <v>35</v>
      </c>
      <c r="W373" s="249" t="str">
        <f t="shared" si="917"/>
        <v>3.5C X 35</v>
      </c>
      <c r="X373" s="249" t="str">
        <f t="shared" si="918"/>
        <v>3.5C X 35</v>
      </c>
      <c r="Y373" s="249" t="s">
        <v>314</v>
      </c>
      <c r="Z373" s="250">
        <f>IF(T373="AIR",VLOOKUP(W373,'Catalogue Aluminium'!$B$9:$G$91,2,FALSE),IF(T373="GROUND",VLOOKUP(W373,'Catalogue Aluminium'!$B$9:$G$91,3,FALSE),IF(T373="DUCT",VLOOKUP(W373,'Catalogue Aluminium'!$B$9:$G$91,4,FALSE),IF(T373="TRENCH",VLOOKUP(W373,'Catalogue Aluminium'!$B$9:$G$91,2,FALSE)))))</f>
        <v>117</v>
      </c>
      <c r="AA373" s="251">
        <f>VLOOKUP(W373,'Catalogue Aluminium'!$B$9:$G$91,5,FALSE)</f>
        <v>1.1100000000000001</v>
      </c>
      <c r="AB373" s="251">
        <f>VLOOKUP(W373,'Catalogue Aluminium'!$B$9:$G$91,6,FALSE)</f>
        <v>7.9399999999999998E-2</v>
      </c>
      <c r="AC373" s="294">
        <v>25</v>
      </c>
      <c r="AD373" s="294">
        <v>95</v>
      </c>
      <c r="AE373" s="294">
        <f>11+8+3</f>
        <v>22</v>
      </c>
      <c r="AF373" s="294">
        <f t="shared" ref="AF373:AF374" si="933">5+5</f>
        <v>10</v>
      </c>
      <c r="AG373" s="294">
        <f t="shared" si="919"/>
        <v>16</v>
      </c>
      <c r="AH373" s="253">
        <f t="shared" si="920"/>
        <v>168</v>
      </c>
      <c r="AI373" s="250">
        <f>IF(T373="AIR",'Catalogue Aluminium'!$K$9,IF(T373="TRENCH",'Catalogue Aluminium'!$K$12,"NA"))</f>
        <v>0.89</v>
      </c>
      <c r="AJ373" s="248">
        <f>IF(T373="Air",(IF(U373="1C",'Catalogue Aluminium'!$L$9,'Catalogue Aluminium'!$M$9)),IF(T373="DUCT",(IF($U373="1C",'Catalogue Aluminium'!$L$10,'Catalogue Aluminium'!$M$10)),IF(T373="GROUND",(IF($U373="1C",'Catalogue Aluminium'!$L$11,'Catalogue Aluminium'!$M$11)),IF(T373="TRENCH",(IF($U373="1C",'Catalogue Aluminium'!$L$12,'Catalogue Aluminium'!$M$12))))))</f>
        <v>0.66</v>
      </c>
      <c r="AK373" s="250" t="str">
        <f>IF(T373="Air",'Catalogue Aluminium'!$N$9,IF(T373="GROUND",'Catalogue Aluminium'!$N$10,IF(T373="DUCT",'Catalogue Aluminium'!$N$11,IF(T373="TRENCH",'Catalogue Aluminium'!$N$12,"NA"))))</f>
        <v>NA</v>
      </c>
      <c r="AL373" s="250" t="str">
        <f>IF(T373="Air",(IF(U373="1C",'Catalogue Aluminium'!$O$9,'Catalogue Aluminium'!$P$9)),IF(T373="DUCT",(IF($U373="1C",'Catalogue Aluminium'!$O$10,'Catalogue Aluminium'!$P$10)),IF(T373="GROUND",(IF($U373="1C",'Catalogue Aluminium'!$O$11,'Catalogue Aluminium'!$P$11)),IF(T373="TRENCH",(IF($U373="1C",'Catalogue Aluminium'!$O$12,'Catalogue Aluminium'!$P$12))))))</f>
        <v>NA</v>
      </c>
      <c r="AM373" s="250" t="str">
        <f>IF(T373="AIR","NA",IF(T373="TRENCH","NA",IF(T373="DUCT",IF(U373="1C",VLOOKUP(V373,'Catalogue Aluminium'!$Q$9:$S$28,2,FALSE),VLOOKUP(V373,'Catalogue Aluminium'!$Q$9:$S$28,3)),IF(T373="GROUND",IF(U373="1C",VLOOKUP(V373,'Catalogue Aluminium'!$Q$9:$S$28,2,FALSE),VLOOKUP(V373,'Catalogue Aluminium'!$Q$9:$S$28,3))))))</f>
        <v>NA</v>
      </c>
      <c r="AN373" s="257">
        <f t="shared" si="921"/>
        <v>0.58740000000000003</v>
      </c>
      <c r="AO373" s="256">
        <f t="shared" si="922"/>
        <v>68.725800000000007</v>
      </c>
      <c r="AP373" s="255">
        <f t="shared" si="923"/>
        <v>1</v>
      </c>
      <c r="AQ373" s="256" t="str">
        <f t="shared" si="924"/>
        <v>YES</v>
      </c>
      <c r="AR373" s="257">
        <f t="shared" si="925"/>
        <v>0.63995993199835777</v>
      </c>
      <c r="AS373" s="249" t="str">
        <f t="shared" si="932"/>
        <v>YES</v>
      </c>
      <c r="AT373" s="257" t="str">
        <f t="shared" si="926"/>
        <v>NA</v>
      </c>
      <c r="AU373" s="249" t="str">
        <f t="shared" si="927"/>
        <v>NA</v>
      </c>
      <c r="AV373" s="260" t="str">
        <f t="shared" si="928"/>
        <v>1R x 0.6/1kV x 3.5C x 35 Sqmm</v>
      </c>
      <c r="AW373" s="260" t="str">
        <f t="shared" si="929"/>
        <v>1R x 0.6/1kV x 3.5C x 35 Sqmm</v>
      </c>
      <c r="AX373" s="249">
        <f t="shared" si="930"/>
        <v>168</v>
      </c>
      <c r="AY373" s="261"/>
    </row>
    <row r="374" spans="1:51">
      <c r="A374" s="243">
        <f t="shared" si="931"/>
        <v>247</v>
      </c>
      <c r="B374" s="285" t="s">
        <v>663</v>
      </c>
      <c r="C374" s="243" t="s">
        <v>656</v>
      </c>
      <c r="D374" s="244" t="s">
        <v>664</v>
      </c>
      <c r="E374" s="321" t="s">
        <v>310</v>
      </c>
      <c r="F374" s="545"/>
      <c r="G374" s="243" t="s">
        <v>298</v>
      </c>
      <c r="H374" s="304">
        <v>15</v>
      </c>
      <c r="I374" s="243" t="s">
        <v>299</v>
      </c>
      <c r="J374" s="243" t="s">
        <v>300</v>
      </c>
      <c r="K374" s="255">
        <v>400</v>
      </c>
      <c r="L374" s="249">
        <v>0.84999999999999987</v>
      </c>
      <c r="M374" s="256">
        <v>0.95099999999999985</v>
      </c>
      <c r="N374" s="248">
        <f t="shared" si="913"/>
        <v>26.784524287563805</v>
      </c>
      <c r="O374" s="248">
        <f t="shared" si="914"/>
        <v>0</v>
      </c>
      <c r="P374" s="249" t="str">
        <f t="shared" si="915"/>
        <v>0.00</v>
      </c>
      <c r="Q374" s="256">
        <v>25</v>
      </c>
      <c r="R374" s="256">
        <v>0</v>
      </c>
      <c r="S374" s="256">
        <f t="shared" si="916"/>
        <v>0</v>
      </c>
      <c r="T374" s="249" t="s">
        <v>131</v>
      </c>
      <c r="U374" s="248" t="s">
        <v>390</v>
      </c>
      <c r="V374" s="249">
        <v>70</v>
      </c>
      <c r="W374" s="249" t="str">
        <f t="shared" si="917"/>
        <v>3.5C X 70</v>
      </c>
      <c r="X374" s="249" t="str">
        <f t="shared" si="918"/>
        <v>3.5C X 70</v>
      </c>
      <c r="Y374" s="249" t="s">
        <v>314</v>
      </c>
      <c r="Z374" s="250">
        <f>IF(T374="AIR",VLOOKUP(W374,'Catalogue Aluminium'!$B$9:$G$91,2,FALSE),IF(T374="GROUND",VLOOKUP(W374,'Catalogue Aluminium'!$B$9:$G$91,3,FALSE),IF(T374="DUCT",VLOOKUP(W374,'Catalogue Aluminium'!$B$9:$G$91,4,FALSE),IF(T374="TRENCH",VLOOKUP(W374,'Catalogue Aluminium'!$B$9:$G$91,2,FALSE)))))</f>
        <v>177</v>
      </c>
      <c r="AA374" s="251">
        <f>VLOOKUP(W374,'Catalogue Aluminium'!$B$9:$G$91,5,FALSE)</f>
        <v>0.56699999999999995</v>
      </c>
      <c r="AB374" s="251">
        <f>VLOOKUP(W374,'Catalogue Aluminium'!$B$9:$G$91,6,FALSE)</f>
        <v>7.5200000000000003E-2</v>
      </c>
      <c r="AC374" s="294">
        <v>25</v>
      </c>
      <c r="AD374" s="294">
        <f>205</f>
        <v>205</v>
      </c>
      <c r="AE374" s="294">
        <f t="shared" ref="AE374" si="934">11+8+8+11</f>
        <v>38</v>
      </c>
      <c r="AF374" s="294">
        <f t="shared" si="933"/>
        <v>10</v>
      </c>
      <c r="AG374" s="294">
        <f t="shared" si="919"/>
        <v>28</v>
      </c>
      <c r="AH374" s="253">
        <f t="shared" si="920"/>
        <v>306</v>
      </c>
      <c r="AI374" s="250">
        <f>IF(T374="AIR",'Catalogue Aluminium'!$K$9,IF(T374="TRENCH",'Catalogue Aluminium'!$K$12,"NA"))</f>
        <v>0.89</v>
      </c>
      <c r="AJ374" s="248">
        <f>IF(T374="Air",(IF(U374="1C",'Catalogue Aluminium'!$L$9,'Catalogue Aluminium'!$M$9)),IF(T374="DUCT",(IF($U374="1C",'Catalogue Aluminium'!$L$10,'Catalogue Aluminium'!$M$10)),IF(T374="GROUND",(IF($U374="1C",'Catalogue Aluminium'!$L$11,'Catalogue Aluminium'!$M$11)),IF(T374="TRENCH",(IF($U374="1C",'Catalogue Aluminium'!$L$12,'Catalogue Aluminium'!$M$12))))))</f>
        <v>0.66</v>
      </c>
      <c r="AK374" s="250" t="str">
        <f>IF(T374="Air",'Catalogue Aluminium'!$N$9,IF(T374="GROUND",'Catalogue Aluminium'!$N$10,IF(T374="DUCT",'Catalogue Aluminium'!$N$11,IF(T374="TRENCH",'Catalogue Aluminium'!$N$12,"NA"))))</f>
        <v>NA</v>
      </c>
      <c r="AL374" s="250" t="str">
        <f>IF(T374="Air",(IF(U374="1C",'Catalogue Aluminium'!$O$9,'Catalogue Aluminium'!$P$9)),IF(T374="DUCT",(IF($U374="1C",'Catalogue Aluminium'!$O$10,'Catalogue Aluminium'!$P$10)),IF(T374="GROUND",(IF($U374="1C",'Catalogue Aluminium'!$O$11,'Catalogue Aluminium'!$P$11)),IF(T374="TRENCH",(IF($U374="1C",'Catalogue Aluminium'!$O$12,'Catalogue Aluminium'!$P$12))))))</f>
        <v>NA</v>
      </c>
      <c r="AM374" s="250" t="str">
        <f>IF(T374="AIR","NA",IF(T374="TRENCH","NA",IF(T374="DUCT",IF(U374="1C",VLOOKUP(V374,'Catalogue Aluminium'!$Q$9:$S$28,2,FALSE),VLOOKUP(V374,'Catalogue Aluminium'!$Q$9:$S$28,3)),IF(T374="GROUND",IF(U374="1C",VLOOKUP(V374,'Catalogue Aluminium'!$Q$9:$S$28,2,FALSE),VLOOKUP(V374,'Catalogue Aluminium'!$Q$9:$S$28,3))))))</f>
        <v>NA</v>
      </c>
      <c r="AN374" s="257">
        <f t="shared" si="921"/>
        <v>0.58740000000000003</v>
      </c>
      <c r="AO374" s="256">
        <f t="shared" si="922"/>
        <v>103.96980000000001</v>
      </c>
      <c r="AP374" s="255">
        <f t="shared" si="923"/>
        <v>1</v>
      </c>
      <c r="AQ374" s="256" t="str">
        <f t="shared" si="924"/>
        <v>YES</v>
      </c>
      <c r="AR374" s="257">
        <f t="shared" si="925"/>
        <v>1.8510308446240784</v>
      </c>
      <c r="AS374" s="249" t="str">
        <f t="shared" si="932"/>
        <v>YES</v>
      </c>
      <c r="AT374" s="257" t="str">
        <f t="shared" si="926"/>
        <v>NA</v>
      </c>
      <c r="AU374" s="249" t="str">
        <f t="shared" si="927"/>
        <v>NA</v>
      </c>
      <c r="AV374" s="260" t="str">
        <f t="shared" si="928"/>
        <v>1R x 0.6/1kV x 3.5C x 70 Sqmm</v>
      </c>
      <c r="AW374" s="260" t="str">
        <f t="shared" si="929"/>
        <v>1R x 0.6/1kV x 3.5C x 70 Sqmm</v>
      </c>
      <c r="AX374" s="249">
        <f t="shared" si="930"/>
        <v>306</v>
      </c>
      <c r="AY374" s="261"/>
    </row>
    <row r="375" spans="1:51" ht="25">
      <c r="A375" s="243">
        <f t="shared" si="931"/>
        <v>248</v>
      </c>
      <c r="B375" s="285" t="s">
        <v>665</v>
      </c>
      <c r="C375" s="243" t="s">
        <v>656</v>
      </c>
      <c r="D375" s="244" t="s">
        <v>666</v>
      </c>
      <c r="E375" s="352" t="s">
        <v>667</v>
      </c>
      <c r="F375" s="545"/>
      <c r="G375" s="243" t="s">
        <v>298</v>
      </c>
      <c r="H375" s="304">
        <v>5</v>
      </c>
      <c r="I375" s="243" t="s">
        <v>299</v>
      </c>
      <c r="J375" s="243" t="s">
        <v>300</v>
      </c>
      <c r="K375" s="255">
        <v>400</v>
      </c>
      <c r="L375" s="249">
        <v>0.84999999999999987</v>
      </c>
      <c r="M375" s="256">
        <v>0.95099999999999985</v>
      </c>
      <c r="N375" s="248">
        <f t="shared" si="913"/>
        <v>8.9281747625212677</v>
      </c>
      <c r="O375" s="248">
        <f t="shared" si="914"/>
        <v>0</v>
      </c>
      <c r="P375" s="249" t="str">
        <f t="shared" si="915"/>
        <v>0.00</v>
      </c>
      <c r="Q375" s="256">
        <v>25</v>
      </c>
      <c r="R375" s="256">
        <v>0</v>
      </c>
      <c r="S375" s="256">
        <f t="shared" si="916"/>
        <v>0</v>
      </c>
      <c r="T375" s="249" t="s">
        <v>131</v>
      </c>
      <c r="U375" s="248" t="s">
        <v>390</v>
      </c>
      <c r="V375" s="249">
        <v>35</v>
      </c>
      <c r="W375" s="249" t="str">
        <f t="shared" si="917"/>
        <v>3.5C X 35</v>
      </c>
      <c r="X375" s="249" t="str">
        <f t="shared" si="918"/>
        <v>3.5C X 35</v>
      </c>
      <c r="Y375" s="249" t="s">
        <v>314</v>
      </c>
      <c r="Z375" s="250">
        <f>IF(T375="AIR",VLOOKUP(W375,'Catalogue Aluminium'!$B$9:$G$91,2,FALSE),IF(T375="GROUND",VLOOKUP(W375,'Catalogue Aluminium'!$B$9:$G$91,3,FALSE),IF(T375="DUCT",VLOOKUP(W375,'Catalogue Aluminium'!$B$9:$G$91,4,FALSE),IF(T375="TRENCH",VLOOKUP(W375,'Catalogue Aluminium'!$B$9:$G$91,2,FALSE)))))</f>
        <v>117</v>
      </c>
      <c r="AA375" s="251">
        <f>VLOOKUP(W375,'Catalogue Aluminium'!$B$9:$G$91,5,FALSE)</f>
        <v>1.1100000000000001</v>
      </c>
      <c r="AB375" s="251">
        <f>VLOOKUP(W375,'Catalogue Aluminium'!$B$9:$G$91,6,FALSE)</f>
        <v>7.9399999999999998E-2</v>
      </c>
      <c r="AC375" s="294">
        <v>25</v>
      </c>
      <c r="AD375" s="413">
        <f>68+22+53+33</f>
        <v>176</v>
      </c>
      <c r="AE375" s="294">
        <f>8+7</f>
        <v>15</v>
      </c>
      <c r="AF375" s="294">
        <v>5</v>
      </c>
      <c r="AG375" s="294">
        <f t="shared" si="919"/>
        <v>23</v>
      </c>
      <c r="AH375" s="253">
        <f t="shared" si="920"/>
        <v>244</v>
      </c>
      <c r="AI375" s="250">
        <f>IF(T375="AIR",'Catalogue Aluminium'!$K$9,IF(T375="TRENCH",'Catalogue Aluminium'!$K$12,"NA"))</f>
        <v>0.89</v>
      </c>
      <c r="AJ375" s="248">
        <f>IF(T375="Air",(IF(U375="1C",'Catalogue Aluminium'!$L$9,'Catalogue Aluminium'!$M$9)),IF(T375="DUCT",(IF($U375="1C",'Catalogue Aluminium'!$L$10,'Catalogue Aluminium'!$M$10)),IF(T375="GROUND",(IF($U375="1C",'Catalogue Aluminium'!$L$11,'Catalogue Aluminium'!$M$11)),IF(T375="TRENCH",(IF($U375="1C",'Catalogue Aluminium'!$L$12,'Catalogue Aluminium'!$M$12))))))</f>
        <v>0.66</v>
      </c>
      <c r="AK375" s="250" t="str">
        <f>IF(T375="Air",'Catalogue Aluminium'!$N$9,IF(T375="GROUND",'Catalogue Aluminium'!$N$10,IF(T375="DUCT",'Catalogue Aluminium'!$N$11,IF(T375="TRENCH",'Catalogue Aluminium'!$N$12,"NA"))))</f>
        <v>NA</v>
      </c>
      <c r="AL375" s="250" t="str">
        <f>IF(T375="Air",(IF(U375="1C",'Catalogue Aluminium'!$O$9,'Catalogue Aluminium'!$P$9)),IF(T375="DUCT",(IF($U375="1C",'Catalogue Aluminium'!$O$10,'Catalogue Aluminium'!$P$10)),IF(T375="GROUND",(IF($U375="1C",'Catalogue Aluminium'!$O$11,'Catalogue Aluminium'!$P$11)),IF(T375="TRENCH",(IF($U375="1C",'Catalogue Aluminium'!$O$12,'Catalogue Aluminium'!$P$12))))))</f>
        <v>NA</v>
      </c>
      <c r="AM375" s="250" t="str">
        <f>IF(T375="AIR","NA",IF(T375="TRENCH","NA",IF(T375="DUCT",IF(U375="1C",VLOOKUP(V375,'Catalogue Aluminium'!$Q$9:$S$28,2,FALSE),VLOOKUP(V375,'Catalogue Aluminium'!$Q$9:$S$28,3)),IF(T375="GROUND",IF(U375="1C",VLOOKUP(V375,'Catalogue Aluminium'!$Q$9:$S$28,2,FALSE),VLOOKUP(V375,'Catalogue Aluminium'!$Q$9:$S$28,3))))))</f>
        <v>NA</v>
      </c>
      <c r="AN375" s="257">
        <f t="shared" si="921"/>
        <v>0.58740000000000003</v>
      </c>
      <c r="AO375" s="256">
        <f t="shared" si="922"/>
        <v>68.725800000000007</v>
      </c>
      <c r="AP375" s="255">
        <f t="shared" si="923"/>
        <v>1</v>
      </c>
      <c r="AQ375" s="256" t="str">
        <f t="shared" si="924"/>
        <v>YES</v>
      </c>
      <c r="AR375" s="257">
        <f t="shared" si="925"/>
        <v>0.92946561552142437</v>
      </c>
      <c r="AS375" s="249" t="str">
        <f t="shared" si="932"/>
        <v>YES</v>
      </c>
      <c r="AT375" s="257" t="str">
        <f t="shared" si="926"/>
        <v>NA</v>
      </c>
      <c r="AU375" s="249" t="str">
        <f t="shared" si="927"/>
        <v>NA</v>
      </c>
      <c r="AV375" s="257" t="str">
        <f t="shared" si="928"/>
        <v>1R x 0.6/1kV x 3.5C x 35 Sqmm</v>
      </c>
      <c r="AW375" s="257" t="str">
        <f t="shared" si="929"/>
        <v>1R x 0.6/1kV x 3.5C x 35 Sqmm</v>
      </c>
      <c r="AX375" s="249">
        <f t="shared" si="930"/>
        <v>244</v>
      </c>
      <c r="AY375" s="249"/>
    </row>
    <row r="376" spans="1:51">
      <c r="A376" s="243">
        <f t="shared" si="931"/>
        <v>249</v>
      </c>
      <c r="B376" s="285" t="s">
        <v>668</v>
      </c>
      <c r="C376" s="243" t="s">
        <v>656</v>
      </c>
      <c r="D376" s="244" t="s">
        <v>669</v>
      </c>
      <c r="E376" s="352" t="s">
        <v>670</v>
      </c>
      <c r="F376" s="545"/>
      <c r="G376" s="243" t="s">
        <v>298</v>
      </c>
      <c r="H376" s="304">
        <v>10</v>
      </c>
      <c r="I376" s="243" t="s">
        <v>299</v>
      </c>
      <c r="J376" s="243" t="s">
        <v>300</v>
      </c>
      <c r="K376" s="255">
        <v>400</v>
      </c>
      <c r="L376" s="249">
        <v>0.84999999999999987</v>
      </c>
      <c r="M376" s="256">
        <v>0.95099999999999985</v>
      </c>
      <c r="N376" s="248">
        <f>IF(I376="kVA",IF(J376="3Ph",(H376*1000/(1.732*M376*K376)),(H376*1000/(M376*K376))),IF(I376="kW",IF(J376="3Ph",(H376*1000/(1.732*M376*K376*L376)),(H376*1000/(M376*K376*L376)))))</f>
        <v>17.856349525042535</v>
      </c>
      <c r="O376" s="248">
        <f t="shared" si="914"/>
        <v>0</v>
      </c>
      <c r="P376" s="249" t="str">
        <f t="shared" si="915"/>
        <v>0.00</v>
      </c>
      <c r="Q376" s="256">
        <v>25</v>
      </c>
      <c r="R376" s="256">
        <v>0</v>
      </c>
      <c r="S376" s="256">
        <f t="shared" si="916"/>
        <v>0</v>
      </c>
      <c r="T376" s="249" t="s">
        <v>131</v>
      </c>
      <c r="U376" s="248" t="s">
        <v>390</v>
      </c>
      <c r="V376" s="249">
        <v>70</v>
      </c>
      <c r="W376" s="249" t="str">
        <f t="shared" si="917"/>
        <v>3.5C X 70</v>
      </c>
      <c r="X376" s="249" t="str">
        <f t="shared" si="918"/>
        <v>3.5C X 70</v>
      </c>
      <c r="Y376" s="249" t="s">
        <v>314</v>
      </c>
      <c r="Z376" s="250">
        <f>IF(T376="AIR",VLOOKUP(W376,'Catalogue Aluminium'!$B$9:$G$91,2,FALSE),IF(T376="GROUND",VLOOKUP(W376,'Catalogue Aluminium'!$B$9:$G$91,3,FALSE),IF(T376="DUCT",VLOOKUP(W376,'Catalogue Aluminium'!$B$9:$G$91,4,FALSE),IF(T376="TRENCH",VLOOKUP(W376,'Catalogue Aluminium'!$B$9:$G$91,2,FALSE)))))</f>
        <v>177</v>
      </c>
      <c r="AA376" s="251">
        <f>VLOOKUP(W376,'Catalogue Aluminium'!$B$9:$G$91,5,FALSE)</f>
        <v>0.56699999999999995</v>
      </c>
      <c r="AB376" s="251">
        <f>VLOOKUP(W376,'Catalogue Aluminium'!$B$9:$G$91,6,FALSE)</f>
        <v>7.5200000000000003E-2</v>
      </c>
      <c r="AC376" s="294">
        <v>25</v>
      </c>
      <c r="AD376" s="413">
        <v>370</v>
      </c>
      <c r="AE376" s="294">
        <f>8+7+8+8+5+7</f>
        <v>43</v>
      </c>
      <c r="AF376" s="294">
        <v>5</v>
      </c>
      <c r="AG376" s="294">
        <f t="shared" si="919"/>
        <v>45</v>
      </c>
      <c r="AH376" s="253">
        <f t="shared" si="920"/>
        <v>488</v>
      </c>
      <c r="AI376" s="250">
        <f>IF(T376="AIR",'Catalogue Aluminium'!$K$9,IF(T376="TRENCH",'Catalogue Aluminium'!$K$12,"NA"))</f>
        <v>0.89</v>
      </c>
      <c r="AJ376" s="248">
        <f>IF(T376="Air",(IF(U376="1C",'Catalogue Aluminium'!$L$9,'Catalogue Aluminium'!$M$9)),IF(T376="DUCT",(IF($U376="1C",'Catalogue Aluminium'!$L$10,'Catalogue Aluminium'!$M$10)),IF(T376="GROUND",(IF($U376="1C",'Catalogue Aluminium'!$L$11,'Catalogue Aluminium'!$M$11)),IF(T376="TRENCH",(IF($U376="1C",'Catalogue Aluminium'!$L$12,'Catalogue Aluminium'!$M$12))))))</f>
        <v>0.66</v>
      </c>
      <c r="AK376" s="250" t="str">
        <f>IF(T376="Air",'Catalogue Aluminium'!$N$9,IF(T376="GROUND",'Catalogue Aluminium'!$N$10,IF(T376="DUCT",'Catalogue Aluminium'!$N$11,IF(T376="TRENCH",'Catalogue Aluminium'!$N$12,"NA"))))</f>
        <v>NA</v>
      </c>
      <c r="AL376" s="250" t="str">
        <f>IF(T376="Air",(IF(U376="1C",'Catalogue Aluminium'!$O$9,'Catalogue Aluminium'!$P$9)),IF(T376="DUCT",(IF($U376="1C",'Catalogue Aluminium'!$O$10,'Catalogue Aluminium'!$P$10)),IF(T376="GROUND",(IF($U376="1C",'Catalogue Aluminium'!$O$11,'Catalogue Aluminium'!$P$11)),IF(T376="TRENCH",(IF($U376="1C",'Catalogue Aluminium'!$O$12,'Catalogue Aluminium'!$P$12))))))</f>
        <v>NA</v>
      </c>
      <c r="AM376" s="250" t="str">
        <f>IF(T376="AIR","NA",IF(T376="TRENCH","NA",IF(T376="DUCT",IF(U376="1C",VLOOKUP(V376,'Catalogue Aluminium'!$Q$9:$S$28,2,FALSE),VLOOKUP(V376,'Catalogue Aluminium'!$Q$9:$S$28,3)),IF(T376="GROUND",IF(U376="1C",VLOOKUP(V376,'Catalogue Aluminium'!$Q$9:$S$28,2,FALSE),VLOOKUP(V376,'Catalogue Aluminium'!$Q$9:$S$28,3))))))</f>
        <v>NA</v>
      </c>
      <c r="AN376" s="257">
        <f t="shared" si="921"/>
        <v>0.58740000000000003</v>
      </c>
      <c r="AO376" s="256">
        <f t="shared" si="922"/>
        <v>103.96980000000001</v>
      </c>
      <c r="AP376" s="255">
        <f t="shared" si="923"/>
        <v>1</v>
      </c>
      <c r="AQ376" s="256" t="str">
        <f t="shared" si="924"/>
        <v>YES</v>
      </c>
      <c r="AR376" s="257">
        <f t="shared" si="925"/>
        <v>1.9679805058312638</v>
      </c>
      <c r="AS376" s="249" t="str">
        <f t="shared" si="932"/>
        <v>YES</v>
      </c>
      <c r="AT376" s="257" t="str">
        <f t="shared" si="926"/>
        <v>NA</v>
      </c>
      <c r="AU376" s="249" t="str">
        <f t="shared" si="927"/>
        <v>NA</v>
      </c>
      <c r="AV376" s="260" t="str">
        <f t="shared" si="928"/>
        <v>1R x 0.6/1kV x 3.5C x 70 Sqmm</v>
      </c>
      <c r="AW376" s="260" t="str">
        <f t="shared" si="929"/>
        <v>1R x 0.6/1kV x 3.5C x 70 Sqmm</v>
      </c>
      <c r="AX376" s="249">
        <f t="shared" si="930"/>
        <v>488</v>
      </c>
      <c r="AY376" s="261"/>
    </row>
    <row r="377" spans="1:51">
      <c r="A377" s="243">
        <f t="shared" si="931"/>
        <v>250</v>
      </c>
      <c r="B377" s="285" t="s">
        <v>671</v>
      </c>
      <c r="C377" s="243" t="s">
        <v>656</v>
      </c>
      <c r="D377" s="244" t="s">
        <v>672</v>
      </c>
      <c r="E377" s="352" t="s">
        <v>304</v>
      </c>
      <c r="F377" s="410"/>
      <c r="G377" s="243" t="s">
        <v>298</v>
      </c>
      <c r="H377" s="304">
        <v>15</v>
      </c>
      <c r="I377" s="243" t="s">
        <v>299</v>
      </c>
      <c r="J377" s="243" t="s">
        <v>300</v>
      </c>
      <c r="K377" s="255">
        <v>400</v>
      </c>
      <c r="L377" s="249">
        <v>0.84999999999999987</v>
      </c>
      <c r="M377" s="256">
        <v>0.95099999999999985</v>
      </c>
      <c r="N377" s="248">
        <f t="shared" ref="N377:N382" si="935">IF(I377="kVA",IF(J377="3Ph",(H377*1000/(1.732*M377*K377)),(H377*1000/(M377*K377))),IF(I377="kW",IF(J377="3Ph",(H377*1000/(1.732*M377*K377*L377)),(H377*1000/(M377*K377*L377)))))</f>
        <v>26.784524287563805</v>
      </c>
      <c r="O377" s="248">
        <f t="shared" si="914"/>
        <v>0</v>
      </c>
      <c r="P377" s="249" t="str">
        <f t="shared" si="915"/>
        <v>0.00</v>
      </c>
      <c r="Q377" s="256">
        <v>25</v>
      </c>
      <c r="R377" s="256">
        <v>0</v>
      </c>
      <c r="S377" s="256">
        <f t="shared" si="916"/>
        <v>0</v>
      </c>
      <c r="T377" s="249" t="s">
        <v>131</v>
      </c>
      <c r="U377" s="248" t="s">
        <v>390</v>
      </c>
      <c r="V377" s="249">
        <v>35</v>
      </c>
      <c r="W377" s="249" t="str">
        <f t="shared" si="917"/>
        <v>3.5C X 35</v>
      </c>
      <c r="X377" s="249" t="str">
        <f t="shared" si="918"/>
        <v>3.5C X 35</v>
      </c>
      <c r="Y377" s="249" t="s">
        <v>314</v>
      </c>
      <c r="Z377" s="250">
        <f>IF(T377="AIR",VLOOKUP(W377,'Catalogue Aluminium'!$B$9:$G$91,2,FALSE),IF(T377="GROUND",VLOOKUP(W377,'Catalogue Aluminium'!$B$9:$G$91,3,FALSE),IF(T377="DUCT",VLOOKUP(W377,'Catalogue Aluminium'!$B$9:$G$91,4,FALSE),IF(T377="TRENCH",VLOOKUP(W377,'Catalogue Aluminium'!$B$9:$G$91,2,FALSE)))))</f>
        <v>117</v>
      </c>
      <c r="AA377" s="251">
        <f>VLOOKUP(W377,'Catalogue Aluminium'!$B$9:$G$91,5,FALSE)</f>
        <v>1.1100000000000001</v>
      </c>
      <c r="AB377" s="251">
        <f>VLOOKUP(W377,'Catalogue Aluminium'!$B$9:$G$91,6,FALSE)</f>
        <v>7.9399999999999998E-2</v>
      </c>
      <c r="AC377" s="294">
        <v>29</v>
      </c>
      <c r="AD377" s="413">
        <v>0</v>
      </c>
      <c r="AE377" s="294">
        <v>10</v>
      </c>
      <c r="AF377" s="294">
        <v>5</v>
      </c>
      <c r="AG377" s="294">
        <f t="shared" si="919"/>
        <v>5</v>
      </c>
      <c r="AH377" s="253">
        <f t="shared" si="920"/>
        <v>49</v>
      </c>
      <c r="AI377" s="250">
        <f>IF(T377="AIR",'Catalogue Aluminium'!$K$9,IF(T377="TRENCH",'Catalogue Aluminium'!$K$12,"NA"))</f>
        <v>0.89</v>
      </c>
      <c r="AJ377" s="248">
        <f>IF(T377="Air",(IF(U377="1C",'Catalogue Aluminium'!$L$9,'Catalogue Aluminium'!$M$9)),IF(T377="DUCT",(IF($U377="1C",'Catalogue Aluminium'!$L$10,'Catalogue Aluminium'!$M$10)),IF(T377="GROUND",(IF($U377="1C",'Catalogue Aluminium'!$L$11,'Catalogue Aluminium'!$M$11)),IF(T377="TRENCH",(IF($U377="1C",'Catalogue Aluminium'!$L$12,'Catalogue Aluminium'!$M$12))))))</f>
        <v>0.66</v>
      </c>
      <c r="AK377" s="250" t="str">
        <f>IF(T377="Air",'Catalogue Aluminium'!$N$9,IF(T377="GROUND",'Catalogue Aluminium'!$N$10,IF(T377="DUCT",'Catalogue Aluminium'!$N$11,IF(T377="TRENCH",'Catalogue Aluminium'!$N$12,"NA"))))</f>
        <v>NA</v>
      </c>
      <c r="AL377" s="250" t="str">
        <f>IF(T377="Air",(IF(U377="1C",'Catalogue Aluminium'!$O$9,'Catalogue Aluminium'!$P$9)),IF(T377="DUCT",(IF($U377="1C",'Catalogue Aluminium'!$O$10,'Catalogue Aluminium'!$P$10)),IF(T377="GROUND",(IF($U377="1C",'Catalogue Aluminium'!$O$11,'Catalogue Aluminium'!$P$11)),IF(T377="TRENCH",(IF($U377="1C",'Catalogue Aluminium'!$O$12,'Catalogue Aluminium'!$P$12))))))</f>
        <v>NA</v>
      </c>
      <c r="AM377" s="250" t="str">
        <f>IF(T377="AIR","NA",IF(T377="TRENCH","NA",IF(T377="DUCT",IF(U377="1C",VLOOKUP(V377,'Catalogue Aluminium'!$Q$9:$S$28,2,FALSE),VLOOKUP(V377,'Catalogue Aluminium'!$Q$9:$S$28,3)),IF(T377="GROUND",IF(U377="1C",VLOOKUP(V377,'Catalogue Aluminium'!$Q$9:$S$28,2,FALSE),VLOOKUP(V377,'Catalogue Aluminium'!$Q$9:$S$28,3))))))</f>
        <v>NA</v>
      </c>
      <c r="AN377" s="257">
        <f t="shared" si="921"/>
        <v>0.58740000000000003</v>
      </c>
      <c r="AO377" s="256">
        <f t="shared" si="922"/>
        <v>68.725800000000007</v>
      </c>
      <c r="AP377" s="255">
        <f t="shared" si="923"/>
        <v>1</v>
      </c>
      <c r="AQ377" s="256" t="str">
        <f t="shared" si="924"/>
        <v>YES</v>
      </c>
      <c r="AR377" s="257">
        <f t="shared" si="925"/>
        <v>0.55996494049856282</v>
      </c>
      <c r="AS377" s="249" t="str">
        <f t="shared" si="932"/>
        <v>YES</v>
      </c>
      <c r="AT377" s="257" t="str">
        <f t="shared" si="926"/>
        <v>NA</v>
      </c>
      <c r="AU377" s="249" t="str">
        <f t="shared" si="927"/>
        <v>NA</v>
      </c>
      <c r="AV377" s="260" t="str">
        <f t="shared" si="928"/>
        <v>1R x 0.6/1kV x 3.5C x 35 Sqmm</v>
      </c>
      <c r="AW377" s="260" t="str">
        <f t="shared" si="929"/>
        <v>1R x 0.6/1kV x 3.5C x 35 Sqmm</v>
      </c>
      <c r="AX377" s="249">
        <f t="shared" si="930"/>
        <v>49</v>
      </c>
      <c r="AY377" s="261"/>
    </row>
    <row r="378" spans="1:51">
      <c r="A378" s="243">
        <f t="shared" si="931"/>
        <v>251</v>
      </c>
      <c r="B378" s="285" t="s">
        <v>673</v>
      </c>
      <c r="C378" s="243" t="s">
        <v>656</v>
      </c>
      <c r="D378" s="244" t="s">
        <v>674</v>
      </c>
      <c r="E378" s="352" t="s">
        <v>675</v>
      </c>
      <c r="F378" s="545"/>
      <c r="G378" s="243" t="s">
        <v>298</v>
      </c>
      <c r="H378" s="304">
        <v>3.2</v>
      </c>
      <c r="I378" s="243" t="s">
        <v>299</v>
      </c>
      <c r="J378" s="243" t="s">
        <v>300</v>
      </c>
      <c r="K378" s="255">
        <v>400</v>
      </c>
      <c r="L378" s="249">
        <v>0.84999999999999987</v>
      </c>
      <c r="M378" s="256">
        <v>0.95099999999999985</v>
      </c>
      <c r="N378" s="248">
        <f t="shared" si="935"/>
        <v>5.7140318480136116</v>
      </c>
      <c r="O378" s="248">
        <f t="shared" ref="O378:O382" si="936">IF(G378="MOTOR",(6*N378),IF(G378="VFD",(1*N378),0))</f>
        <v>0</v>
      </c>
      <c r="P378" s="249" t="str">
        <f t="shared" ref="P378:P382" si="937">IF(G378="MOTOR",0.2,"0.00")</f>
        <v>0.00</v>
      </c>
      <c r="Q378" s="256">
        <v>25</v>
      </c>
      <c r="R378" s="256">
        <v>0</v>
      </c>
      <c r="S378" s="256">
        <f t="shared" ref="S378:S382" si="938">(Q378*1000*SQRT(R378)/143)</f>
        <v>0</v>
      </c>
      <c r="T378" s="249" t="s">
        <v>131</v>
      </c>
      <c r="U378" s="256" t="s">
        <v>390</v>
      </c>
      <c r="V378" s="249">
        <v>35</v>
      </c>
      <c r="W378" s="249" t="str">
        <f t="shared" ref="W378:W382" si="939">CONCATENATE(U378," X ",V378)</f>
        <v>3.5C X 35</v>
      </c>
      <c r="X378" s="249" t="str">
        <f t="shared" ref="X378:X382" si="940">(IF(J378="1Ph",W378,IF(J378="3Ph",(IF(G378="MOTOR",(CONCATENATE(W378,"+PE")),W378)))))</f>
        <v>3.5C X 35</v>
      </c>
      <c r="Y378" s="249" t="s">
        <v>314</v>
      </c>
      <c r="Z378" s="250">
        <f>IF(T378="AIR",VLOOKUP(W378,'Catalogue Aluminium'!$B$9:$G$91,2,FALSE),IF(T378="GROUND",VLOOKUP(W378,'Catalogue Aluminium'!$B$9:$G$91,3,FALSE),IF(T378="DUCT",VLOOKUP(W378,'Catalogue Aluminium'!$B$9:$G$91,4,FALSE),IF(T378="TRENCH",VLOOKUP(W378,'Catalogue Aluminium'!$B$9:$G$91,2,FALSE)))))</f>
        <v>117</v>
      </c>
      <c r="AA378" s="251">
        <f>VLOOKUP(W378,'Catalogue Aluminium'!$B$9:$G$91,5,FALSE)</f>
        <v>1.1100000000000001</v>
      </c>
      <c r="AB378" s="251">
        <f>VLOOKUP(W378,'Catalogue Aluminium'!$B$9:$G$91,6,FALSE)</f>
        <v>7.9399999999999998E-2</v>
      </c>
      <c r="AC378" s="285">
        <v>48</v>
      </c>
      <c r="AD378" s="413">
        <f>42+22+53+70+98+120</f>
        <v>405</v>
      </c>
      <c r="AE378" s="294">
        <v>10</v>
      </c>
      <c r="AF378" s="294">
        <v>5</v>
      </c>
      <c r="AG378" s="294">
        <f>ROUNDUP((SUM(AC378:AF378)*0.1),0)</f>
        <v>47</v>
      </c>
      <c r="AH378" s="253">
        <f t="shared" si="920"/>
        <v>515</v>
      </c>
      <c r="AI378" s="250">
        <f>IF(T378="AIR",'Catalogue Aluminium'!$K$9,IF(T378="TRENCH",'Catalogue Aluminium'!$K$12,"NA"))</f>
        <v>0.89</v>
      </c>
      <c r="AJ378" s="248">
        <f>IF(T378="Air",(IF(U378="1C",'Catalogue Aluminium'!$L$9,'Catalogue Aluminium'!$M$9)),IF(T378="DUCT",(IF($U378="1C",'Catalogue Aluminium'!$L$10,'Catalogue Aluminium'!$M$10)),IF(T378="GROUND",(IF($U378="1C",'Catalogue Aluminium'!$L$11,'Catalogue Aluminium'!$M$11)),IF(T378="TRENCH",(IF($U378="1C",'Catalogue Aluminium'!$L$12,'Catalogue Aluminium'!$M$12))))))</f>
        <v>0.66</v>
      </c>
      <c r="AK378" s="250" t="str">
        <f>IF(T378="Air",'Catalogue Aluminium'!$N$9,IF(T378="GROUND",'Catalogue Aluminium'!$N$10,IF(T378="DUCT",'Catalogue Aluminium'!$N$11,IF(T378="TRENCH",'Catalogue Aluminium'!$N$12,"NA"))))</f>
        <v>NA</v>
      </c>
      <c r="AL378" s="250" t="str">
        <f>IF(T378="Air",(IF(U378="1C",'Catalogue Aluminium'!$O$9,'Catalogue Aluminium'!$P$9)),IF(T378="DUCT",(IF($U378="1C",'Catalogue Aluminium'!$O$10,'Catalogue Aluminium'!$P$10)),IF(T378="GROUND",(IF($U378="1C",'Catalogue Aluminium'!$O$11,'Catalogue Aluminium'!$P$11)),IF(T378="TRENCH",(IF($U378="1C",'Catalogue Aluminium'!$O$12,'Catalogue Aluminium'!$P$12))))))</f>
        <v>NA</v>
      </c>
      <c r="AM378" s="250" t="str">
        <f>IF(T378="AIR","NA",IF(T378="TRENCH","NA",IF(T378="DUCT",IF(U378="1C",VLOOKUP(V378,'Catalogue Aluminium'!$Q$9:$S$28,2,FALSE),VLOOKUP(V378,'Catalogue Aluminium'!$Q$9:$S$28,3)),IF(T378="GROUND",IF(U378="1C",VLOOKUP(V378,'Catalogue Aluminium'!$Q$9:$S$28,2,FALSE),VLOOKUP(V378,'Catalogue Aluminium'!$Q$9:$S$28,3))))))</f>
        <v>NA</v>
      </c>
      <c r="AN378" s="257">
        <f t="shared" ref="AN378:AN382" si="941">IF(T378="AIR",AI378*AJ378,IF(T378="TRENCH",AI378*AJ378,IF(T378="DUCT",AJ378*AK378*AL378*AM378,IF(T378="GROUND",AJ378*AK378*AL378*AM378))))</f>
        <v>0.58740000000000003</v>
      </c>
      <c r="AO378" s="256">
        <f t="shared" ref="AO378:AO382" si="942">Z378*AN378</f>
        <v>68.725800000000007</v>
      </c>
      <c r="AP378" s="255">
        <f t="shared" si="923"/>
        <v>1</v>
      </c>
      <c r="AQ378" s="256" t="str">
        <f t="shared" ref="AQ378:AQ382" si="943">IF(AO378*AP378&gt;=N378,"YES","NO")</f>
        <v>YES</v>
      </c>
      <c r="AR378" s="257">
        <f t="shared" ref="AR378:AR382" si="944">SQRT(3)*AH378*N378*((AA378*L378)+(AB378*SIN(ACOS(L378))))*100/(AP378*K378*1000)</f>
        <v>1.2555404380158257</v>
      </c>
      <c r="AS378" s="249" t="str">
        <f t="shared" si="932"/>
        <v>YES</v>
      </c>
      <c r="AT378" s="257" t="str">
        <f t="shared" si="926"/>
        <v>NA</v>
      </c>
      <c r="AU378" s="249" t="str">
        <f t="shared" si="927"/>
        <v>NA</v>
      </c>
      <c r="AV378" s="257" t="str">
        <f t="shared" si="928"/>
        <v>1R x 0.6/1kV x 3.5C x 35 Sqmm</v>
      </c>
      <c r="AW378" s="257" t="str">
        <f t="shared" si="929"/>
        <v>1R x 0.6/1kV x 3.5C x 35 Sqmm</v>
      </c>
      <c r="AX378" s="249">
        <f t="shared" si="930"/>
        <v>515</v>
      </c>
      <c r="AY378" s="249"/>
    </row>
    <row r="379" spans="1:51">
      <c r="A379" s="243">
        <f t="shared" si="931"/>
        <v>252</v>
      </c>
      <c r="B379" s="285" t="s">
        <v>676</v>
      </c>
      <c r="C379" s="243" t="s">
        <v>656</v>
      </c>
      <c r="D379" s="244" t="s">
        <v>677</v>
      </c>
      <c r="E379" s="352" t="s">
        <v>675</v>
      </c>
      <c r="F379" s="545"/>
      <c r="G379" s="243" t="s">
        <v>298</v>
      </c>
      <c r="H379" s="304">
        <v>3.2</v>
      </c>
      <c r="I379" s="243" t="s">
        <v>299</v>
      </c>
      <c r="J379" s="243" t="s">
        <v>300</v>
      </c>
      <c r="K379" s="255">
        <v>400</v>
      </c>
      <c r="L379" s="249">
        <v>0.84999999999999987</v>
      </c>
      <c r="M379" s="256">
        <v>0.95099999999999985</v>
      </c>
      <c r="N379" s="248">
        <f t="shared" si="935"/>
        <v>5.7140318480136116</v>
      </c>
      <c r="O379" s="248">
        <f t="shared" si="936"/>
        <v>0</v>
      </c>
      <c r="P379" s="249" t="str">
        <f t="shared" si="937"/>
        <v>0.00</v>
      </c>
      <c r="Q379" s="256">
        <v>25</v>
      </c>
      <c r="R379" s="256">
        <v>0</v>
      </c>
      <c r="S379" s="256">
        <f t="shared" si="938"/>
        <v>0</v>
      </c>
      <c r="T379" s="249" t="s">
        <v>131</v>
      </c>
      <c r="U379" s="256" t="s">
        <v>390</v>
      </c>
      <c r="V379" s="249">
        <v>35</v>
      </c>
      <c r="W379" s="249" t="str">
        <f t="shared" si="939"/>
        <v>3.5C X 35</v>
      </c>
      <c r="X379" s="249" t="str">
        <f t="shared" si="940"/>
        <v>3.5C X 35</v>
      </c>
      <c r="Y379" s="249" t="s">
        <v>314</v>
      </c>
      <c r="Z379" s="250">
        <f>IF(T379="AIR",VLOOKUP(W379,'Catalogue Aluminium'!$B$9:$G$91,2,FALSE),IF(T379="GROUND",VLOOKUP(W379,'Catalogue Aluminium'!$B$9:$G$91,3,FALSE),IF(T379="DUCT",VLOOKUP(W379,'Catalogue Aluminium'!$B$9:$G$91,4,FALSE),IF(T379="TRENCH",VLOOKUP(W379,'Catalogue Aluminium'!$B$9:$G$91,2,FALSE)))))</f>
        <v>117</v>
      </c>
      <c r="AA379" s="251">
        <f>VLOOKUP(W379,'Catalogue Aluminium'!$B$9:$G$91,5,FALSE)</f>
        <v>1.1100000000000001</v>
      </c>
      <c r="AB379" s="251">
        <f>VLOOKUP(W379,'Catalogue Aluminium'!$B$9:$G$91,6,FALSE)</f>
        <v>7.9399999999999998E-2</v>
      </c>
      <c r="AC379" s="285">
        <v>48</v>
      </c>
      <c r="AD379" s="413">
        <f>42+22+53+70+98+240</f>
        <v>525</v>
      </c>
      <c r="AE379" s="294">
        <v>10</v>
      </c>
      <c r="AF379" s="294">
        <v>5</v>
      </c>
      <c r="AG379" s="294">
        <f t="shared" si="919"/>
        <v>59</v>
      </c>
      <c r="AH379" s="253">
        <f t="shared" si="920"/>
        <v>647</v>
      </c>
      <c r="AI379" s="250">
        <f>IF(T379="AIR",'Catalogue Aluminium'!$K$9,IF(T379="TRENCH",'Catalogue Aluminium'!$K$12,"NA"))</f>
        <v>0.89</v>
      </c>
      <c r="AJ379" s="248">
        <f>IF(T379="Air",(IF(U379="1C",'Catalogue Aluminium'!$L$9,'Catalogue Aluminium'!$M$9)),IF(T379="DUCT",(IF($U379="1C",'Catalogue Aluminium'!$L$10,'Catalogue Aluminium'!$M$10)),IF(T379="GROUND",(IF($U379="1C",'Catalogue Aluminium'!$L$11,'Catalogue Aluminium'!$M$11)),IF(T379="TRENCH",(IF($U379="1C",'Catalogue Aluminium'!$L$12,'Catalogue Aluminium'!$M$12))))))</f>
        <v>0.66</v>
      </c>
      <c r="AK379" s="250" t="str">
        <f>IF(T379="Air",'Catalogue Aluminium'!$N$9,IF(T379="GROUND",'Catalogue Aluminium'!$N$10,IF(T379="DUCT",'Catalogue Aluminium'!$N$11,IF(T379="TRENCH",'Catalogue Aluminium'!$N$12,"NA"))))</f>
        <v>NA</v>
      </c>
      <c r="AL379" s="250" t="str">
        <f>IF(T379="Air",(IF(U379="1C",'Catalogue Aluminium'!$O$9,'Catalogue Aluminium'!$P$9)),IF(T379="DUCT",(IF($U379="1C",'Catalogue Aluminium'!$O$10,'Catalogue Aluminium'!$P$10)),IF(T379="GROUND",(IF($U379="1C",'Catalogue Aluminium'!$O$11,'Catalogue Aluminium'!$P$11)),IF(T379="TRENCH",(IF($U379="1C",'Catalogue Aluminium'!$O$12,'Catalogue Aluminium'!$P$12))))))</f>
        <v>NA</v>
      </c>
      <c r="AM379" s="250" t="str">
        <f>IF(T379="AIR","NA",IF(T379="TRENCH","NA",IF(T379="DUCT",IF(U379="1C",VLOOKUP(V379,'Catalogue Aluminium'!$Q$9:$S$28,2,FALSE),VLOOKUP(V379,'Catalogue Aluminium'!$Q$9:$S$28,3)),IF(T379="GROUND",IF(U379="1C",VLOOKUP(V379,'Catalogue Aluminium'!$Q$9:$S$28,2,FALSE),VLOOKUP(V379,'Catalogue Aluminium'!$Q$9:$S$28,3))))))</f>
        <v>NA</v>
      </c>
      <c r="AN379" s="257">
        <f t="shared" si="941"/>
        <v>0.58740000000000003</v>
      </c>
      <c r="AO379" s="256">
        <f t="shared" si="942"/>
        <v>68.725800000000007</v>
      </c>
      <c r="AP379" s="255">
        <f t="shared" si="923"/>
        <v>1</v>
      </c>
      <c r="AQ379" s="256" t="str">
        <f t="shared" si="943"/>
        <v>YES</v>
      </c>
      <c r="AR379" s="257">
        <f t="shared" si="944"/>
        <v>1.5773488609635711</v>
      </c>
      <c r="AS379" s="249" t="str">
        <f t="shared" si="932"/>
        <v>YES</v>
      </c>
      <c r="AT379" s="257" t="str">
        <f t="shared" si="926"/>
        <v>NA</v>
      </c>
      <c r="AU379" s="249" t="str">
        <f t="shared" si="927"/>
        <v>NA</v>
      </c>
      <c r="AV379" s="257" t="str">
        <f t="shared" si="928"/>
        <v>1R x 0.6/1kV x 3.5C x 35 Sqmm</v>
      </c>
      <c r="AW379" s="257" t="str">
        <f t="shared" si="929"/>
        <v>1R x 0.6/1kV x 3.5C x 35 Sqmm</v>
      </c>
      <c r="AX379" s="249">
        <f t="shared" si="930"/>
        <v>647</v>
      </c>
      <c r="AY379" s="249"/>
    </row>
    <row r="380" spans="1:51">
      <c r="A380" s="243">
        <f t="shared" si="931"/>
        <v>253</v>
      </c>
      <c r="B380" s="285" t="s">
        <v>678</v>
      </c>
      <c r="C380" s="243" t="s">
        <v>656</v>
      </c>
      <c r="D380" s="244" t="s">
        <v>679</v>
      </c>
      <c r="E380" s="352" t="s">
        <v>675</v>
      </c>
      <c r="F380" s="545"/>
      <c r="G380" s="243" t="s">
        <v>298</v>
      </c>
      <c r="H380" s="304">
        <v>3.2</v>
      </c>
      <c r="I380" s="243" t="s">
        <v>299</v>
      </c>
      <c r="J380" s="243" t="s">
        <v>300</v>
      </c>
      <c r="K380" s="255">
        <v>400</v>
      </c>
      <c r="L380" s="249">
        <v>0.84999999999999987</v>
      </c>
      <c r="M380" s="256">
        <v>0.95099999999999985</v>
      </c>
      <c r="N380" s="248">
        <f t="shared" si="935"/>
        <v>5.7140318480136116</v>
      </c>
      <c r="O380" s="248">
        <f t="shared" si="936"/>
        <v>0</v>
      </c>
      <c r="P380" s="249" t="str">
        <f t="shared" si="937"/>
        <v>0.00</v>
      </c>
      <c r="Q380" s="256">
        <v>25</v>
      </c>
      <c r="R380" s="256">
        <v>0</v>
      </c>
      <c r="S380" s="256">
        <f t="shared" si="938"/>
        <v>0</v>
      </c>
      <c r="T380" s="249" t="s">
        <v>131</v>
      </c>
      <c r="U380" s="256" t="s">
        <v>390</v>
      </c>
      <c r="V380" s="249">
        <v>35</v>
      </c>
      <c r="W380" s="249" t="str">
        <f t="shared" si="939"/>
        <v>3.5C X 35</v>
      </c>
      <c r="X380" s="249" t="str">
        <f t="shared" si="940"/>
        <v>3.5C X 35</v>
      </c>
      <c r="Y380" s="249" t="s">
        <v>314</v>
      </c>
      <c r="Z380" s="250">
        <f>IF(T380="AIR",VLOOKUP(W380,'Catalogue Aluminium'!$B$9:$G$91,2,FALSE),IF(T380="GROUND",VLOOKUP(W380,'Catalogue Aluminium'!$B$9:$G$91,3,FALSE),IF(T380="DUCT",VLOOKUP(W380,'Catalogue Aluminium'!$B$9:$G$91,4,FALSE),IF(T380="TRENCH",VLOOKUP(W380,'Catalogue Aluminium'!$B$9:$G$91,2,FALSE)))))</f>
        <v>117</v>
      </c>
      <c r="AA380" s="251">
        <f>VLOOKUP(W380,'Catalogue Aluminium'!$B$9:$G$91,5,FALSE)</f>
        <v>1.1100000000000001</v>
      </c>
      <c r="AB380" s="251">
        <f>VLOOKUP(W380,'Catalogue Aluminium'!$B$9:$G$91,6,FALSE)</f>
        <v>7.9399999999999998E-2</v>
      </c>
      <c r="AC380" s="285">
        <v>48</v>
      </c>
      <c r="AD380" s="413">
        <f>42+22+53+70+98+120</f>
        <v>405</v>
      </c>
      <c r="AE380" s="294">
        <v>10</v>
      </c>
      <c r="AF380" s="294">
        <v>5</v>
      </c>
      <c r="AG380" s="294">
        <f t="shared" si="919"/>
        <v>47</v>
      </c>
      <c r="AH380" s="253">
        <f t="shared" si="920"/>
        <v>515</v>
      </c>
      <c r="AI380" s="250">
        <f>IF(T380="AIR",'Catalogue Aluminium'!$K$9,IF(T380="TRENCH",'Catalogue Aluminium'!$K$12,"NA"))</f>
        <v>0.89</v>
      </c>
      <c r="AJ380" s="248">
        <f>IF(T380="Air",(IF(U380="1C",'Catalogue Aluminium'!$L$9,'Catalogue Aluminium'!$M$9)),IF(T380="DUCT",(IF($U380="1C",'Catalogue Aluminium'!$L$10,'Catalogue Aluminium'!$M$10)),IF(T380="GROUND",(IF($U380="1C",'Catalogue Aluminium'!$L$11,'Catalogue Aluminium'!$M$11)),IF(T380="TRENCH",(IF($U380="1C",'Catalogue Aluminium'!$L$12,'Catalogue Aluminium'!$M$12))))))</f>
        <v>0.66</v>
      </c>
      <c r="AK380" s="250" t="str">
        <f>IF(T380="Air",'Catalogue Aluminium'!$N$9,IF(T380="GROUND",'Catalogue Aluminium'!$N$10,IF(T380="DUCT",'Catalogue Aluminium'!$N$11,IF(T380="TRENCH",'Catalogue Aluminium'!$N$12,"NA"))))</f>
        <v>NA</v>
      </c>
      <c r="AL380" s="250" t="str">
        <f>IF(T380="Air",(IF(U380="1C",'Catalogue Aluminium'!$O$9,'Catalogue Aluminium'!$P$9)),IF(T380="DUCT",(IF($U380="1C",'Catalogue Aluminium'!$O$10,'Catalogue Aluminium'!$P$10)),IF(T380="GROUND",(IF($U380="1C",'Catalogue Aluminium'!$O$11,'Catalogue Aluminium'!$P$11)),IF(T380="TRENCH",(IF($U380="1C",'Catalogue Aluminium'!$O$12,'Catalogue Aluminium'!$P$12))))))</f>
        <v>NA</v>
      </c>
      <c r="AM380" s="250" t="str">
        <f>IF(T380="AIR","NA",IF(T380="TRENCH","NA",IF(T380="DUCT",IF(U380="1C",VLOOKUP(V380,'Catalogue Aluminium'!$Q$9:$S$28,2,FALSE),VLOOKUP(V380,'Catalogue Aluminium'!$Q$9:$S$28,3)),IF(T380="GROUND",IF(U380="1C",VLOOKUP(V380,'Catalogue Aluminium'!$Q$9:$S$28,2,FALSE),VLOOKUP(V380,'Catalogue Aluminium'!$Q$9:$S$28,3))))))</f>
        <v>NA</v>
      </c>
      <c r="AN380" s="257">
        <f t="shared" si="941"/>
        <v>0.58740000000000003</v>
      </c>
      <c r="AO380" s="256">
        <f t="shared" si="942"/>
        <v>68.725800000000007</v>
      </c>
      <c r="AP380" s="255">
        <f t="shared" si="923"/>
        <v>1</v>
      </c>
      <c r="AQ380" s="256" t="str">
        <f t="shared" si="943"/>
        <v>YES</v>
      </c>
      <c r="AR380" s="257">
        <f t="shared" si="944"/>
        <v>1.2555404380158257</v>
      </c>
      <c r="AS380" s="249" t="str">
        <f t="shared" si="932"/>
        <v>YES</v>
      </c>
      <c r="AT380" s="257" t="str">
        <f t="shared" si="926"/>
        <v>NA</v>
      </c>
      <c r="AU380" s="249" t="str">
        <f t="shared" si="927"/>
        <v>NA</v>
      </c>
      <c r="AV380" s="257" t="str">
        <f t="shared" si="928"/>
        <v>1R x 0.6/1kV x 3.5C x 35 Sqmm</v>
      </c>
      <c r="AW380" s="257" t="str">
        <f t="shared" si="929"/>
        <v>1R x 0.6/1kV x 3.5C x 35 Sqmm</v>
      </c>
      <c r="AX380" s="249">
        <f t="shared" si="930"/>
        <v>515</v>
      </c>
      <c r="AY380" s="249"/>
    </row>
    <row r="381" spans="1:51">
      <c r="A381" s="243">
        <f t="shared" si="931"/>
        <v>254</v>
      </c>
      <c r="B381" s="285" t="s">
        <v>680</v>
      </c>
      <c r="C381" s="243" t="s">
        <v>656</v>
      </c>
      <c r="D381" s="244" t="s">
        <v>681</v>
      </c>
      <c r="E381" s="352" t="s">
        <v>675</v>
      </c>
      <c r="F381" s="545"/>
      <c r="G381" s="243" t="s">
        <v>298</v>
      </c>
      <c r="H381" s="304">
        <v>3.2</v>
      </c>
      <c r="I381" s="243" t="s">
        <v>299</v>
      </c>
      <c r="J381" s="243" t="s">
        <v>300</v>
      </c>
      <c r="K381" s="255">
        <v>400</v>
      </c>
      <c r="L381" s="249">
        <v>0.84999999999999987</v>
      </c>
      <c r="M381" s="256">
        <v>0.95099999999999985</v>
      </c>
      <c r="N381" s="248">
        <f t="shared" si="935"/>
        <v>5.7140318480136116</v>
      </c>
      <c r="O381" s="248">
        <f t="shared" si="936"/>
        <v>0</v>
      </c>
      <c r="P381" s="249" t="str">
        <f t="shared" si="937"/>
        <v>0.00</v>
      </c>
      <c r="Q381" s="256">
        <v>25</v>
      </c>
      <c r="R381" s="256">
        <v>0</v>
      </c>
      <c r="S381" s="256">
        <f t="shared" si="938"/>
        <v>0</v>
      </c>
      <c r="T381" s="249" t="s">
        <v>131</v>
      </c>
      <c r="U381" s="256" t="s">
        <v>390</v>
      </c>
      <c r="V381" s="249">
        <v>35</v>
      </c>
      <c r="W381" s="249" t="str">
        <f t="shared" si="939"/>
        <v>3.5C X 35</v>
      </c>
      <c r="X381" s="249" t="str">
        <f t="shared" si="940"/>
        <v>3.5C X 35</v>
      </c>
      <c r="Y381" s="249" t="s">
        <v>314</v>
      </c>
      <c r="Z381" s="250">
        <f>IF(T381="AIR",VLOOKUP(W381,'Catalogue Aluminium'!$B$9:$G$91,2,FALSE),IF(T381="GROUND",VLOOKUP(W381,'Catalogue Aluminium'!$B$9:$G$91,3,FALSE),IF(T381="DUCT",VLOOKUP(W381,'Catalogue Aluminium'!$B$9:$G$91,4,FALSE),IF(T381="TRENCH",VLOOKUP(W381,'Catalogue Aluminium'!$B$9:$G$91,2,FALSE)))))</f>
        <v>117</v>
      </c>
      <c r="AA381" s="251">
        <f>VLOOKUP(W381,'Catalogue Aluminium'!$B$9:$G$91,5,FALSE)</f>
        <v>1.1100000000000001</v>
      </c>
      <c r="AB381" s="251">
        <f>VLOOKUP(W381,'Catalogue Aluminium'!$B$9:$G$91,6,FALSE)</f>
        <v>7.9399999999999998E-2</v>
      </c>
      <c r="AC381" s="285">
        <v>48</v>
      </c>
      <c r="AD381" s="413">
        <f>42+22+53+70+98+240</f>
        <v>525</v>
      </c>
      <c r="AE381" s="294">
        <v>10</v>
      </c>
      <c r="AF381" s="294">
        <v>5</v>
      </c>
      <c r="AG381" s="294">
        <f t="shared" si="919"/>
        <v>59</v>
      </c>
      <c r="AH381" s="253">
        <f t="shared" si="920"/>
        <v>647</v>
      </c>
      <c r="AI381" s="250">
        <f>IF(T381="AIR",'Catalogue Aluminium'!$K$9,IF(T381="TRENCH",'Catalogue Aluminium'!$K$12,"NA"))</f>
        <v>0.89</v>
      </c>
      <c r="AJ381" s="248">
        <f>IF(T381="Air",(IF(U381="1C",'Catalogue Aluminium'!$L$9,'Catalogue Aluminium'!$M$9)),IF(T381="DUCT",(IF($U381="1C",'Catalogue Aluminium'!$L$10,'Catalogue Aluminium'!$M$10)),IF(T381="GROUND",(IF($U381="1C",'Catalogue Aluminium'!$L$11,'Catalogue Aluminium'!$M$11)),IF(T381="TRENCH",(IF($U381="1C",'Catalogue Aluminium'!$L$12,'Catalogue Aluminium'!$M$12))))))</f>
        <v>0.66</v>
      </c>
      <c r="AK381" s="250" t="str">
        <f>IF(T381="Air",'Catalogue Aluminium'!$N$9,IF(T381="GROUND",'Catalogue Aluminium'!$N$10,IF(T381="DUCT",'Catalogue Aluminium'!$N$11,IF(T381="TRENCH",'Catalogue Aluminium'!$N$12,"NA"))))</f>
        <v>NA</v>
      </c>
      <c r="AL381" s="250" t="str">
        <f>IF(T381="Air",(IF(U381="1C",'Catalogue Aluminium'!$O$9,'Catalogue Aluminium'!$P$9)),IF(T381="DUCT",(IF($U381="1C",'Catalogue Aluminium'!$O$10,'Catalogue Aluminium'!$P$10)),IF(T381="GROUND",(IF($U381="1C",'Catalogue Aluminium'!$O$11,'Catalogue Aluminium'!$P$11)),IF(T381="TRENCH",(IF($U381="1C",'Catalogue Aluminium'!$O$12,'Catalogue Aluminium'!$P$12))))))</f>
        <v>NA</v>
      </c>
      <c r="AM381" s="250" t="str">
        <f>IF(T381="AIR","NA",IF(T381="TRENCH","NA",IF(T381="DUCT",IF(U381="1C",VLOOKUP(V381,'Catalogue Aluminium'!$Q$9:$S$28,2,FALSE),VLOOKUP(V381,'Catalogue Aluminium'!$Q$9:$S$28,3)),IF(T381="GROUND",IF(U381="1C",VLOOKUP(V381,'Catalogue Aluminium'!$Q$9:$S$28,2,FALSE),VLOOKUP(V381,'Catalogue Aluminium'!$Q$9:$S$28,3))))))</f>
        <v>NA</v>
      </c>
      <c r="AN381" s="257">
        <f t="shared" si="941"/>
        <v>0.58740000000000003</v>
      </c>
      <c r="AO381" s="256">
        <f t="shared" si="942"/>
        <v>68.725800000000007</v>
      </c>
      <c r="AP381" s="255">
        <f t="shared" si="923"/>
        <v>1</v>
      </c>
      <c r="AQ381" s="256" t="str">
        <f t="shared" si="943"/>
        <v>YES</v>
      </c>
      <c r="AR381" s="257">
        <f t="shared" si="944"/>
        <v>1.5773488609635711</v>
      </c>
      <c r="AS381" s="249" t="str">
        <f t="shared" si="932"/>
        <v>YES</v>
      </c>
      <c r="AT381" s="257" t="str">
        <f t="shared" si="926"/>
        <v>NA</v>
      </c>
      <c r="AU381" s="249" t="str">
        <f t="shared" si="927"/>
        <v>NA</v>
      </c>
      <c r="AV381" s="257" t="str">
        <f t="shared" si="928"/>
        <v>1R x 0.6/1kV x 3.5C x 35 Sqmm</v>
      </c>
      <c r="AW381" s="257" t="str">
        <f t="shared" si="929"/>
        <v>1R x 0.6/1kV x 3.5C x 35 Sqmm</v>
      </c>
      <c r="AX381" s="249">
        <f t="shared" si="930"/>
        <v>647</v>
      </c>
      <c r="AY381" s="249"/>
    </row>
    <row r="382" spans="1:51" ht="25">
      <c r="A382" s="243">
        <f t="shared" si="931"/>
        <v>255</v>
      </c>
      <c r="B382" s="285" t="s">
        <v>682</v>
      </c>
      <c r="C382" s="243" t="s">
        <v>656</v>
      </c>
      <c r="D382" s="244" t="s">
        <v>683</v>
      </c>
      <c r="E382" s="352" t="s">
        <v>684</v>
      </c>
      <c r="F382" s="545"/>
      <c r="G382" s="243" t="s">
        <v>298</v>
      </c>
      <c r="H382" s="304">
        <v>3.2</v>
      </c>
      <c r="I382" s="243" t="s">
        <v>299</v>
      </c>
      <c r="J382" s="243" t="s">
        <v>300</v>
      </c>
      <c r="K382" s="255">
        <v>400</v>
      </c>
      <c r="L382" s="249">
        <v>0.84999999999999987</v>
      </c>
      <c r="M382" s="256">
        <v>0.95099999999999985</v>
      </c>
      <c r="N382" s="248">
        <f t="shared" si="935"/>
        <v>5.7140318480136116</v>
      </c>
      <c r="O382" s="248">
        <f t="shared" si="936"/>
        <v>0</v>
      </c>
      <c r="P382" s="249" t="str">
        <f t="shared" si="937"/>
        <v>0.00</v>
      </c>
      <c r="Q382" s="256">
        <v>25</v>
      </c>
      <c r="R382" s="256">
        <v>0</v>
      </c>
      <c r="S382" s="256">
        <f t="shared" si="938"/>
        <v>0</v>
      </c>
      <c r="T382" s="249" t="s">
        <v>131</v>
      </c>
      <c r="U382" s="256" t="s">
        <v>390</v>
      </c>
      <c r="V382" s="249">
        <v>35</v>
      </c>
      <c r="W382" s="249" t="str">
        <f t="shared" si="939"/>
        <v>3.5C X 35</v>
      </c>
      <c r="X382" s="249" t="str">
        <f t="shared" si="940"/>
        <v>3.5C X 35</v>
      </c>
      <c r="Y382" s="249" t="s">
        <v>314</v>
      </c>
      <c r="Z382" s="250">
        <f>IF(T382="AIR",VLOOKUP(W382,'Catalogue Aluminium'!$B$9:$G$91,2,FALSE),IF(T382="GROUND",VLOOKUP(W382,'Catalogue Aluminium'!$B$9:$G$91,3,FALSE),IF(T382="DUCT",VLOOKUP(W382,'Catalogue Aluminium'!$B$9:$G$91,4,FALSE),IF(T382="TRENCH",VLOOKUP(W382,'Catalogue Aluminium'!$B$9:$G$91,2,FALSE)))))</f>
        <v>117</v>
      </c>
      <c r="AA382" s="251">
        <f>VLOOKUP(W382,'Catalogue Aluminium'!$B$9:$G$91,5,FALSE)</f>
        <v>1.1100000000000001</v>
      </c>
      <c r="AB382" s="251">
        <f>VLOOKUP(W382,'Catalogue Aluminium'!$B$9:$G$91,6,FALSE)</f>
        <v>7.9399999999999998E-2</v>
      </c>
      <c r="AC382" s="285">
        <v>48</v>
      </c>
      <c r="AD382" s="413">
        <v>50</v>
      </c>
      <c r="AE382" s="294">
        <v>10</v>
      </c>
      <c r="AF382" s="294">
        <v>5</v>
      </c>
      <c r="AG382" s="294">
        <f t="shared" si="919"/>
        <v>12</v>
      </c>
      <c r="AH382" s="253">
        <f t="shared" si="920"/>
        <v>125</v>
      </c>
      <c r="AI382" s="250">
        <f>IF(T382="AIR",'Catalogue Aluminium'!$K$9,IF(T382="TRENCH",'Catalogue Aluminium'!$K$12,"NA"))</f>
        <v>0.89</v>
      </c>
      <c r="AJ382" s="248">
        <f>IF(T382="Air",(IF(U382="1C",'Catalogue Aluminium'!$L$9,'Catalogue Aluminium'!$M$9)),IF(T382="DUCT",(IF($U382="1C",'Catalogue Aluminium'!$L$10,'Catalogue Aluminium'!$M$10)),IF(T382="GROUND",(IF($U382="1C",'Catalogue Aluminium'!$L$11,'Catalogue Aluminium'!$M$11)),IF(T382="TRENCH",(IF($U382="1C",'Catalogue Aluminium'!$L$12,'Catalogue Aluminium'!$M$12))))))</f>
        <v>0.66</v>
      </c>
      <c r="AK382" s="250" t="str">
        <f>IF(T382="Air",'Catalogue Aluminium'!$N$9,IF(T382="GROUND",'Catalogue Aluminium'!$N$10,IF(T382="DUCT",'Catalogue Aluminium'!$N$11,IF(T382="TRENCH",'Catalogue Aluminium'!$N$12,"NA"))))</f>
        <v>NA</v>
      </c>
      <c r="AL382" s="250" t="str">
        <f>IF(T382="Air",(IF(U382="1C",'Catalogue Aluminium'!$O$9,'Catalogue Aluminium'!$P$9)),IF(T382="DUCT",(IF($U382="1C",'Catalogue Aluminium'!$O$10,'Catalogue Aluminium'!$P$10)),IF(T382="GROUND",(IF($U382="1C",'Catalogue Aluminium'!$O$11,'Catalogue Aluminium'!$P$11)),IF(T382="TRENCH",(IF($U382="1C",'Catalogue Aluminium'!$O$12,'Catalogue Aluminium'!$P$12))))))</f>
        <v>NA</v>
      </c>
      <c r="AM382" s="250" t="str">
        <f>IF(T382="AIR","NA",IF(T382="TRENCH","NA",IF(T382="DUCT",IF(U382="1C",VLOOKUP(V382,'Catalogue Aluminium'!$Q$9:$S$28,2,FALSE),VLOOKUP(V382,'Catalogue Aluminium'!$Q$9:$S$28,3)),IF(T382="GROUND",IF(U382="1C",VLOOKUP(V382,'Catalogue Aluminium'!$Q$9:$S$28,2,FALSE),VLOOKUP(V382,'Catalogue Aluminium'!$Q$9:$S$28,3))))))</f>
        <v>NA</v>
      </c>
      <c r="AN382" s="257">
        <f t="shared" si="941"/>
        <v>0.58740000000000003</v>
      </c>
      <c r="AO382" s="256">
        <f t="shared" si="942"/>
        <v>68.725800000000007</v>
      </c>
      <c r="AP382" s="255">
        <f t="shared" si="923"/>
        <v>1</v>
      </c>
      <c r="AQ382" s="256" t="str">
        <f t="shared" si="943"/>
        <v>YES</v>
      </c>
      <c r="AR382" s="257">
        <f t="shared" si="944"/>
        <v>0.30474282476112269</v>
      </c>
      <c r="AS382" s="249" t="str">
        <f t="shared" si="932"/>
        <v>YES</v>
      </c>
      <c r="AT382" s="257" t="str">
        <f t="shared" si="926"/>
        <v>NA</v>
      </c>
      <c r="AU382" s="249" t="str">
        <f t="shared" si="927"/>
        <v>NA</v>
      </c>
      <c r="AV382" s="257" t="str">
        <f t="shared" si="928"/>
        <v>1R x 0.6/1kV x 3.5C x 35 Sqmm</v>
      </c>
      <c r="AW382" s="257" t="str">
        <f t="shared" si="929"/>
        <v>1R x 0.6/1kV x 3.5C x 35 Sqmm</v>
      </c>
      <c r="AX382" s="249">
        <f t="shared" si="930"/>
        <v>125</v>
      </c>
      <c r="AY382" s="249"/>
    </row>
    <row r="383" spans="1:51">
      <c r="A383" s="243">
        <f t="shared" si="931"/>
        <v>256</v>
      </c>
      <c r="B383" s="243" t="s">
        <v>461</v>
      </c>
      <c r="C383" s="243" t="str">
        <f>$D$6</f>
        <v>PMCC-1</v>
      </c>
      <c r="D383" s="272" t="s">
        <v>685</v>
      </c>
      <c r="E383" s="351" t="s">
        <v>304</v>
      </c>
      <c r="F383" s="410"/>
      <c r="G383" s="246" t="s">
        <v>306</v>
      </c>
      <c r="H383" s="304">
        <v>127.5</v>
      </c>
      <c r="I383" s="243" t="s">
        <v>299</v>
      </c>
      <c r="J383" s="243" t="s">
        <v>300</v>
      </c>
      <c r="K383" s="255">
        <v>400</v>
      </c>
      <c r="L383" s="249">
        <v>0.84999999999999987</v>
      </c>
      <c r="M383" s="256">
        <v>0.95099999999999985</v>
      </c>
      <c r="N383" s="248">
        <v>320</v>
      </c>
      <c r="O383" s="292"/>
      <c r="P383" s="293"/>
      <c r="Q383" s="293"/>
      <c r="R383" s="293"/>
      <c r="S383" s="293"/>
      <c r="T383" s="293"/>
      <c r="U383" s="293"/>
      <c r="V383" s="293"/>
      <c r="W383" s="293"/>
      <c r="X383" s="293"/>
      <c r="Y383" s="293"/>
      <c r="Z383" s="293"/>
      <c r="AA383" s="293"/>
      <c r="AB383" s="293"/>
      <c r="AC383" s="606"/>
      <c r="AD383" s="606"/>
      <c r="AE383" s="606"/>
      <c r="AF383" s="606"/>
      <c r="AG383" s="606"/>
      <c r="AH383" s="293"/>
      <c r="AI383" s="293"/>
      <c r="AJ383" s="293"/>
      <c r="AK383" s="293"/>
      <c r="AL383" s="293"/>
      <c r="AM383" s="293"/>
      <c r="AN383" s="293"/>
      <c r="AO383" s="293"/>
      <c r="AP383" s="293"/>
      <c r="AQ383" s="293"/>
      <c r="AR383" s="293"/>
      <c r="AS383" s="293"/>
      <c r="AT383" s="293"/>
      <c r="AU383" s="293"/>
      <c r="AV383" s="293"/>
      <c r="AW383" s="293"/>
      <c r="AX383" s="293"/>
      <c r="AY383" s="293"/>
    </row>
    <row r="384" spans="1:51">
      <c r="A384" s="243">
        <f t="shared" si="931"/>
        <v>257</v>
      </c>
      <c r="B384" s="243" t="s">
        <v>461</v>
      </c>
      <c r="C384" s="243" t="str">
        <f>$D$6</f>
        <v>PMCC-1</v>
      </c>
      <c r="D384" s="272" t="s">
        <v>686</v>
      </c>
      <c r="E384" s="351" t="s">
        <v>304</v>
      </c>
      <c r="F384" s="410"/>
      <c r="G384" s="246" t="s">
        <v>306</v>
      </c>
      <c r="H384" s="304">
        <v>127.5</v>
      </c>
      <c r="I384" s="243" t="s">
        <v>299</v>
      </c>
      <c r="J384" s="243" t="s">
        <v>300</v>
      </c>
      <c r="K384" s="255">
        <v>400</v>
      </c>
      <c r="L384" s="249">
        <v>0.84999999999999987</v>
      </c>
      <c r="M384" s="256">
        <v>0.95099999999999985</v>
      </c>
      <c r="N384" s="248">
        <v>320</v>
      </c>
      <c r="O384" s="292"/>
      <c r="P384" s="293"/>
      <c r="Q384" s="293"/>
      <c r="R384" s="293"/>
      <c r="S384" s="293"/>
      <c r="T384" s="293"/>
      <c r="U384" s="293"/>
      <c r="V384" s="293"/>
      <c r="W384" s="293"/>
      <c r="X384" s="293"/>
      <c r="Y384" s="293"/>
      <c r="Z384" s="293"/>
      <c r="AA384" s="293"/>
      <c r="AB384" s="293"/>
      <c r="AC384" s="606"/>
      <c r="AD384" s="606"/>
      <c r="AE384" s="606"/>
      <c r="AF384" s="606"/>
      <c r="AG384" s="606"/>
      <c r="AH384" s="293"/>
      <c r="AI384" s="293"/>
      <c r="AJ384" s="293"/>
      <c r="AK384" s="293"/>
      <c r="AL384" s="293"/>
      <c r="AM384" s="293"/>
      <c r="AN384" s="293"/>
      <c r="AO384" s="293"/>
      <c r="AP384" s="293"/>
      <c r="AQ384" s="293"/>
      <c r="AR384" s="293"/>
      <c r="AS384" s="293"/>
      <c r="AT384" s="293"/>
      <c r="AU384" s="293"/>
      <c r="AV384" s="293"/>
      <c r="AW384" s="293"/>
      <c r="AX384" s="293"/>
      <c r="AY384" s="293"/>
    </row>
    <row r="385" spans="1:51" s="70" customFormat="1" ht="26.25" customHeight="1">
      <c r="A385" s="376"/>
      <c r="B385" s="376"/>
      <c r="C385" s="376"/>
      <c r="D385" s="242" t="s">
        <v>687</v>
      </c>
      <c r="E385" s="378"/>
      <c r="F385" s="566"/>
      <c r="G385" s="376"/>
      <c r="H385" s="379"/>
      <c r="I385" s="376"/>
      <c r="J385" s="376"/>
      <c r="K385" s="380"/>
      <c r="L385" s="381"/>
      <c r="M385" s="379"/>
      <c r="N385" s="382"/>
      <c r="O385" s="382"/>
      <c r="P385" s="381"/>
      <c r="Q385" s="379"/>
      <c r="R385" s="379"/>
      <c r="S385" s="379"/>
      <c r="T385" s="381"/>
      <c r="U385" s="379"/>
      <c r="V385" s="381"/>
      <c r="W385" s="381"/>
      <c r="X385" s="381"/>
      <c r="Y385" s="381"/>
      <c r="Z385" s="383"/>
      <c r="AA385" s="384"/>
      <c r="AB385" s="384"/>
      <c r="AC385" s="570"/>
      <c r="AD385" s="570"/>
      <c r="AE385" s="570"/>
      <c r="AF385" s="570"/>
      <c r="AG385" s="570"/>
      <c r="AH385" s="385"/>
      <c r="AI385" s="383"/>
      <c r="AJ385" s="382"/>
      <c r="AK385" s="383"/>
      <c r="AL385" s="383"/>
      <c r="AM385" s="383"/>
      <c r="AN385" s="386"/>
      <c r="AO385" s="379"/>
      <c r="AP385" s="380"/>
      <c r="AQ385" s="379"/>
      <c r="AR385" s="386"/>
      <c r="AS385" s="381"/>
      <c r="AT385" s="386"/>
      <c r="AU385" s="386"/>
      <c r="AV385" s="387"/>
      <c r="AW385" s="387"/>
      <c r="AX385" s="381"/>
      <c r="AY385" s="388"/>
    </row>
    <row r="386" spans="1:51">
      <c r="A386" s="243">
        <f>1+A384</f>
        <v>258</v>
      </c>
      <c r="B386" s="285" t="s">
        <v>688</v>
      </c>
      <c r="C386" s="243" t="s">
        <v>687</v>
      </c>
      <c r="D386" s="244" t="s">
        <v>689</v>
      </c>
      <c r="E386" s="352" t="s">
        <v>304</v>
      </c>
      <c r="F386" s="410"/>
      <c r="G386" s="243" t="s">
        <v>298</v>
      </c>
      <c r="H386" s="304">
        <v>5</v>
      </c>
      <c r="I386" s="243" t="s">
        <v>299</v>
      </c>
      <c r="J386" s="243" t="s">
        <v>300</v>
      </c>
      <c r="K386" s="255">
        <v>400</v>
      </c>
      <c r="L386" s="249">
        <v>0.84999999999999987</v>
      </c>
      <c r="M386" s="256">
        <v>0.95099999999999985</v>
      </c>
      <c r="N386" s="248">
        <f t="shared" ref="N386:N392" si="945">IF(I386="kVA",IF(J386="3Ph",(H386*1000/(1.732*M386*K386)),(H386*1000/(M386*K386))),IF(I386="kW",IF(J386="3Ph",(H386*1000/(1.732*M386*K386*L386)),(H386*1000/(M386*K386*L386)))))</f>
        <v>8.9281747625212677</v>
      </c>
      <c r="O386" s="248">
        <f t="shared" ref="O386:O391" si="946">IF(G386="MOTOR",(6*N386),IF(G386="VFD",(1*N386),0))</f>
        <v>0</v>
      </c>
      <c r="P386" s="249" t="str">
        <f t="shared" ref="P386:P391" si="947">IF(G386="MOTOR",0.2,"0.00")</f>
        <v>0.00</v>
      </c>
      <c r="Q386" s="256">
        <v>25</v>
      </c>
      <c r="R386" s="256">
        <v>0</v>
      </c>
      <c r="S386" s="256">
        <f t="shared" ref="S386:S391" si="948">(Q386*1000*SQRT(R386)/143)</f>
        <v>0</v>
      </c>
      <c r="T386" s="249" t="s">
        <v>131</v>
      </c>
      <c r="U386" s="256" t="s">
        <v>377</v>
      </c>
      <c r="V386" s="249">
        <v>10</v>
      </c>
      <c r="W386" s="249" t="str">
        <f t="shared" ref="W386:W391" si="949">CONCATENATE(U386," X ",V386)</f>
        <v>4C X 10</v>
      </c>
      <c r="X386" s="249" t="str">
        <f t="shared" ref="X386:X391" si="950">(IF(J386="1Ph",W386,IF(J386="3Ph",(IF(G386="MOTOR",(CONCATENATE(W386,"+PE")),W386)))))</f>
        <v>4C X 10</v>
      </c>
      <c r="Y386" s="249" t="s">
        <v>314</v>
      </c>
      <c r="Z386" s="250">
        <f>IF(T386="AIR",VLOOKUP(W386,'Catalogue Aluminium'!$B$9:$G$91,2,FALSE),IF(T386="GROUND",VLOOKUP(W386,'Catalogue Aluminium'!$B$9:$G$91,3,FALSE),IF(T386="DUCT",VLOOKUP(W386,'Catalogue Aluminium'!$B$9:$G$91,4,FALSE),IF(T386="TRENCH",VLOOKUP(W386,'Catalogue Aluminium'!$B$9:$G$91,2,FALSE)))))</f>
        <v>60</v>
      </c>
      <c r="AA386" s="251">
        <f>VLOOKUP(W386,'Catalogue Aluminium'!$B$9:$G$91,5,FALSE)</f>
        <v>3.94</v>
      </c>
      <c r="AB386" s="251">
        <f>VLOOKUP(W386,'Catalogue Aluminium'!$B$9:$G$91,6,FALSE)</f>
        <v>8.5199999999999998E-2</v>
      </c>
      <c r="AC386" s="285">
        <v>12</v>
      </c>
      <c r="AD386" s="294">
        <v>0</v>
      </c>
      <c r="AE386" s="294">
        <v>5</v>
      </c>
      <c r="AF386" s="294">
        <v>5</v>
      </c>
      <c r="AG386" s="294">
        <f t="shared" ref="AG386:AG391" si="951">ROUNDUP((SUM(AC386:AF386)*0.1),0)</f>
        <v>3</v>
      </c>
      <c r="AH386" s="253">
        <f t="shared" ref="AH386:AH391" si="952">SUM(AC386:AG386)</f>
        <v>25</v>
      </c>
      <c r="AI386" s="250">
        <f>IF(T386="AIR",'Catalogue Aluminium'!$K$9,IF(T386="TRENCH",'Catalogue Aluminium'!$K$12,"NA"))</f>
        <v>0.89</v>
      </c>
      <c r="AJ386" s="248">
        <f>IF(T386="Air",(IF(U386="1C",'Catalogue Aluminium'!$L$9,'Catalogue Aluminium'!$M$9)),IF(T386="DUCT",(IF($U386="1C",'Catalogue Aluminium'!$L$10,'Catalogue Aluminium'!$M$10)),IF(T386="GROUND",(IF($U386="1C",'Catalogue Aluminium'!$L$11,'Catalogue Aluminium'!$M$11)),IF(T386="TRENCH",(IF($U386="1C",'Catalogue Aluminium'!$L$12,'Catalogue Aluminium'!$M$12))))))</f>
        <v>0.66</v>
      </c>
      <c r="AK386" s="250" t="str">
        <f>IF(T386="Air",'Catalogue Aluminium'!$N$9,IF(T386="GROUND",'Catalogue Aluminium'!$N$10,IF(T386="DUCT",'Catalogue Aluminium'!$N$11,IF(T386="TRENCH",'Catalogue Aluminium'!$N$12,"NA"))))</f>
        <v>NA</v>
      </c>
      <c r="AL386" s="250" t="str">
        <f>IF(T386="Air",(IF(U386="1C",'Catalogue Aluminium'!$O$9,'Catalogue Aluminium'!$P$9)),IF(T386="DUCT",(IF($U386="1C",'Catalogue Aluminium'!$O$10,'Catalogue Aluminium'!$P$10)),IF(T386="GROUND",(IF($U386="1C",'Catalogue Aluminium'!$O$11,'Catalogue Aluminium'!$P$11)),IF(T386="TRENCH",(IF($U386="1C",'Catalogue Aluminium'!$O$12,'Catalogue Aluminium'!$P$12))))))</f>
        <v>NA</v>
      </c>
      <c r="AM386" s="250" t="str">
        <f>IF(T386="AIR","NA",IF(T386="TRENCH","NA",IF(T386="DUCT",IF(U386="1C",VLOOKUP(V386,'Catalogue Aluminium'!$Q$9:$S$28,2,FALSE),VLOOKUP(V386,'Catalogue Aluminium'!$Q$9:$S$28,3)),IF(T386="GROUND",IF(U386="1C",VLOOKUP(V386,'Catalogue Aluminium'!$Q$9:$S$28,2,FALSE),VLOOKUP(V386,'Catalogue Aluminium'!$Q$9:$S$28,3))))))</f>
        <v>NA</v>
      </c>
      <c r="AN386" s="257">
        <f t="shared" ref="AN386:AN391" si="953">IF(T386="AIR",AI386*AJ386,IF(T386="TRENCH",AI386*AJ386,IF(T386="DUCT",AJ386*AK386*AL386*AM386,IF(T386="GROUND",AJ386*AK386*AL386*AM386))))</f>
        <v>0.58740000000000003</v>
      </c>
      <c r="AO386" s="256">
        <f t="shared" ref="AO386:AO391" si="954">Z386*AN386</f>
        <v>35.244</v>
      </c>
      <c r="AP386" s="255">
        <f t="shared" ref="AP386:AP392" si="955">CEILING(((N386)/AO386),1)</f>
        <v>1</v>
      </c>
      <c r="AQ386" s="256" t="str">
        <f t="shared" ref="AQ386:AQ391" si="956">IF(AO386*AP386&gt;=N386,"YES","NO")</f>
        <v>YES</v>
      </c>
      <c r="AR386" s="257">
        <f t="shared" ref="AR386:AR391" si="957">SQRT(3)*AH386*N386*((AA386*L386)+(AB386*SIN(ACOS(L386))))*100/(AP386*K386*1000)</f>
        <v>0.328019793719108</v>
      </c>
      <c r="AS386" s="249" t="str">
        <f t="shared" ref="AS386:AS392" si="958">IF(G386="INCOMER",(IF(AR386&lt;=2,"YES","NO")),IF(G386="POWER",(IF(AR386&lt;=2.5,"YES","NO")),IF(G386="MOTOR",(IF(AR386&lt;=3,"YES","NO")))))</f>
        <v>YES</v>
      </c>
      <c r="AT386" s="257" t="str">
        <f t="shared" ref="AT386:AT392" si="959">IF(G386="MOTOR",(SQRT(3)*AH386*O386*((AA386*P386)+(AB386*SIN(ACOS(P386))))*100/(AP386*K386*1000)),"NA")</f>
        <v>NA</v>
      </c>
      <c r="AU386" s="249" t="str">
        <f t="shared" ref="AU386:AU392" si="960">IF(G386="MOTOR",IF(AT386&lt;=15,"YES","NO"),"NA")</f>
        <v>NA</v>
      </c>
      <c r="AV386" s="257" t="str">
        <f t="shared" ref="AV386:AV392" si="961">IF(U386="1C",CONCATENATE(AP386,"R x ",Y386,"kV x ",U386," x ",V386," Sqmm/Phase"),CONCATENATE(AP386,"R x ",0.6,"/1kV x ",U386," x ",V386," Sqmm"))</f>
        <v>1R x 0.6/1kV x 4C x 10 Sqmm</v>
      </c>
      <c r="AW386" s="257" t="str">
        <f t="shared" ref="AW386:AW392" si="962">IF(U386="1C",CONCATENATE(AP386,"R x ",Y386,"kV x ",U386," x ",V386," Sqmm/Phase"),CONCATENATE(AP386,"R x ",0.6,"/1kV x ",U386," x ",V386,(IF(G386="MOTOR","+PE",""))," Sqmm"))</f>
        <v>1R x 0.6/1kV x 4C x 10 Sqmm</v>
      </c>
      <c r="AX386" s="249">
        <f t="shared" ref="AX386:AX392" si="963">(IF(K386=400,(IF(U386="1C",(4*AH386*AP386),(AH386*AP386))),IF(K386=230,(AH386*AP386))))</f>
        <v>25</v>
      </c>
      <c r="AY386" s="249"/>
    </row>
    <row r="387" spans="1:51">
      <c r="A387" s="243">
        <f t="shared" ref="A387:A393" si="964">1+A386</f>
        <v>259</v>
      </c>
      <c r="B387" s="285" t="s">
        <v>690</v>
      </c>
      <c r="C387" s="243" t="s">
        <v>687</v>
      </c>
      <c r="D387" s="244" t="s">
        <v>691</v>
      </c>
      <c r="E387" s="321" t="s">
        <v>410</v>
      </c>
      <c r="F387" s="410"/>
      <c r="G387" s="243" t="s">
        <v>298</v>
      </c>
      <c r="H387" s="304">
        <v>5</v>
      </c>
      <c r="I387" s="243" t="s">
        <v>299</v>
      </c>
      <c r="J387" s="243" t="s">
        <v>300</v>
      </c>
      <c r="K387" s="255">
        <v>400</v>
      </c>
      <c r="L387" s="249">
        <v>0.84999999999999987</v>
      </c>
      <c r="M387" s="256">
        <v>0.95099999999999985</v>
      </c>
      <c r="N387" s="248">
        <f t="shared" si="945"/>
        <v>8.9281747625212677</v>
      </c>
      <c r="O387" s="248">
        <f t="shared" si="946"/>
        <v>0</v>
      </c>
      <c r="P387" s="249" t="str">
        <f t="shared" si="947"/>
        <v>0.00</v>
      </c>
      <c r="Q387" s="256">
        <v>25</v>
      </c>
      <c r="R387" s="256">
        <v>0</v>
      </c>
      <c r="S387" s="256">
        <f t="shared" si="948"/>
        <v>0</v>
      </c>
      <c r="T387" s="249" t="s">
        <v>301</v>
      </c>
      <c r="U387" s="256" t="s">
        <v>377</v>
      </c>
      <c r="V387" s="249">
        <v>10</v>
      </c>
      <c r="W387" s="249" t="str">
        <f t="shared" si="949"/>
        <v>4C X 10</v>
      </c>
      <c r="X387" s="249" t="str">
        <f t="shared" si="950"/>
        <v>4C X 10</v>
      </c>
      <c r="Y387" s="249" t="s">
        <v>314</v>
      </c>
      <c r="Z387" s="250">
        <f>IF(T387="AIR",VLOOKUP(W387,'Catalogue Aluminium'!$B$9:$G$91,2,FALSE),IF(T387="GROUND",VLOOKUP(W387,'Catalogue Aluminium'!$B$9:$G$91,3,FALSE),IF(T387="DUCT",VLOOKUP(W387,'Catalogue Aluminium'!$B$9:$G$91,4,FALSE),IF(T387="TRENCH",VLOOKUP(W387,'Catalogue Aluminium'!$B$9:$G$91,2,FALSE)))))</f>
        <v>60</v>
      </c>
      <c r="AA387" s="251">
        <f>VLOOKUP(W387,'Catalogue Aluminium'!$B$9:$G$91,5,FALSE)</f>
        <v>3.94</v>
      </c>
      <c r="AB387" s="251">
        <f>VLOOKUP(W387,'Catalogue Aluminium'!$B$9:$G$91,6,FALSE)</f>
        <v>8.5199999999999998E-2</v>
      </c>
      <c r="AC387" s="285">
        <v>30</v>
      </c>
      <c r="AD387" s="413">
        <v>26</v>
      </c>
      <c r="AE387" s="294">
        <v>10</v>
      </c>
      <c r="AF387" s="294">
        <v>5</v>
      </c>
      <c r="AG387" s="294">
        <f t="shared" si="951"/>
        <v>8</v>
      </c>
      <c r="AH387" s="253">
        <f t="shared" si="952"/>
        <v>79</v>
      </c>
      <c r="AI387" s="250">
        <f>IF(T387="AIR",'Catalogue Aluminium'!$K$9,IF(T387="TRENCH",'Catalogue Aluminium'!$K$12,"NA"))</f>
        <v>0.89</v>
      </c>
      <c r="AJ387" s="248">
        <f>IF(T387="Air",(IF(U387="1C",'Catalogue Aluminium'!$L$9,'Catalogue Aluminium'!$M$9)),IF(T387="DUCT",(IF($U387="1C",'Catalogue Aluminium'!$L$10,'Catalogue Aluminium'!$M$10)),IF(T387="GROUND",(IF($U387="1C",'Catalogue Aluminium'!$L$11,'Catalogue Aluminium'!$M$11)),IF(T387="TRENCH",(IF($U387="1C",'Catalogue Aluminium'!$L$12,'Catalogue Aluminium'!$M$12))))))</f>
        <v>0.66</v>
      </c>
      <c r="AK387" s="250" t="str">
        <f>IF(T387="Air",'Catalogue Aluminium'!$N$9,IF(T387="GROUND",'Catalogue Aluminium'!$N$10,IF(T387="DUCT",'Catalogue Aluminium'!$N$11,IF(T387="TRENCH",'Catalogue Aluminium'!$N$12,"NA"))))</f>
        <v>NA</v>
      </c>
      <c r="AL387" s="250" t="str">
        <f>IF(T387="Air",(IF(U387="1C",'Catalogue Aluminium'!$O$9,'Catalogue Aluminium'!$P$9)),IF(T387="DUCT",(IF($U387="1C",'Catalogue Aluminium'!$O$10,'Catalogue Aluminium'!$P$10)),IF(T387="GROUND",(IF($U387="1C",'Catalogue Aluminium'!$O$11,'Catalogue Aluminium'!$P$11)),IF(T387="TRENCH",(IF($U387="1C",'Catalogue Aluminium'!$O$12,'Catalogue Aluminium'!$P$12))))))</f>
        <v>NA</v>
      </c>
      <c r="AM387" s="250" t="str">
        <f>IF(T387="AIR","NA",IF(T387="TRENCH","NA",IF(T387="DUCT",IF(U387="1C",VLOOKUP(V387,'Catalogue Aluminium'!$Q$9:$S$28,2,FALSE),VLOOKUP(V387,'Catalogue Aluminium'!$Q$9:$S$28,3)),IF(T387="GROUND",IF(U387="1C",VLOOKUP(V387,'Catalogue Aluminium'!$Q$9:$S$28,2,FALSE),VLOOKUP(V387,'Catalogue Aluminium'!$Q$9:$S$28,3))))))</f>
        <v>NA</v>
      </c>
      <c r="AN387" s="257">
        <f t="shared" si="953"/>
        <v>0.58740000000000003</v>
      </c>
      <c r="AO387" s="256">
        <f t="shared" si="954"/>
        <v>35.244</v>
      </c>
      <c r="AP387" s="255">
        <f t="shared" si="955"/>
        <v>1</v>
      </c>
      <c r="AQ387" s="256" t="str">
        <f t="shared" si="956"/>
        <v>YES</v>
      </c>
      <c r="AR387" s="257">
        <f t="shared" si="957"/>
        <v>1.0365425481523811</v>
      </c>
      <c r="AS387" s="249" t="str">
        <f t="shared" si="958"/>
        <v>YES</v>
      </c>
      <c r="AT387" s="257" t="str">
        <f t="shared" si="959"/>
        <v>NA</v>
      </c>
      <c r="AU387" s="249" t="str">
        <f t="shared" si="960"/>
        <v>NA</v>
      </c>
      <c r="AV387" s="257" t="str">
        <f t="shared" si="961"/>
        <v>1R x 0.6/1kV x 4C x 10 Sqmm</v>
      </c>
      <c r="AW387" s="257" t="str">
        <f t="shared" si="962"/>
        <v>1R x 0.6/1kV x 4C x 10 Sqmm</v>
      </c>
      <c r="AX387" s="249">
        <f t="shared" si="963"/>
        <v>79</v>
      </c>
      <c r="AY387" s="249"/>
    </row>
    <row r="388" spans="1:51">
      <c r="A388" s="243">
        <f t="shared" si="964"/>
        <v>260</v>
      </c>
      <c r="B388" s="285" t="s">
        <v>692</v>
      </c>
      <c r="C388" s="243" t="s">
        <v>693</v>
      </c>
      <c r="D388" s="244" t="s">
        <v>694</v>
      </c>
      <c r="E388" s="352" t="s">
        <v>662</v>
      </c>
      <c r="F388" s="545"/>
      <c r="G388" s="243" t="s">
        <v>298</v>
      </c>
      <c r="H388" s="304">
        <v>5</v>
      </c>
      <c r="I388" s="243" t="s">
        <v>299</v>
      </c>
      <c r="J388" s="243" t="s">
        <v>300</v>
      </c>
      <c r="K388" s="255">
        <v>400</v>
      </c>
      <c r="L388" s="249">
        <v>0.84999999999999987</v>
      </c>
      <c r="M388" s="256">
        <v>0.95099999999999985</v>
      </c>
      <c r="N388" s="248">
        <f t="shared" si="945"/>
        <v>8.9281747625212677</v>
      </c>
      <c r="O388" s="248">
        <f t="shared" si="946"/>
        <v>0</v>
      </c>
      <c r="P388" s="249" t="str">
        <f t="shared" si="947"/>
        <v>0.00</v>
      </c>
      <c r="Q388" s="256">
        <v>25</v>
      </c>
      <c r="R388" s="256">
        <v>0</v>
      </c>
      <c r="S388" s="256">
        <f t="shared" si="948"/>
        <v>0</v>
      </c>
      <c r="T388" s="249" t="s">
        <v>131</v>
      </c>
      <c r="U388" s="256" t="s">
        <v>377</v>
      </c>
      <c r="V388" s="249">
        <v>10</v>
      </c>
      <c r="W388" s="249" t="str">
        <f t="shared" si="949"/>
        <v>4C X 10</v>
      </c>
      <c r="X388" s="249" t="str">
        <f t="shared" si="950"/>
        <v>4C X 10</v>
      </c>
      <c r="Y388" s="249" t="s">
        <v>314</v>
      </c>
      <c r="Z388" s="250">
        <f>IF(T388="AIR",VLOOKUP(W388,'Catalogue Aluminium'!$B$9:$G$91,2,FALSE),IF(T388="GROUND",VLOOKUP(W388,'Catalogue Aluminium'!$B$9:$G$91,3,FALSE),IF(T388="DUCT",VLOOKUP(W388,'Catalogue Aluminium'!$B$9:$G$91,4,FALSE),IF(T388="TRENCH",VLOOKUP(W388,'Catalogue Aluminium'!$B$9:$G$91,2,FALSE)))))</f>
        <v>60</v>
      </c>
      <c r="AA388" s="251">
        <f>VLOOKUP(W388,'Catalogue Aluminium'!$B$9:$G$91,5,FALSE)</f>
        <v>3.94</v>
      </c>
      <c r="AB388" s="251">
        <f>VLOOKUP(W388,'Catalogue Aluminium'!$B$9:$G$91,6,FALSE)</f>
        <v>8.5199999999999998E-2</v>
      </c>
      <c r="AC388" s="285">
        <v>36</v>
      </c>
      <c r="AD388" s="294">
        <v>96</v>
      </c>
      <c r="AE388" s="294">
        <f>11+8+3</f>
        <v>22</v>
      </c>
      <c r="AF388" s="294">
        <f t="shared" ref="AF388:AF389" si="965">5+5</f>
        <v>10</v>
      </c>
      <c r="AG388" s="294">
        <f t="shared" si="951"/>
        <v>17</v>
      </c>
      <c r="AH388" s="253">
        <f t="shared" si="952"/>
        <v>181</v>
      </c>
      <c r="AI388" s="250">
        <f>IF(T388="AIR",'Catalogue Aluminium'!$K$9,IF(T388="TRENCH",'Catalogue Aluminium'!$K$12,"NA"))</f>
        <v>0.89</v>
      </c>
      <c r="AJ388" s="248">
        <f>IF(T388="Air",(IF(U388="1C",'Catalogue Aluminium'!$L$9,'Catalogue Aluminium'!$M$9)),IF(T388="DUCT",(IF($U388="1C",'Catalogue Aluminium'!$L$10,'Catalogue Aluminium'!$M$10)),IF(T388="GROUND",(IF($U388="1C",'Catalogue Aluminium'!$L$11,'Catalogue Aluminium'!$M$11)),IF(T388="TRENCH",(IF($U388="1C",'Catalogue Aluminium'!$L$12,'Catalogue Aluminium'!$M$12))))))</f>
        <v>0.66</v>
      </c>
      <c r="AK388" s="250" t="str">
        <f>IF(T388="Air",'Catalogue Aluminium'!$N$9,IF(T388="GROUND",'Catalogue Aluminium'!$N$10,IF(T388="DUCT",'Catalogue Aluminium'!$N$11,IF(T388="TRENCH",'Catalogue Aluminium'!$N$12,"NA"))))</f>
        <v>NA</v>
      </c>
      <c r="AL388" s="250" t="str">
        <f>IF(T388="Air",(IF(U388="1C",'Catalogue Aluminium'!$O$9,'Catalogue Aluminium'!$P$9)),IF(T388="DUCT",(IF($U388="1C",'Catalogue Aluminium'!$O$10,'Catalogue Aluminium'!$P$10)),IF(T388="GROUND",(IF($U388="1C",'Catalogue Aluminium'!$O$11,'Catalogue Aluminium'!$P$11)),IF(T388="TRENCH",(IF($U388="1C",'Catalogue Aluminium'!$O$12,'Catalogue Aluminium'!$P$12))))))</f>
        <v>NA</v>
      </c>
      <c r="AM388" s="250" t="str">
        <f>IF(T388="AIR","NA",IF(T388="TRENCH","NA",IF(T388="DUCT",IF(U388="1C",VLOOKUP(V388,'Catalogue Aluminium'!$Q$9:$S$28,2,FALSE),VLOOKUP(V388,'Catalogue Aluminium'!$Q$9:$S$28,3)),IF(T388="GROUND",IF(U388="1C",VLOOKUP(V388,'Catalogue Aluminium'!$Q$9:$S$28,2,FALSE),VLOOKUP(V388,'Catalogue Aluminium'!$Q$9:$S$28,3))))))</f>
        <v>NA</v>
      </c>
      <c r="AN388" s="257">
        <f t="shared" si="953"/>
        <v>0.58740000000000003</v>
      </c>
      <c r="AO388" s="256">
        <f t="shared" si="954"/>
        <v>35.244</v>
      </c>
      <c r="AP388" s="255">
        <f t="shared" si="955"/>
        <v>1</v>
      </c>
      <c r="AQ388" s="256" t="str">
        <f t="shared" si="956"/>
        <v>YES</v>
      </c>
      <c r="AR388" s="257">
        <f t="shared" si="957"/>
        <v>2.3748633065263411</v>
      </c>
      <c r="AS388" s="249" t="str">
        <f t="shared" si="958"/>
        <v>YES</v>
      </c>
      <c r="AT388" s="257" t="str">
        <f t="shared" si="959"/>
        <v>NA</v>
      </c>
      <c r="AU388" s="249" t="str">
        <f t="shared" si="960"/>
        <v>NA</v>
      </c>
      <c r="AV388" s="257" t="str">
        <f t="shared" si="961"/>
        <v>1R x 0.6/1kV x 4C x 10 Sqmm</v>
      </c>
      <c r="AW388" s="257" t="str">
        <f t="shared" si="962"/>
        <v>1R x 0.6/1kV x 4C x 10 Sqmm</v>
      </c>
      <c r="AX388" s="249">
        <f t="shared" si="963"/>
        <v>181</v>
      </c>
      <c r="AY388" s="249"/>
    </row>
    <row r="389" spans="1:51">
      <c r="A389" s="243">
        <f t="shared" si="964"/>
        <v>261</v>
      </c>
      <c r="B389" s="285" t="s">
        <v>695</v>
      </c>
      <c r="C389" s="243" t="s">
        <v>693</v>
      </c>
      <c r="D389" s="244" t="s">
        <v>696</v>
      </c>
      <c r="E389" s="321" t="s">
        <v>310</v>
      </c>
      <c r="F389" s="545"/>
      <c r="G389" s="243" t="s">
        <v>298</v>
      </c>
      <c r="H389" s="304">
        <v>10</v>
      </c>
      <c r="I389" s="243" t="s">
        <v>299</v>
      </c>
      <c r="J389" s="243" t="s">
        <v>300</v>
      </c>
      <c r="K389" s="255">
        <v>400</v>
      </c>
      <c r="L389" s="249">
        <v>0.84999999999999987</v>
      </c>
      <c r="M389" s="256">
        <v>0.95099999999999985</v>
      </c>
      <c r="N389" s="248">
        <f t="shared" si="945"/>
        <v>17.856349525042535</v>
      </c>
      <c r="O389" s="248">
        <f t="shared" si="946"/>
        <v>0</v>
      </c>
      <c r="P389" s="249" t="str">
        <f t="shared" si="947"/>
        <v>0.00</v>
      </c>
      <c r="Q389" s="256">
        <v>25</v>
      </c>
      <c r="R389" s="256">
        <v>0</v>
      </c>
      <c r="S389" s="256">
        <f t="shared" si="948"/>
        <v>0</v>
      </c>
      <c r="T389" s="249" t="s">
        <v>131</v>
      </c>
      <c r="U389" s="256" t="s">
        <v>390</v>
      </c>
      <c r="V389" s="249">
        <v>35</v>
      </c>
      <c r="W389" s="249" t="str">
        <f t="shared" si="949"/>
        <v>3.5C X 35</v>
      </c>
      <c r="X389" s="249" t="str">
        <f t="shared" si="950"/>
        <v>3.5C X 35</v>
      </c>
      <c r="Y389" s="249" t="s">
        <v>314</v>
      </c>
      <c r="Z389" s="250">
        <f>IF(T389="AIR",VLOOKUP(W389,'Catalogue Aluminium'!$B$9:$G$91,2,FALSE),IF(T389="GROUND",VLOOKUP(W389,'Catalogue Aluminium'!$B$9:$G$91,3,FALSE),IF(T389="DUCT",VLOOKUP(W389,'Catalogue Aluminium'!$B$9:$G$91,4,FALSE),IF(T389="TRENCH",VLOOKUP(W389,'Catalogue Aluminium'!$B$9:$G$91,2,FALSE)))))</f>
        <v>117</v>
      </c>
      <c r="AA389" s="251">
        <f>VLOOKUP(W389,'Catalogue Aluminium'!$B$9:$G$91,5,FALSE)</f>
        <v>1.1100000000000001</v>
      </c>
      <c r="AB389" s="251">
        <f>VLOOKUP(W389,'Catalogue Aluminium'!$B$9:$G$91,6,FALSE)</f>
        <v>7.9399999999999998E-2</v>
      </c>
      <c r="AC389" s="285">
        <v>36</v>
      </c>
      <c r="AD389" s="294">
        <f>206</f>
        <v>206</v>
      </c>
      <c r="AE389" s="294">
        <f t="shared" ref="AE389" si="966">11+8+8+11</f>
        <v>38</v>
      </c>
      <c r="AF389" s="294">
        <f t="shared" si="965"/>
        <v>10</v>
      </c>
      <c r="AG389" s="294">
        <f t="shared" si="951"/>
        <v>29</v>
      </c>
      <c r="AH389" s="253">
        <f t="shared" si="952"/>
        <v>319</v>
      </c>
      <c r="AI389" s="250">
        <f>IF(T389="AIR",'Catalogue Aluminium'!$K$9,IF(T389="TRENCH",'Catalogue Aluminium'!$K$12,"NA"))</f>
        <v>0.89</v>
      </c>
      <c r="AJ389" s="248">
        <f>IF(T389="Air",(IF(U389="1C",'Catalogue Aluminium'!$L$9,'Catalogue Aluminium'!$M$9)),IF(T389="DUCT",(IF($U389="1C",'Catalogue Aluminium'!$L$10,'Catalogue Aluminium'!$M$10)),IF(T389="GROUND",(IF($U389="1C",'Catalogue Aluminium'!$L$11,'Catalogue Aluminium'!$M$11)),IF(T389="TRENCH",(IF($U389="1C",'Catalogue Aluminium'!$L$12,'Catalogue Aluminium'!$M$12))))))</f>
        <v>0.66</v>
      </c>
      <c r="AK389" s="250" t="str">
        <f>IF(T389="Air",'Catalogue Aluminium'!$N$9,IF(T389="GROUND",'Catalogue Aluminium'!$N$10,IF(T389="DUCT",'Catalogue Aluminium'!$N$11,IF(T389="TRENCH",'Catalogue Aluminium'!$N$12,"NA"))))</f>
        <v>NA</v>
      </c>
      <c r="AL389" s="250" t="str">
        <f>IF(T389="Air",(IF(U389="1C",'Catalogue Aluminium'!$O$9,'Catalogue Aluminium'!$P$9)),IF(T389="DUCT",(IF($U389="1C",'Catalogue Aluminium'!$O$10,'Catalogue Aluminium'!$P$10)),IF(T389="GROUND",(IF($U389="1C",'Catalogue Aluminium'!$O$11,'Catalogue Aluminium'!$P$11)),IF(T389="TRENCH",(IF($U389="1C",'Catalogue Aluminium'!$O$12,'Catalogue Aluminium'!$P$12))))))</f>
        <v>NA</v>
      </c>
      <c r="AM389" s="250" t="str">
        <f>IF(T389="AIR","NA",IF(T389="TRENCH","NA",IF(T389="DUCT",IF(U389="1C",VLOOKUP(V389,'Catalogue Aluminium'!$Q$9:$S$28,2,FALSE),VLOOKUP(V389,'Catalogue Aluminium'!$Q$9:$S$28,3)),IF(T389="GROUND",IF(U389="1C",VLOOKUP(V389,'Catalogue Aluminium'!$Q$9:$S$28,2,FALSE),VLOOKUP(V389,'Catalogue Aluminium'!$Q$9:$S$28,3))))))</f>
        <v>NA</v>
      </c>
      <c r="AN389" s="257">
        <f t="shared" si="953"/>
        <v>0.58740000000000003</v>
      </c>
      <c r="AO389" s="256">
        <f t="shared" si="954"/>
        <v>68.725800000000007</v>
      </c>
      <c r="AP389" s="255">
        <f t="shared" si="955"/>
        <v>1</v>
      </c>
      <c r="AQ389" s="256" t="str">
        <f t="shared" si="956"/>
        <v>YES</v>
      </c>
      <c r="AR389" s="257">
        <f t="shared" si="957"/>
        <v>2.4303240274699531</v>
      </c>
      <c r="AS389" s="249" t="str">
        <f t="shared" si="958"/>
        <v>YES</v>
      </c>
      <c r="AT389" s="257" t="str">
        <f t="shared" si="959"/>
        <v>NA</v>
      </c>
      <c r="AU389" s="249" t="str">
        <f t="shared" si="960"/>
        <v>NA</v>
      </c>
      <c r="AV389" s="257" t="str">
        <f t="shared" si="961"/>
        <v>1R x 0.6/1kV x 3.5C x 35 Sqmm</v>
      </c>
      <c r="AW389" s="257" t="str">
        <f t="shared" si="962"/>
        <v>1R x 0.6/1kV x 3.5C x 35 Sqmm</v>
      </c>
      <c r="AX389" s="249">
        <f t="shared" si="963"/>
        <v>319</v>
      </c>
      <c r="AY389" s="249"/>
    </row>
    <row r="390" spans="1:51" ht="28.5" customHeight="1">
      <c r="A390" s="243">
        <f t="shared" si="964"/>
        <v>262</v>
      </c>
      <c r="B390" s="285" t="s">
        <v>697</v>
      </c>
      <c r="C390" s="243" t="s">
        <v>693</v>
      </c>
      <c r="D390" s="244" t="s">
        <v>698</v>
      </c>
      <c r="E390" s="352" t="s">
        <v>667</v>
      </c>
      <c r="F390" s="545"/>
      <c r="G390" s="243" t="s">
        <v>298</v>
      </c>
      <c r="H390" s="304">
        <v>5</v>
      </c>
      <c r="I390" s="243" t="s">
        <v>299</v>
      </c>
      <c r="J390" s="243" t="s">
        <v>300</v>
      </c>
      <c r="K390" s="255">
        <v>400</v>
      </c>
      <c r="L390" s="249">
        <v>0.84999999999999987</v>
      </c>
      <c r="M390" s="256">
        <v>0.95099999999999985</v>
      </c>
      <c r="N390" s="248">
        <f t="shared" si="945"/>
        <v>8.9281747625212677</v>
      </c>
      <c r="O390" s="248">
        <f t="shared" si="946"/>
        <v>0</v>
      </c>
      <c r="P390" s="249" t="str">
        <f t="shared" si="947"/>
        <v>0.00</v>
      </c>
      <c r="Q390" s="256">
        <v>25</v>
      </c>
      <c r="R390" s="256">
        <v>0</v>
      </c>
      <c r="S390" s="256">
        <f t="shared" si="948"/>
        <v>0</v>
      </c>
      <c r="T390" s="249" t="s">
        <v>131</v>
      </c>
      <c r="U390" s="256" t="s">
        <v>377</v>
      </c>
      <c r="V390" s="249">
        <v>16</v>
      </c>
      <c r="W390" s="249" t="str">
        <f t="shared" si="949"/>
        <v>4C X 16</v>
      </c>
      <c r="X390" s="249" t="str">
        <f t="shared" si="950"/>
        <v>4C X 16</v>
      </c>
      <c r="Y390" s="249" t="s">
        <v>314</v>
      </c>
      <c r="Z390" s="250">
        <f>IF(T390="AIR",VLOOKUP(W390,'Catalogue Aluminium'!$B$9:$G$91,2,FALSE),IF(T390="GROUND",VLOOKUP(W390,'Catalogue Aluminium'!$B$9:$G$91,3,FALSE),IF(T390="DUCT",VLOOKUP(W390,'Catalogue Aluminium'!$B$9:$G$91,4,FALSE),IF(T390="TRENCH",VLOOKUP(W390,'Catalogue Aluminium'!$B$9:$G$91,2,FALSE)))))</f>
        <v>70</v>
      </c>
      <c r="AA390" s="251">
        <f>VLOOKUP(W390,'Catalogue Aluminium'!$B$9:$G$91,5,FALSE)</f>
        <v>2.44</v>
      </c>
      <c r="AB390" s="251">
        <f>VLOOKUP(W390,'Catalogue Aluminium'!$B$9:$G$91,6,FALSE)</f>
        <v>8.1500000000000003E-2</v>
      </c>
      <c r="AC390" s="285">
        <v>36</v>
      </c>
      <c r="AD390" s="413">
        <f>68+22+53+34</f>
        <v>177</v>
      </c>
      <c r="AE390" s="294">
        <f>8+7</f>
        <v>15</v>
      </c>
      <c r="AF390" s="294">
        <v>5</v>
      </c>
      <c r="AG390" s="294">
        <f t="shared" si="951"/>
        <v>24</v>
      </c>
      <c r="AH390" s="253">
        <f t="shared" si="952"/>
        <v>257</v>
      </c>
      <c r="AI390" s="250">
        <f>IF(T390="AIR",'Catalogue Aluminium'!$K$9,IF(T390="TRENCH",'Catalogue Aluminium'!$K$12,"NA"))</f>
        <v>0.89</v>
      </c>
      <c r="AJ390" s="248">
        <f>IF(T390="Air",(IF(U390="1C",'Catalogue Aluminium'!$L$9,'Catalogue Aluminium'!$M$9)),IF(T390="DUCT",(IF($U390="1C",'Catalogue Aluminium'!$L$10,'Catalogue Aluminium'!$M$10)),IF(T390="GROUND",(IF($U390="1C",'Catalogue Aluminium'!$L$11,'Catalogue Aluminium'!$M$11)),IF(T390="TRENCH",(IF($U390="1C",'Catalogue Aluminium'!$L$12,'Catalogue Aluminium'!$M$12))))))</f>
        <v>0.66</v>
      </c>
      <c r="AK390" s="250" t="str">
        <f>IF(T390="Air",'Catalogue Aluminium'!$N$9,IF(T390="GROUND",'Catalogue Aluminium'!$N$10,IF(T390="DUCT",'Catalogue Aluminium'!$N$11,IF(T390="TRENCH",'Catalogue Aluminium'!$N$12,"NA"))))</f>
        <v>NA</v>
      </c>
      <c r="AL390" s="250" t="str">
        <f>IF(T390="Air",(IF(U390="1C",'Catalogue Aluminium'!$O$9,'Catalogue Aluminium'!$P$9)),IF(T390="DUCT",(IF($U390="1C",'Catalogue Aluminium'!$O$10,'Catalogue Aluminium'!$P$10)),IF(T390="GROUND",(IF($U390="1C",'Catalogue Aluminium'!$O$11,'Catalogue Aluminium'!$P$11)),IF(T390="TRENCH",(IF($U390="1C",'Catalogue Aluminium'!$O$12,'Catalogue Aluminium'!$P$12))))))</f>
        <v>NA</v>
      </c>
      <c r="AM390" s="250" t="str">
        <f>IF(T390="AIR","NA",IF(T390="TRENCH","NA",IF(T390="DUCT",IF(U390="1C",VLOOKUP(V390,'Catalogue Aluminium'!$Q$9:$S$28,2,FALSE),VLOOKUP(V390,'Catalogue Aluminium'!$Q$9:$S$28,3)),IF(T390="GROUND",IF(U390="1C",VLOOKUP(V390,'Catalogue Aluminium'!$Q$9:$S$28,2,FALSE),VLOOKUP(V390,'Catalogue Aluminium'!$Q$9:$S$28,3))))))</f>
        <v>NA</v>
      </c>
      <c r="AN390" s="257">
        <f t="shared" si="953"/>
        <v>0.58740000000000003</v>
      </c>
      <c r="AO390" s="256">
        <f t="shared" si="954"/>
        <v>41.118000000000002</v>
      </c>
      <c r="AP390" s="255">
        <f t="shared" si="955"/>
        <v>1</v>
      </c>
      <c r="AQ390" s="256" t="str">
        <f t="shared" si="956"/>
        <v>YES</v>
      </c>
      <c r="AR390" s="257">
        <f t="shared" si="957"/>
        <v>2.1033110902490217</v>
      </c>
      <c r="AS390" s="249" t="str">
        <f t="shared" si="958"/>
        <v>YES</v>
      </c>
      <c r="AT390" s="257" t="str">
        <f t="shared" si="959"/>
        <v>NA</v>
      </c>
      <c r="AU390" s="249" t="str">
        <f t="shared" si="960"/>
        <v>NA</v>
      </c>
      <c r="AV390" s="257" t="str">
        <f t="shared" si="961"/>
        <v>1R x 0.6/1kV x 4C x 16 Sqmm</v>
      </c>
      <c r="AW390" s="257" t="str">
        <f t="shared" si="962"/>
        <v>1R x 0.6/1kV x 4C x 16 Sqmm</v>
      </c>
      <c r="AX390" s="249">
        <f t="shared" si="963"/>
        <v>257</v>
      </c>
      <c r="AY390" s="249"/>
    </row>
    <row r="391" spans="1:51">
      <c r="A391" s="243">
        <f t="shared" si="964"/>
        <v>263</v>
      </c>
      <c r="B391" s="285" t="s">
        <v>699</v>
      </c>
      <c r="C391" s="243" t="s">
        <v>693</v>
      </c>
      <c r="D391" s="244" t="s">
        <v>700</v>
      </c>
      <c r="E391" s="352" t="s">
        <v>670</v>
      </c>
      <c r="F391" s="545"/>
      <c r="G391" s="243" t="s">
        <v>298</v>
      </c>
      <c r="H391" s="304">
        <v>5</v>
      </c>
      <c r="I391" s="243" t="s">
        <v>299</v>
      </c>
      <c r="J391" s="243" t="s">
        <v>300</v>
      </c>
      <c r="K391" s="255">
        <v>400</v>
      </c>
      <c r="L391" s="249">
        <v>0.84999999999999987</v>
      </c>
      <c r="M391" s="256">
        <v>0.95099999999999985</v>
      </c>
      <c r="N391" s="248">
        <f t="shared" si="945"/>
        <v>8.9281747625212677</v>
      </c>
      <c r="O391" s="248">
        <f t="shared" si="946"/>
        <v>0</v>
      </c>
      <c r="P391" s="249" t="str">
        <f t="shared" si="947"/>
        <v>0.00</v>
      </c>
      <c r="Q391" s="256">
        <v>25</v>
      </c>
      <c r="R391" s="256">
        <v>0</v>
      </c>
      <c r="S391" s="256">
        <f t="shared" si="948"/>
        <v>0</v>
      </c>
      <c r="T391" s="249" t="s">
        <v>131</v>
      </c>
      <c r="U391" s="256" t="s">
        <v>390</v>
      </c>
      <c r="V391" s="249">
        <v>25</v>
      </c>
      <c r="W391" s="249" t="str">
        <f t="shared" si="949"/>
        <v>3.5C X 25</v>
      </c>
      <c r="X391" s="249" t="str">
        <f t="shared" si="950"/>
        <v>3.5C X 25</v>
      </c>
      <c r="Y391" s="249" t="s">
        <v>314</v>
      </c>
      <c r="Z391" s="250">
        <f>IF(T391="AIR",VLOOKUP(W391,'Catalogue Aluminium'!$B$9:$G$91,2,FALSE),IF(T391="GROUND",VLOOKUP(W391,'Catalogue Aluminium'!$B$9:$G$91,3,FALSE),IF(T391="DUCT",VLOOKUP(W391,'Catalogue Aluminium'!$B$9:$G$91,4,FALSE),IF(T391="TRENCH",VLOOKUP(W391,'Catalogue Aluminium'!$B$9:$G$91,2,FALSE)))))</f>
        <v>95</v>
      </c>
      <c r="AA391" s="251">
        <f>VLOOKUP(W391,'Catalogue Aluminium'!$B$9:$G$91,5,FALSE)</f>
        <v>1.54</v>
      </c>
      <c r="AB391" s="251">
        <f>VLOOKUP(W391,'Catalogue Aluminium'!$B$9:$G$91,6,FALSE)</f>
        <v>8.1600000000000006E-2</v>
      </c>
      <c r="AC391" s="285"/>
      <c r="AD391" s="413">
        <v>371</v>
      </c>
      <c r="AE391" s="294">
        <f>8+7+8+8+5+7</f>
        <v>43</v>
      </c>
      <c r="AF391" s="294">
        <v>5</v>
      </c>
      <c r="AG391" s="294">
        <f t="shared" si="951"/>
        <v>42</v>
      </c>
      <c r="AH391" s="253">
        <f t="shared" si="952"/>
        <v>461</v>
      </c>
      <c r="AI391" s="250">
        <f>IF(T391="AIR",'Catalogue Aluminium'!$K$9,IF(T391="TRENCH",'Catalogue Aluminium'!$K$12,"NA"))</f>
        <v>0.89</v>
      </c>
      <c r="AJ391" s="248">
        <f>IF(T391="Air",(IF(U391="1C",'Catalogue Aluminium'!$L$9,'Catalogue Aluminium'!$M$9)),IF(T391="DUCT",(IF($U391="1C",'Catalogue Aluminium'!$L$10,'Catalogue Aluminium'!$M$10)),IF(T391="GROUND",(IF($U391="1C",'Catalogue Aluminium'!$L$11,'Catalogue Aluminium'!$M$11)),IF(T391="TRENCH",(IF($U391="1C",'Catalogue Aluminium'!$L$12,'Catalogue Aluminium'!$M$12))))))</f>
        <v>0.66</v>
      </c>
      <c r="AK391" s="250" t="str">
        <f>IF(T391="Air",'Catalogue Aluminium'!$N$9,IF(T391="GROUND",'Catalogue Aluminium'!$N$10,IF(T391="DUCT",'Catalogue Aluminium'!$N$11,IF(T391="TRENCH",'Catalogue Aluminium'!$N$12,"NA"))))</f>
        <v>NA</v>
      </c>
      <c r="AL391" s="250" t="str">
        <f>IF(T391="Air",(IF(U391="1C",'Catalogue Aluminium'!$O$9,'Catalogue Aluminium'!$P$9)),IF(T391="DUCT",(IF($U391="1C",'Catalogue Aluminium'!$O$10,'Catalogue Aluminium'!$P$10)),IF(T391="GROUND",(IF($U391="1C",'Catalogue Aluminium'!$O$11,'Catalogue Aluminium'!$P$11)),IF(T391="TRENCH",(IF($U391="1C",'Catalogue Aluminium'!$O$12,'Catalogue Aluminium'!$P$12))))))</f>
        <v>NA</v>
      </c>
      <c r="AM391" s="250" t="str">
        <f>IF(T391="AIR","NA",IF(T391="TRENCH","NA",IF(T391="DUCT",IF(U391="1C",VLOOKUP(V391,'Catalogue Aluminium'!$Q$9:$S$28,2,FALSE),VLOOKUP(V391,'Catalogue Aluminium'!$Q$9:$S$28,3)),IF(T391="GROUND",IF(U391="1C",VLOOKUP(V391,'Catalogue Aluminium'!$Q$9:$S$28,2,FALSE),VLOOKUP(V391,'Catalogue Aluminium'!$Q$9:$S$28,3))))))</f>
        <v>NA</v>
      </c>
      <c r="AN391" s="257">
        <f t="shared" si="953"/>
        <v>0.58740000000000003</v>
      </c>
      <c r="AO391" s="256">
        <f t="shared" si="954"/>
        <v>55.803000000000004</v>
      </c>
      <c r="AP391" s="255">
        <f t="shared" si="955"/>
        <v>1</v>
      </c>
      <c r="AQ391" s="256" t="str">
        <f t="shared" si="956"/>
        <v>YES</v>
      </c>
      <c r="AR391" s="257">
        <f t="shared" si="957"/>
        <v>2.4095518018337718</v>
      </c>
      <c r="AS391" s="249" t="str">
        <f t="shared" si="958"/>
        <v>YES</v>
      </c>
      <c r="AT391" s="257" t="str">
        <f t="shared" si="959"/>
        <v>NA</v>
      </c>
      <c r="AU391" s="249" t="str">
        <f t="shared" si="960"/>
        <v>NA</v>
      </c>
      <c r="AV391" s="257" t="str">
        <f t="shared" si="961"/>
        <v>1R x 0.6/1kV x 3.5C x 25 Sqmm</v>
      </c>
      <c r="AW391" s="257" t="str">
        <f t="shared" si="962"/>
        <v>1R x 0.6/1kV x 3.5C x 25 Sqmm</v>
      </c>
      <c r="AX391" s="249">
        <f t="shared" si="963"/>
        <v>461</v>
      </c>
      <c r="AY391" s="249"/>
    </row>
    <row r="392" spans="1:51">
      <c r="A392" s="243">
        <f t="shared" si="964"/>
        <v>264</v>
      </c>
      <c r="B392" s="285" t="s">
        <v>701</v>
      </c>
      <c r="C392" s="243" t="s">
        <v>693</v>
      </c>
      <c r="D392" s="244" t="s">
        <v>702</v>
      </c>
      <c r="E392" s="351" t="s">
        <v>304</v>
      </c>
      <c r="F392" s="410"/>
      <c r="G392" s="243" t="s">
        <v>298</v>
      </c>
      <c r="H392" s="304">
        <v>5</v>
      </c>
      <c r="I392" s="243" t="s">
        <v>299</v>
      </c>
      <c r="J392" s="243" t="s">
        <v>300</v>
      </c>
      <c r="K392" s="255">
        <v>400</v>
      </c>
      <c r="L392" s="249">
        <v>0.84999999999999987</v>
      </c>
      <c r="M392" s="256">
        <v>0.95099999999999985</v>
      </c>
      <c r="N392" s="248">
        <f t="shared" si="945"/>
        <v>8.9281747625212677</v>
      </c>
      <c r="O392" s="248">
        <f t="shared" ref="O392" si="967">IF(G392="MOTOR",(6*N392),IF(G392="VFD",(1*N392),0))</f>
        <v>0</v>
      </c>
      <c r="P392" s="249" t="str">
        <f t="shared" ref="P392" si="968">IF(G392="MOTOR",0.2,"0.00")</f>
        <v>0.00</v>
      </c>
      <c r="Q392" s="256">
        <v>25</v>
      </c>
      <c r="R392" s="256">
        <v>0</v>
      </c>
      <c r="S392" s="256">
        <f t="shared" ref="S392" si="969">(Q392*1000*SQRT(R392)/143)</f>
        <v>0</v>
      </c>
      <c r="T392" s="249" t="s">
        <v>131</v>
      </c>
      <c r="U392" s="256" t="s">
        <v>377</v>
      </c>
      <c r="V392" s="249">
        <v>10</v>
      </c>
      <c r="W392" s="249" t="str">
        <f t="shared" ref="W392" si="970">CONCATENATE(U392," X ",V392)</f>
        <v>4C X 10</v>
      </c>
      <c r="X392" s="249" t="str">
        <f t="shared" ref="X392" si="971">(IF(J392="1Ph",W392,IF(J392="3Ph",(IF(G392="MOTOR",(CONCATENATE(W392,"+PE")),W392)))))</f>
        <v>4C X 10</v>
      </c>
      <c r="Y392" s="249" t="s">
        <v>314</v>
      </c>
      <c r="Z392" s="250">
        <f>IF(T392="AIR",VLOOKUP(W392,'Catalogue Aluminium'!$B$9:$G$91,2,FALSE),IF(T392="GROUND",VLOOKUP(W392,'Catalogue Aluminium'!$B$9:$G$91,3,FALSE),IF(T392="DUCT",VLOOKUP(W392,'Catalogue Aluminium'!$B$9:$G$91,4,FALSE),IF(T392="TRENCH",VLOOKUP(W392,'Catalogue Aluminium'!$B$9:$G$91,2,FALSE)))))</f>
        <v>60</v>
      </c>
      <c r="AA392" s="251">
        <f>VLOOKUP(W392,'Catalogue Aluminium'!$B$9:$G$91,5,FALSE)</f>
        <v>3.94</v>
      </c>
      <c r="AB392" s="251">
        <f>VLOOKUP(W392,'Catalogue Aluminium'!$B$9:$G$91,6,FALSE)</f>
        <v>8.5199999999999998E-2</v>
      </c>
      <c r="AC392" s="285">
        <v>29</v>
      </c>
      <c r="AD392" s="413">
        <v>0</v>
      </c>
      <c r="AE392" s="294">
        <v>10</v>
      </c>
      <c r="AF392" s="294">
        <v>5</v>
      </c>
      <c r="AG392" s="294">
        <f t="shared" ref="AG392" si="972">ROUNDUP((SUM(AC392:AF392)*0.1),0)</f>
        <v>5</v>
      </c>
      <c r="AH392" s="253">
        <f t="shared" ref="AH392" si="973">SUM(AC392:AG392)</f>
        <v>49</v>
      </c>
      <c r="AI392" s="250">
        <f>IF(T392="AIR",'Catalogue Aluminium'!$K$9,IF(T392="TRENCH",'Catalogue Aluminium'!$K$12,"NA"))</f>
        <v>0.89</v>
      </c>
      <c r="AJ392" s="248">
        <f>IF(T392="Air",(IF(U392="1C",'Catalogue Aluminium'!$L$9,'Catalogue Aluminium'!$M$9)),IF(T392="DUCT",(IF($U392="1C",'Catalogue Aluminium'!$L$10,'Catalogue Aluminium'!$M$10)),IF(T392="GROUND",(IF($U392="1C",'Catalogue Aluminium'!$L$11,'Catalogue Aluminium'!$M$11)),IF(T392="TRENCH",(IF($U392="1C",'Catalogue Aluminium'!$L$12,'Catalogue Aluminium'!$M$12))))))</f>
        <v>0.66</v>
      </c>
      <c r="AK392" s="250" t="str">
        <f>IF(T392="Air",'Catalogue Aluminium'!$N$9,IF(T392="GROUND",'Catalogue Aluminium'!$N$10,IF(T392="DUCT",'Catalogue Aluminium'!$N$11,IF(T392="TRENCH",'Catalogue Aluminium'!$N$12,"NA"))))</f>
        <v>NA</v>
      </c>
      <c r="AL392" s="250" t="str">
        <f>IF(T392="Air",(IF(U392="1C",'Catalogue Aluminium'!$O$9,'Catalogue Aluminium'!$P$9)),IF(T392="DUCT",(IF($U392="1C",'Catalogue Aluminium'!$O$10,'Catalogue Aluminium'!$P$10)),IF(T392="GROUND",(IF($U392="1C",'Catalogue Aluminium'!$O$11,'Catalogue Aluminium'!$P$11)),IF(T392="TRENCH",(IF($U392="1C",'Catalogue Aluminium'!$O$12,'Catalogue Aluminium'!$P$12))))))</f>
        <v>NA</v>
      </c>
      <c r="AM392" s="250" t="str">
        <f>IF(T392="AIR","NA",IF(T392="TRENCH","NA",IF(T392="DUCT",IF(U392="1C",VLOOKUP(V392,'Catalogue Aluminium'!$Q$9:$S$28,2,FALSE),VLOOKUP(V392,'Catalogue Aluminium'!$Q$9:$S$28,3)),IF(T392="GROUND",IF(U392="1C",VLOOKUP(V392,'Catalogue Aluminium'!$Q$9:$S$28,2,FALSE),VLOOKUP(V392,'Catalogue Aluminium'!$Q$9:$S$28,3))))))</f>
        <v>NA</v>
      </c>
      <c r="AN392" s="257">
        <f t="shared" ref="AN392" si="974">IF(T392="AIR",AI392*AJ392,IF(T392="TRENCH",AI392*AJ392,IF(T392="DUCT",AJ392*AK392*AL392*AM392,IF(T392="GROUND",AJ392*AK392*AL392*AM392))))</f>
        <v>0.58740000000000003</v>
      </c>
      <c r="AO392" s="256">
        <f t="shared" ref="AO392" si="975">Z392*AN392</f>
        <v>35.244</v>
      </c>
      <c r="AP392" s="255">
        <f t="shared" si="955"/>
        <v>1</v>
      </c>
      <c r="AQ392" s="256" t="str">
        <f t="shared" ref="AQ392" si="976">IF(AO392*AP392&gt;=N392,"YES","NO")</f>
        <v>YES</v>
      </c>
      <c r="AR392" s="257">
        <f t="shared" ref="AR392" si="977">SQRT(3)*AH392*N392*((AA392*L392)+(AB392*SIN(ACOS(L392))))*100/(AP392*K392*1000)</f>
        <v>0.64291879568945154</v>
      </c>
      <c r="AS392" s="249" t="str">
        <f t="shared" si="958"/>
        <v>YES</v>
      </c>
      <c r="AT392" s="257" t="str">
        <f t="shared" si="959"/>
        <v>NA</v>
      </c>
      <c r="AU392" s="249" t="str">
        <f t="shared" si="960"/>
        <v>NA</v>
      </c>
      <c r="AV392" s="257" t="str">
        <f t="shared" si="961"/>
        <v>1R x 0.6/1kV x 4C x 10 Sqmm</v>
      </c>
      <c r="AW392" s="257" t="str">
        <f t="shared" si="962"/>
        <v>1R x 0.6/1kV x 4C x 10 Sqmm</v>
      </c>
      <c r="AX392" s="249">
        <f t="shared" si="963"/>
        <v>49</v>
      </c>
      <c r="AY392" s="249"/>
    </row>
    <row r="393" spans="1:51">
      <c r="A393" s="243">
        <f t="shared" si="964"/>
        <v>265</v>
      </c>
      <c r="B393" s="373" t="s">
        <v>581</v>
      </c>
      <c r="C393" s="243" t="str">
        <f t="shared" ref="C393" si="978">$D$385</f>
        <v>EMLDB-1</v>
      </c>
      <c r="D393" s="351" t="s">
        <v>703</v>
      </c>
      <c r="E393" s="351" t="s">
        <v>304</v>
      </c>
      <c r="F393" s="410"/>
      <c r="G393" s="246" t="s">
        <v>306</v>
      </c>
      <c r="H393" s="304">
        <v>30</v>
      </c>
      <c r="I393" s="243" t="s">
        <v>299</v>
      </c>
      <c r="J393" s="243" t="s">
        <v>300</v>
      </c>
      <c r="K393" s="255">
        <v>400</v>
      </c>
      <c r="L393" s="249">
        <v>0.84999999999999987</v>
      </c>
      <c r="M393" s="256">
        <v>0.95099999999999985</v>
      </c>
      <c r="N393" s="248">
        <v>63</v>
      </c>
      <c r="O393" s="292"/>
      <c r="P393" s="293"/>
      <c r="Q393" s="293"/>
      <c r="R393" s="293"/>
      <c r="S393" s="293"/>
      <c r="T393" s="293"/>
      <c r="U393" s="293"/>
      <c r="V393" s="293"/>
      <c r="W393" s="293"/>
      <c r="X393" s="293"/>
      <c r="Y393" s="293"/>
      <c r="Z393" s="293"/>
      <c r="AA393" s="293"/>
      <c r="AB393" s="293"/>
      <c r="AC393" s="606"/>
      <c r="AD393" s="606"/>
      <c r="AE393" s="606"/>
      <c r="AF393" s="606"/>
      <c r="AG393" s="606"/>
      <c r="AH393" s="293"/>
      <c r="AI393" s="293"/>
      <c r="AJ393" s="293"/>
      <c r="AK393" s="293"/>
      <c r="AL393" s="293"/>
      <c r="AM393" s="293"/>
      <c r="AN393" s="293"/>
      <c r="AO393" s="293"/>
      <c r="AP393" s="293"/>
      <c r="AQ393" s="293"/>
      <c r="AR393" s="293"/>
      <c r="AS393" s="293"/>
      <c r="AT393" s="293"/>
      <c r="AU393" s="293"/>
      <c r="AV393" s="293"/>
      <c r="AW393" s="293"/>
      <c r="AX393" s="293"/>
      <c r="AY393" s="293"/>
    </row>
    <row r="394" spans="1:51" s="70" customFormat="1" ht="26.25" customHeight="1">
      <c r="A394" s="376"/>
      <c r="B394" s="376"/>
      <c r="C394" s="376"/>
      <c r="D394" s="242" t="s">
        <v>704</v>
      </c>
      <c r="E394" s="378"/>
      <c r="F394" s="566"/>
      <c r="G394" s="376"/>
      <c r="H394" s="379"/>
      <c r="I394" s="376"/>
      <c r="J394" s="376"/>
      <c r="K394" s="380"/>
      <c r="L394" s="381"/>
      <c r="M394" s="379"/>
      <c r="N394" s="382"/>
      <c r="O394" s="382"/>
      <c r="P394" s="381"/>
      <c r="Q394" s="379"/>
      <c r="R394" s="379"/>
      <c r="S394" s="379"/>
      <c r="T394" s="381"/>
      <c r="U394" s="379"/>
      <c r="V394" s="381"/>
      <c r="W394" s="381"/>
      <c r="X394" s="381"/>
      <c r="Y394" s="381"/>
      <c r="Z394" s="383"/>
      <c r="AA394" s="384"/>
      <c r="AB394" s="384"/>
      <c r="AC394" s="570"/>
      <c r="AD394" s="570"/>
      <c r="AE394" s="570"/>
      <c r="AF394" s="570"/>
      <c r="AG394" s="570"/>
      <c r="AH394" s="385"/>
      <c r="AI394" s="383"/>
      <c r="AJ394" s="382"/>
      <c r="AK394" s="383"/>
      <c r="AL394" s="383"/>
      <c r="AM394" s="383"/>
      <c r="AN394" s="386"/>
      <c r="AO394" s="379"/>
      <c r="AP394" s="380"/>
      <c r="AQ394" s="379"/>
      <c r="AR394" s="386"/>
      <c r="AS394" s="381"/>
      <c r="AT394" s="386"/>
      <c r="AU394" s="386"/>
      <c r="AV394" s="387"/>
      <c r="AW394" s="387"/>
      <c r="AX394" s="381"/>
      <c r="AY394" s="388"/>
    </row>
    <row r="395" spans="1:51">
      <c r="A395" s="243">
        <f>1+A393</f>
        <v>266</v>
      </c>
      <c r="B395" s="285" t="s">
        <v>705</v>
      </c>
      <c r="C395" s="243" t="s">
        <v>706</v>
      </c>
      <c r="D395" s="244" t="s">
        <v>707</v>
      </c>
      <c r="E395" s="352" t="s">
        <v>304</v>
      </c>
      <c r="F395" s="410"/>
      <c r="G395" s="243" t="s">
        <v>298</v>
      </c>
      <c r="H395" s="304">
        <v>5</v>
      </c>
      <c r="I395" s="243" t="s">
        <v>299</v>
      </c>
      <c r="J395" s="243" t="s">
        <v>300</v>
      </c>
      <c r="K395" s="255">
        <v>400</v>
      </c>
      <c r="L395" s="249">
        <v>0.84999999999999987</v>
      </c>
      <c r="M395" s="256">
        <v>0.95099999999999985</v>
      </c>
      <c r="N395" s="248">
        <f t="shared" ref="N395:N404" si="979">IF(I395="kVA",IF(J395="3Ph",(H395*1000/(1.732*M395*K395)),(H395*1000/(M395*K395))),IF(I395="kW",IF(J395="3Ph",(H395*1000/(1.732*M395*K395*L395)),(H395*1000/(M395*K395*L395)))))</f>
        <v>8.9281747625212677</v>
      </c>
      <c r="O395" s="248">
        <f t="shared" ref="O395:O400" si="980">IF(G395="MOTOR",(6*N395),IF(G395="VFD",(1*N395),0))</f>
        <v>0</v>
      </c>
      <c r="P395" s="249" t="str">
        <f t="shared" ref="P395:P400" si="981">IF(G395="MOTOR",0.2,"0.00")</f>
        <v>0.00</v>
      </c>
      <c r="Q395" s="256">
        <v>25</v>
      </c>
      <c r="R395" s="256">
        <v>0</v>
      </c>
      <c r="S395" s="256">
        <f t="shared" ref="S395:S400" si="982">(Q395*1000*SQRT(R395)/143)</f>
        <v>0</v>
      </c>
      <c r="T395" s="249" t="s">
        <v>131</v>
      </c>
      <c r="U395" s="256" t="s">
        <v>390</v>
      </c>
      <c r="V395" s="249">
        <v>35</v>
      </c>
      <c r="W395" s="249" t="str">
        <f t="shared" ref="W395:W400" si="983">CONCATENATE(U395," X ",V395)</f>
        <v>3.5C X 35</v>
      </c>
      <c r="X395" s="249" t="str">
        <f t="shared" ref="X395:X400" si="984">(IF(J395="1Ph",W395,IF(J395="3Ph",(IF(G395="MOTOR",(CONCATENATE(W395,"+PE")),W395)))))</f>
        <v>3.5C X 35</v>
      </c>
      <c r="Y395" s="249" t="s">
        <v>314</v>
      </c>
      <c r="Z395" s="250">
        <f>IF(T395="AIR",VLOOKUP(W395,'Catalogue Aluminium'!$B$9:$G$91,2,FALSE),IF(T395="GROUND",VLOOKUP(W395,'Catalogue Aluminium'!$B$9:$G$91,3,FALSE),IF(T395="DUCT",VLOOKUP(W395,'Catalogue Aluminium'!$B$9:$G$91,4,FALSE),IF(T395="TRENCH",VLOOKUP(W395,'Catalogue Aluminium'!$B$9:$G$91,2,FALSE)))))</f>
        <v>117</v>
      </c>
      <c r="AA395" s="251">
        <f>VLOOKUP(W395,'Catalogue Aluminium'!$B$9:$G$91,5,FALSE)</f>
        <v>1.1100000000000001</v>
      </c>
      <c r="AB395" s="251">
        <f>VLOOKUP(W395,'Catalogue Aluminium'!$B$9:$G$91,6,FALSE)</f>
        <v>7.9399999999999998E-2</v>
      </c>
      <c r="AC395" s="285">
        <v>13</v>
      </c>
      <c r="AD395" s="413">
        <v>0</v>
      </c>
      <c r="AE395" s="294">
        <v>5</v>
      </c>
      <c r="AF395" s="294">
        <v>5</v>
      </c>
      <c r="AG395" s="294">
        <f t="shared" ref="AG395:AG403" si="985">ROUNDUP((SUM(AC395:AF395)*0.1),0)</f>
        <v>3</v>
      </c>
      <c r="AH395" s="253">
        <f t="shared" ref="AH395:AH403" si="986">SUM(AC395:AG395)</f>
        <v>26</v>
      </c>
      <c r="AI395" s="250">
        <f>IF(T395="AIR",'Catalogue Aluminium'!$K$9,IF(T395="TRENCH",'Catalogue Aluminium'!$K$12,"NA"))</f>
        <v>0.89</v>
      </c>
      <c r="AJ395" s="248">
        <f>IF(T395="Air",(IF(U395="1C",'Catalogue Aluminium'!$L$9,'Catalogue Aluminium'!$M$9)),IF(T395="DUCT",(IF($U395="1C",'Catalogue Aluminium'!$L$10,'Catalogue Aluminium'!$M$10)),IF(T395="GROUND",(IF($U395="1C",'Catalogue Aluminium'!$L$11,'Catalogue Aluminium'!$M$11)),IF(T395="TRENCH",(IF($U395="1C",'Catalogue Aluminium'!$L$12,'Catalogue Aluminium'!$M$12))))))</f>
        <v>0.66</v>
      </c>
      <c r="AK395" s="250" t="str">
        <f>IF(T395="Air",'Catalogue Aluminium'!$N$9,IF(T395="GROUND",'Catalogue Aluminium'!$N$10,IF(T395="DUCT",'Catalogue Aluminium'!$N$11,IF(T395="TRENCH",'Catalogue Aluminium'!$N$12,"NA"))))</f>
        <v>NA</v>
      </c>
      <c r="AL395" s="250" t="str">
        <f>IF(T395="Air",(IF(U395="1C",'Catalogue Aluminium'!$O$9,'Catalogue Aluminium'!$P$9)),IF(T395="DUCT",(IF($U395="1C",'Catalogue Aluminium'!$O$10,'Catalogue Aluminium'!$P$10)),IF(T395="GROUND",(IF($U395="1C",'Catalogue Aluminium'!$O$11,'Catalogue Aluminium'!$P$11)),IF(T395="TRENCH",(IF($U395="1C",'Catalogue Aluminium'!$O$12,'Catalogue Aluminium'!$P$12))))))</f>
        <v>NA</v>
      </c>
      <c r="AM395" s="250" t="str">
        <f>IF(T395="AIR","NA",IF(T395="TRENCH","NA",IF(T395="DUCT",IF(U395="1C",VLOOKUP(V395,'Catalogue Aluminium'!$Q$9:$S$28,2,FALSE),VLOOKUP(V395,'Catalogue Aluminium'!$Q$9:$S$28,3)),IF(T395="GROUND",IF(U395="1C",VLOOKUP(V395,'Catalogue Aluminium'!$Q$9:$S$28,2,FALSE),VLOOKUP(V395,'Catalogue Aluminium'!$Q$9:$S$28,3))))))</f>
        <v>NA</v>
      </c>
      <c r="AN395" s="257">
        <f t="shared" ref="AN395:AN400" si="987">IF(T395="AIR",AI395*AJ395,IF(T395="TRENCH",AI395*AJ395,IF(T395="DUCT",AJ395*AK395*AL395*AM395,IF(T395="GROUND",AJ395*AK395*AL395*AM395))))</f>
        <v>0.58740000000000003</v>
      </c>
      <c r="AO395" s="256">
        <f t="shared" ref="AO395:AO400" si="988">Z395*AN395</f>
        <v>68.725800000000007</v>
      </c>
      <c r="AP395" s="255">
        <f t="shared" ref="AP395:AP404" si="989">CEILING(((N395)/AO395),1)</f>
        <v>1</v>
      </c>
      <c r="AQ395" s="256" t="str">
        <f t="shared" ref="AQ395:AQ400" si="990">IF(AO395*AP395&gt;=N395,"YES","NO")</f>
        <v>YES</v>
      </c>
      <c r="AR395" s="257">
        <f t="shared" ref="AR395:AR400" si="991">SQRT(3)*AH395*N395*((AA395*L395)+(AB395*SIN(ACOS(L395))))*100/(AP395*K395*1000)</f>
        <v>9.9041418047364882E-2</v>
      </c>
      <c r="AS395" s="249" t="str">
        <f>IF(G395="INCOMER",(IF(AR395&lt;=2,"YES","NO")),IF(G395="POWER",(IF(AR395&lt;=2.5,"YES","NO")),IF(G395="MOTOR",(IF(AR395&lt;=3,"YES","NO")))))</f>
        <v>YES</v>
      </c>
      <c r="AT395" s="257" t="str">
        <f t="shared" ref="AT395:AT404" si="992">IF(G395="MOTOR",(SQRT(3)*AH395*O395*((AA395*P395)+(AB395*SIN(ACOS(P395))))*100/(AP395*K395*1000)),"NA")</f>
        <v>NA</v>
      </c>
      <c r="AU395" s="249" t="str">
        <f t="shared" ref="AU395:AU404" si="993">IF(G395="MOTOR",IF(AT395&lt;=15,"YES","NO"),"NA")</f>
        <v>NA</v>
      </c>
      <c r="AV395" s="257" t="str">
        <f t="shared" ref="AV395:AV404" si="994">IF(U395="1C",CONCATENATE(AP395,"R x ",Y395,"kV x ",U395," x ",V395," Sqmm/Phase"),CONCATENATE(AP395,"R x ",0.6,"/1kV x ",U395," x ",V395," Sqmm"))</f>
        <v>1R x 0.6/1kV x 3.5C x 35 Sqmm</v>
      </c>
      <c r="AW395" s="257" t="str">
        <f t="shared" ref="AW395:AW404" si="995">IF(U395="1C",CONCATENATE(AP395,"R x ",Y395,"kV x ",U395," x ",V395," Sqmm/Phase"),CONCATENATE(AP395,"R x ",0.6,"/1kV x ",U395," x ",V395,(IF(G395="MOTOR","+PE",""))," Sqmm"))</f>
        <v>1R x 0.6/1kV x 3.5C x 35 Sqmm</v>
      </c>
      <c r="AX395" s="249">
        <f t="shared" ref="AX395:AX404" si="996">(IF(K395=400,(IF(U395="1C",(4*AH395*AP395),(AH395*AP395))),IF(K395=230,(AH395*AP395))))</f>
        <v>26</v>
      </c>
      <c r="AY395" s="249"/>
    </row>
    <row r="396" spans="1:51">
      <c r="A396" s="243">
        <f t="shared" ref="A396:A405" si="997">1+A395</f>
        <v>267</v>
      </c>
      <c r="B396" s="285" t="s">
        <v>708</v>
      </c>
      <c r="C396" s="243" t="s">
        <v>706</v>
      </c>
      <c r="D396" s="244" t="s">
        <v>709</v>
      </c>
      <c r="E396" s="321" t="s">
        <v>410</v>
      </c>
      <c r="F396" s="410"/>
      <c r="G396" s="243" t="s">
        <v>298</v>
      </c>
      <c r="H396" s="304">
        <v>5</v>
      </c>
      <c r="I396" s="243" t="s">
        <v>299</v>
      </c>
      <c r="J396" s="243" t="s">
        <v>300</v>
      </c>
      <c r="K396" s="255">
        <v>400</v>
      </c>
      <c r="L396" s="249">
        <v>0.84999999999999987</v>
      </c>
      <c r="M396" s="256">
        <v>0.95099999999999985</v>
      </c>
      <c r="N396" s="248">
        <f t="shared" si="979"/>
        <v>8.9281747625212677</v>
      </c>
      <c r="O396" s="248">
        <f t="shared" si="980"/>
        <v>0</v>
      </c>
      <c r="P396" s="249" t="str">
        <f t="shared" si="981"/>
        <v>0.00</v>
      </c>
      <c r="Q396" s="256">
        <v>25</v>
      </c>
      <c r="R396" s="256">
        <v>0</v>
      </c>
      <c r="S396" s="256">
        <f t="shared" si="982"/>
        <v>0</v>
      </c>
      <c r="T396" s="249" t="s">
        <v>301</v>
      </c>
      <c r="U396" s="256" t="s">
        <v>390</v>
      </c>
      <c r="V396" s="249">
        <v>35</v>
      </c>
      <c r="W396" s="249" t="str">
        <f t="shared" si="983"/>
        <v>3.5C X 35</v>
      </c>
      <c r="X396" s="249" t="str">
        <f t="shared" si="984"/>
        <v>3.5C X 35</v>
      </c>
      <c r="Y396" s="249" t="s">
        <v>314</v>
      </c>
      <c r="Z396" s="250">
        <f>IF(T396="AIR",VLOOKUP(W396,'Catalogue Aluminium'!$B$9:$G$91,2,FALSE),IF(T396="GROUND",VLOOKUP(W396,'Catalogue Aluminium'!$B$9:$G$91,3,FALSE),IF(T396="DUCT",VLOOKUP(W396,'Catalogue Aluminium'!$B$9:$G$91,4,FALSE),IF(T396="TRENCH",VLOOKUP(W396,'Catalogue Aluminium'!$B$9:$G$91,2,FALSE)))))</f>
        <v>117</v>
      </c>
      <c r="AA396" s="251">
        <f>VLOOKUP(W396,'Catalogue Aluminium'!$B$9:$G$91,5,FALSE)</f>
        <v>1.1100000000000001</v>
      </c>
      <c r="AB396" s="251">
        <f>VLOOKUP(W396,'Catalogue Aluminium'!$B$9:$G$91,6,FALSE)</f>
        <v>7.9399999999999998E-2</v>
      </c>
      <c r="AC396" s="285">
        <v>28</v>
      </c>
      <c r="AD396" s="413">
        <v>25</v>
      </c>
      <c r="AE396" s="294">
        <v>10</v>
      </c>
      <c r="AF396" s="294">
        <v>5</v>
      </c>
      <c r="AG396" s="294">
        <f t="shared" si="985"/>
        <v>7</v>
      </c>
      <c r="AH396" s="253">
        <f t="shared" si="986"/>
        <v>75</v>
      </c>
      <c r="AI396" s="250">
        <f>IF(T396="AIR",'Catalogue Aluminium'!$K$9,IF(T396="TRENCH",'Catalogue Aluminium'!$K$12,"NA"))</f>
        <v>0.89</v>
      </c>
      <c r="AJ396" s="248">
        <f>IF(T396="Air",(IF(U396="1C",'Catalogue Aluminium'!$L$9,'Catalogue Aluminium'!$M$9)),IF(T396="DUCT",(IF($U396="1C",'Catalogue Aluminium'!$L$10,'Catalogue Aluminium'!$M$10)),IF(T396="GROUND",(IF($U396="1C",'Catalogue Aluminium'!$L$11,'Catalogue Aluminium'!$M$11)),IF(T396="TRENCH",(IF($U396="1C",'Catalogue Aluminium'!$L$12,'Catalogue Aluminium'!$M$12))))))</f>
        <v>0.66</v>
      </c>
      <c r="AK396" s="250" t="str">
        <f>IF(T396="Air",'Catalogue Aluminium'!$N$9,IF(T396="GROUND",'Catalogue Aluminium'!$N$10,IF(T396="DUCT",'Catalogue Aluminium'!$N$11,IF(T396="TRENCH",'Catalogue Aluminium'!$N$12,"NA"))))</f>
        <v>NA</v>
      </c>
      <c r="AL396" s="250" t="str">
        <f>IF(T396="Air",(IF(U396="1C",'Catalogue Aluminium'!$O$9,'Catalogue Aluminium'!$P$9)),IF(T396="DUCT",(IF($U396="1C",'Catalogue Aluminium'!$O$10,'Catalogue Aluminium'!$P$10)),IF(T396="GROUND",(IF($U396="1C",'Catalogue Aluminium'!$O$11,'Catalogue Aluminium'!$P$11)),IF(T396="TRENCH",(IF($U396="1C",'Catalogue Aluminium'!$O$12,'Catalogue Aluminium'!$P$12))))))</f>
        <v>NA</v>
      </c>
      <c r="AM396" s="250" t="str">
        <f>IF(T396="AIR","NA",IF(T396="TRENCH","NA",IF(T396="DUCT",IF(U396="1C",VLOOKUP(V396,'Catalogue Aluminium'!$Q$9:$S$28,2,FALSE),VLOOKUP(V396,'Catalogue Aluminium'!$Q$9:$S$28,3)),IF(T396="GROUND",IF(U396="1C",VLOOKUP(V396,'Catalogue Aluminium'!$Q$9:$S$28,2,FALSE),VLOOKUP(V396,'Catalogue Aluminium'!$Q$9:$S$28,3))))))</f>
        <v>NA</v>
      </c>
      <c r="AN396" s="257">
        <f t="shared" si="987"/>
        <v>0.58740000000000003</v>
      </c>
      <c r="AO396" s="256">
        <f t="shared" si="988"/>
        <v>68.725800000000007</v>
      </c>
      <c r="AP396" s="255">
        <f t="shared" si="989"/>
        <v>1</v>
      </c>
      <c r="AQ396" s="256" t="str">
        <f t="shared" si="990"/>
        <v>YES</v>
      </c>
      <c r="AR396" s="257">
        <f t="shared" si="991"/>
        <v>0.28569639821355258</v>
      </c>
      <c r="AS396" s="249" t="str">
        <f t="shared" ref="AS396:AS400" si="998">IF(G396="INCOMER",(IF(AR396&lt;=2,"YES","NO")),IF(G396="POWER",(IF(AR396&lt;=2.5,"YES","NO")),IF(G396="MOTOR",(IF(AR396&lt;=3,"YES","NO")))))</f>
        <v>YES</v>
      </c>
      <c r="AT396" s="257" t="str">
        <f t="shared" si="992"/>
        <v>NA</v>
      </c>
      <c r="AU396" s="249" t="str">
        <f t="shared" si="993"/>
        <v>NA</v>
      </c>
      <c r="AV396" s="257" t="str">
        <f t="shared" si="994"/>
        <v>1R x 0.6/1kV x 3.5C x 35 Sqmm</v>
      </c>
      <c r="AW396" s="257" t="str">
        <f t="shared" si="995"/>
        <v>1R x 0.6/1kV x 3.5C x 35 Sqmm</v>
      </c>
      <c r="AX396" s="249">
        <f t="shared" si="996"/>
        <v>75</v>
      </c>
      <c r="AY396" s="249"/>
    </row>
    <row r="397" spans="1:51">
      <c r="A397" s="243">
        <f t="shared" si="997"/>
        <v>268</v>
      </c>
      <c r="B397" s="285" t="s">
        <v>710</v>
      </c>
      <c r="C397" s="243" t="s">
        <v>706</v>
      </c>
      <c r="D397" s="244" t="s">
        <v>711</v>
      </c>
      <c r="E397" s="352" t="s">
        <v>662</v>
      </c>
      <c r="F397" s="545"/>
      <c r="G397" s="243" t="s">
        <v>298</v>
      </c>
      <c r="H397" s="304">
        <v>5</v>
      </c>
      <c r="I397" s="243" t="s">
        <v>299</v>
      </c>
      <c r="J397" s="243" t="s">
        <v>300</v>
      </c>
      <c r="K397" s="255">
        <v>400</v>
      </c>
      <c r="L397" s="249">
        <v>0.84999999999999987</v>
      </c>
      <c r="M397" s="256">
        <v>0.95099999999999985</v>
      </c>
      <c r="N397" s="248">
        <f t="shared" si="979"/>
        <v>8.9281747625212677</v>
      </c>
      <c r="O397" s="248">
        <f t="shared" si="980"/>
        <v>0</v>
      </c>
      <c r="P397" s="249" t="str">
        <f t="shared" si="981"/>
        <v>0.00</v>
      </c>
      <c r="Q397" s="256">
        <v>25</v>
      </c>
      <c r="R397" s="256">
        <v>0</v>
      </c>
      <c r="S397" s="256">
        <f t="shared" si="982"/>
        <v>0</v>
      </c>
      <c r="T397" s="249" t="s">
        <v>131</v>
      </c>
      <c r="U397" s="256" t="s">
        <v>390</v>
      </c>
      <c r="V397" s="249">
        <v>35</v>
      </c>
      <c r="W397" s="249" t="str">
        <f t="shared" si="983"/>
        <v>3.5C X 35</v>
      </c>
      <c r="X397" s="249" t="str">
        <f t="shared" si="984"/>
        <v>3.5C X 35</v>
      </c>
      <c r="Y397" s="249" t="s">
        <v>314</v>
      </c>
      <c r="Z397" s="250">
        <f>IF(T397="AIR",VLOOKUP(W397,'Catalogue Aluminium'!$B$9:$G$91,2,FALSE),IF(T397="GROUND",VLOOKUP(W397,'Catalogue Aluminium'!$B$9:$G$91,3,FALSE),IF(T397="DUCT",VLOOKUP(W397,'Catalogue Aluminium'!$B$9:$G$91,4,FALSE),IF(T397="TRENCH",VLOOKUP(W397,'Catalogue Aluminium'!$B$9:$G$91,2,FALSE)))))</f>
        <v>117</v>
      </c>
      <c r="AA397" s="251">
        <f>VLOOKUP(W397,'Catalogue Aluminium'!$B$9:$G$91,5,FALSE)</f>
        <v>1.1100000000000001</v>
      </c>
      <c r="AB397" s="251">
        <f>VLOOKUP(W397,'Catalogue Aluminium'!$B$9:$G$91,6,FALSE)</f>
        <v>7.9399999999999998E-2</v>
      </c>
      <c r="AC397" s="285">
        <v>35</v>
      </c>
      <c r="AD397" s="294">
        <v>97</v>
      </c>
      <c r="AE397" s="294">
        <f>11+8+3</f>
        <v>22</v>
      </c>
      <c r="AF397" s="294">
        <f t="shared" ref="AF397:AF398" si="999">5+5</f>
        <v>10</v>
      </c>
      <c r="AG397" s="294">
        <f t="shared" si="985"/>
        <v>17</v>
      </c>
      <c r="AH397" s="253">
        <f t="shared" si="986"/>
        <v>181</v>
      </c>
      <c r="AI397" s="250">
        <f>IF(T397="AIR",'Catalogue Aluminium'!$K$9,IF(T397="TRENCH",'Catalogue Aluminium'!$K$12,"NA"))</f>
        <v>0.89</v>
      </c>
      <c r="AJ397" s="248">
        <f>IF(T397="Air",(IF(U397="1C",'Catalogue Aluminium'!$L$9,'Catalogue Aluminium'!$M$9)),IF(T397="DUCT",(IF($U397="1C",'Catalogue Aluminium'!$L$10,'Catalogue Aluminium'!$M$10)),IF(T397="GROUND",(IF($U397="1C",'Catalogue Aluminium'!$L$11,'Catalogue Aluminium'!$M$11)),IF(T397="TRENCH",(IF($U397="1C",'Catalogue Aluminium'!$L$12,'Catalogue Aluminium'!$M$12))))))</f>
        <v>0.66</v>
      </c>
      <c r="AK397" s="250" t="str">
        <f>IF(T397="Air",'Catalogue Aluminium'!$N$9,IF(T397="GROUND",'Catalogue Aluminium'!$N$10,IF(T397="DUCT",'Catalogue Aluminium'!$N$11,IF(T397="TRENCH",'Catalogue Aluminium'!$N$12,"NA"))))</f>
        <v>NA</v>
      </c>
      <c r="AL397" s="250" t="str">
        <f>IF(T397="Air",(IF(U397="1C",'Catalogue Aluminium'!$O$9,'Catalogue Aluminium'!$P$9)),IF(T397="DUCT",(IF($U397="1C",'Catalogue Aluminium'!$O$10,'Catalogue Aluminium'!$P$10)),IF(T397="GROUND",(IF($U397="1C",'Catalogue Aluminium'!$O$11,'Catalogue Aluminium'!$P$11)),IF(T397="TRENCH",(IF($U397="1C",'Catalogue Aluminium'!$O$12,'Catalogue Aluminium'!$P$12))))))</f>
        <v>NA</v>
      </c>
      <c r="AM397" s="250" t="str">
        <f>IF(T397="AIR","NA",IF(T397="TRENCH","NA",IF(T397="DUCT",IF(U397="1C",VLOOKUP(V397,'Catalogue Aluminium'!$Q$9:$S$28,2,FALSE),VLOOKUP(V397,'Catalogue Aluminium'!$Q$9:$S$28,3)),IF(T397="GROUND",IF(U397="1C",VLOOKUP(V397,'Catalogue Aluminium'!$Q$9:$S$28,2,FALSE),VLOOKUP(V397,'Catalogue Aluminium'!$Q$9:$S$28,3))))))</f>
        <v>NA</v>
      </c>
      <c r="AN397" s="257">
        <f t="shared" si="987"/>
        <v>0.58740000000000003</v>
      </c>
      <c r="AO397" s="256">
        <f t="shared" si="988"/>
        <v>68.725800000000007</v>
      </c>
      <c r="AP397" s="255">
        <f t="shared" si="989"/>
        <v>1</v>
      </c>
      <c r="AQ397" s="256" t="str">
        <f t="shared" si="990"/>
        <v>YES</v>
      </c>
      <c r="AR397" s="257">
        <f t="shared" si="991"/>
        <v>0.6894806410220401</v>
      </c>
      <c r="AS397" s="249" t="str">
        <f t="shared" si="998"/>
        <v>YES</v>
      </c>
      <c r="AT397" s="257" t="str">
        <f t="shared" si="992"/>
        <v>NA</v>
      </c>
      <c r="AU397" s="249" t="str">
        <f t="shared" si="993"/>
        <v>NA</v>
      </c>
      <c r="AV397" s="257" t="str">
        <f t="shared" si="994"/>
        <v>1R x 0.6/1kV x 3.5C x 35 Sqmm</v>
      </c>
      <c r="AW397" s="257" t="str">
        <f t="shared" si="995"/>
        <v>1R x 0.6/1kV x 3.5C x 35 Sqmm</v>
      </c>
      <c r="AX397" s="249">
        <f t="shared" si="996"/>
        <v>181</v>
      </c>
      <c r="AY397" s="249"/>
    </row>
    <row r="398" spans="1:51">
      <c r="A398" s="243">
        <f t="shared" si="997"/>
        <v>269</v>
      </c>
      <c r="B398" s="285" t="s">
        <v>712</v>
      </c>
      <c r="C398" s="243" t="s">
        <v>706</v>
      </c>
      <c r="D398" s="244" t="s">
        <v>713</v>
      </c>
      <c r="E398" s="321" t="s">
        <v>310</v>
      </c>
      <c r="F398" s="545"/>
      <c r="G398" s="243" t="s">
        <v>298</v>
      </c>
      <c r="H398" s="304">
        <v>5</v>
      </c>
      <c r="I398" s="243" t="s">
        <v>299</v>
      </c>
      <c r="J398" s="243" t="s">
        <v>300</v>
      </c>
      <c r="K398" s="255">
        <v>400</v>
      </c>
      <c r="L398" s="249">
        <v>0.84999999999999987</v>
      </c>
      <c r="M398" s="256">
        <v>0.95099999999999985</v>
      </c>
      <c r="N398" s="248">
        <f t="shared" si="979"/>
        <v>8.9281747625212677</v>
      </c>
      <c r="O398" s="248">
        <f t="shared" si="980"/>
        <v>0</v>
      </c>
      <c r="P398" s="249" t="str">
        <f t="shared" si="981"/>
        <v>0.00</v>
      </c>
      <c r="Q398" s="256">
        <v>25</v>
      </c>
      <c r="R398" s="256">
        <v>0</v>
      </c>
      <c r="S398" s="256">
        <f t="shared" si="982"/>
        <v>0</v>
      </c>
      <c r="T398" s="249" t="s">
        <v>131</v>
      </c>
      <c r="U398" s="256" t="s">
        <v>390</v>
      </c>
      <c r="V398" s="249">
        <v>35</v>
      </c>
      <c r="W398" s="249" t="str">
        <f t="shared" si="983"/>
        <v>3.5C X 35</v>
      </c>
      <c r="X398" s="249" t="str">
        <f t="shared" si="984"/>
        <v>3.5C X 35</v>
      </c>
      <c r="Y398" s="249" t="s">
        <v>314</v>
      </c>
      <c r="Z398" s="250">
        <f>IF(T398="AIR",VLOOKUP(W398,'Catalogue Aluminium'!$B$9:$G$91,2,FALSE),IF(T398="GROUND",VLOOKUP(W398,'Catalogue Aluminium'!$B$9:$G$91,3,FALSE),IF(T398="DUCT",VLOOKUP(W398,'Catalogue Aluminium'!$B$9:$G$91,4,FALSE),IF(T398="TRENCH",VLOOKUP(W398,'Catalogue Aluminium'!$B$9:$G$91,2,FALSE)))))</f>
        <v>117</v>
      </c>
      <c r="AA398" s="251">
        <f>VLOOKUP(W398,'Catalogue Aluminium'!$B$9:$G$91,5,FALSE)</f>
        <v>1.1100000000000001</v>
      </c>
      <c r="AB398" s="251">
        <f>VLOOKUP(W398,'Catalogue Aluminium'!$B$9:$G$91,6,FALSE)</f>
        <v>7.9399999999999998E-2</v>
      </c>
      <c r="AC398" s="285">
        <v>35</v>
      </c>
      <c r="AD398" s="294">
        <f>207</f>
        <v>207</v>
      </c>
      <c r="AE398" s="294">
        <f t="shared" ref="AE398" si="1000">11+8+8+11</f>
        <v>38</v>
      </c>
      <c r="AF398" s="294">
        <f t="shared" si="999"/>
        <v>10</v>
      </c>
      <c r="AG398" s="294">
        <f t="shared" si="985"/>
        <v>29</v>
      </c>
      <c r="AH398" s="253">
        <f t="shared" si="986"/>
        <v>319</v>
      </c>
      <c r="AI398" s="250">
        <f>IF(T398="AIR",'Catalogue Aluminium'!$K$9,IF(T398="TRENCH",'Catalogue Aluminium'!$K$12,"NA"))</f>
        <v>0.89</v>
      </c>
      <c r="AJ398" s="248">
        <f>IF(T398="Air",(IF(U398="1C",'Catalogue Aluminium'!$L$9,'Catalogue Aluminium'!$M$9)),IF(T398="DUCT",(IF($U398="1C",'Catalogue Aluminium'!$L$10,'Catalogue Aluminium'!$M$10)),IF(T398="GROUND",(IF($U398="1C",'Catalogue Aluminium'!$L$11,'Catalogue Aluminium'!$M$11)),IF(T398="TRENCH",(IF($U398="1C",'Catalogue Aluminium'!$L$12,'Catalogue Aluminium'!$M$12))))))</f>
        <v>0.66</v>
      </c>
      <c r="AK398" s="250" t="str">
        <f>IF(T398="Air",'Catalogue Aluminium'!$N$9,IF(T398="GROUND",'Catalogue Aluminium'!$N$10,IF(T398="DUCT",'Catalogue Aluminium'!$N$11,IF(T398="TRENCH",'Catalogue Aluminium'!$N$12,"NA"))))</f>
        <v>NA</v>
      </c>
      <c r="AL398" s="250" t="str">
        <f>IF(T398="Air",(IF(U398="1C",'Catalogue Aluminium'!$O$9,'Catalogue Aluminium'!$P$9)),IF(T398="DUCT",(IF($U398="1C",'Catalogue Aluminium'!$O$10,'Catalogue Aluminium'!$P$10)),IF(T398="GROUND",(IF($U398="1C",'Catalogue Aluminium'!$O$11,'Catalogue Aluminium'!$P$11)),IF(T398="TRENCH",(IF($U398="1C",'Catalogue Aluminium'!$O$12,'Catalogue Aluminium'!$P$12))))))</f>
        <v>NA</v>
      </c>
      <c r="AM398" s="250" t="str">
        <f>IF(T398="AIR","NA",IF(T398="TRENCH","NA",IF(T398="DUCT",IF(U398="1C",VLOOKUP(V398,'Catalogue Aluminium'!$Q$9:$S$28,2,FALSE),VLOOKUP(V398,'Catalogue Aluminium'!$Q$9:$S$28,3)),IF(T398="GROUND",IF(U398="1C",VLOOKUP(V398,'Catalogue Aluminium'!$Q$9:$S$28,2,FALSE),VLOOKUP(V398,'Catalogue Aluminium'!$Q$9:$S$28,3))))))</f>
        <v>NA</v>
      </c>
      <c r="AN398" s="257">
        <f t="shared" si="987"/>
        <v>0.58740000000000003</v>
      </c>
      <c r="AO398" s="256">
        <f t="shared" si="988"/>
        <v>68.725800000000007</v>
      </c>
      <c r="AP398" s="255">
        <f t="shared" si="989"/>
        <v>1</v>
      </c>
      <c r="AQ398" s="256" t="str">
        <f t="shared" si="990"/>
        <v>YES</v>
      </c>
      <c r="AR398" s="257">
        <f t="shared" si="991"/>
        <v>1.2151620137349766</v>
      </c>
      <c r="AS398" s="249" t="str">
        <f>IF(G398="INCOMER",(IF(AR398&lt;=2,"YES","NO")),IF(G398="POWER",(IF(AR398&lt;=5,"YES","NO")),IF(G398="MOTOR",(IF(AR398&lt;=3,"YES","NO")))))</f>
        <v>YES</v>
      </c>
      <c r="AT398" s="257" t="str">
        <f t="shared" si="992"/>
        <v>NA</v>
      </c>
      <c r="AU398" s="249" t="str">
        <f t="shared" si="993"/>
        <v>NA</v>
      </c>
      <c r="AV398" s="257" t="str">
        <f t="shared" si="994"/>
        <v>1R x 0.6/1kV x 3.5C x 35 Sqmm</v>
      </c>
      <c r="AW398" s="257" t="str">
        <f t="shared" si="995"/>
        <v>1R x 0.6/1kV x 3.5C x 35 Sqmm</v>
      </c>
      <c r="AX398" s="249">
        <f t="shared" si="996"/>
        <v>319</v>
      </c>
      <c r="AY398" s="249"/>
    </row>
    <row r="399" spans="1:51" ht="29.25" customHeight="1">
      <c r="A399" s="243">
        <f t="shared" si="997"/>
        <v>270</v>
      </c>
      <c r="B399" s="285" t="s">
        <v>714</v>
      </c>
      <c r="C399" s="243" t="s">
        <v>706</v>
      </c>
      <c r="D399" s="244" t="s">
        <v>715</v>
      </c>
      <c r="E399" s="352" t="s">
        <v>716</v>
      </c>
      <c r="F399" s="545"/>
      <c r="G399" s="243" t="s">
        <v>298</v>
      </c>
      <c r="H399" s="304">
        <v>5</v>
      </c>
      <c r="I399" s="243" t="s">
        <v>299</v>
      </c>
      <c r="J399" s="243" t="s">
        <v>300</v>
      </c>
      <c r="K399" s="255">
        <v>400</v>
      </c>
      <c r="L399" s="249">
        <v>0.84999999999999987</v>
      </c>
      <c r="M399" s="256">
        <v>0.95099999999999985</v>
      </c>
      <c r="N399" s="248">
        <f t="shared" si="979"/>
        <v>8.9281747625212677</v>
      </c>
      <c r="O399" s="248">
        <f t="shared" si="980"/>
        <v>0</v>
      </c>
      <c r="P399" s="249" t="str">
        <f t="shared" si="981"/>
        <v>0.00</v>
      </c>
      <c r="Q399" s="256">
        <v>25</v>
      </c>
      <c r="R399" s="256">
        <v>0</v>
      </c>
      <c r="S399" s="256">
        <f t="shared" si="982"/>
        <v>0</v>
      </c>
      <c r="T399" s="249" t="s">
        <v>131</v>
      </c>
      <c r="U399" s="256" t="s">
        <v>390</v>
      </c>
      <c r="V399" s="249">
        <v>35</v>
      </c>
      <c r="W399" s="249" t="str">
        <f t="shared" si="983"/>
        <v>3.5C X 35</v>
      </c>
      <c r="X399" s="249" t="str">
        <f t="shared" si="984"/>
        <v>3.5C X 35</v>
      </c>
      <c r="Y399" s="249" t="s">
        <v>314</v>
      </c>
      <c r="Z399" s="250">
        <f>IF(T399="AIR",VLOOKUP(W399,'Catalogue Aluminium'!$B$9:$G$91,2,FALSE),IF(T399="GROUND",VLOOKUP(W399,'Catalogue Aluminium'!$B$9:$G$91,3,FALSE),IF(T399="DUCT",VLOOKUP(W399,'Catalogue Aluminium'!$B$9:$G$91,4,FALSE),IF(T399="TRENCH",VLOOKUP(W399,'Catalogue Aluminium'!$B$9:$G$91,2,FALSE)))))</f>
        <v>117</v>
      </c>
      <c r="AA399" s="251">
        <f>VLOOKUP(W399,'Catalogue Aluminium'!$B$9:$G$91,5,FALSE)</f>
        <v>1.1100000000000001</v>
      </c>
      <c r="AB399" s="251">
        <f>VLOOKUP(W399,'Catalogue Aluminium'!$B$9:$G$91,6,FALSE)</f>
        <v>7.9399999999999998E-2</v>
      </c>
      <c r="AC399" s="285">
        <v>35</v>
      </c>
      <c r="AD399" s="413">
        <f>68+22+53+35</f>
        <v>178</v>
      </c>
      <c r="AE399" s="294">
        <f>8+7</f>
        <v>15</v>
      </c>
      <c r="AF399" s="294">
        <v>5</v>
      </c>
      <c r="AG399" s="294">
        <f t="shared" si="985"/>
        <v>24</v>
      </c>
      <c r="AH399" s="253">
        <f t="shared" si="986"/>
        <v>257</v>
      </c>
      <c r="AI399" s="250">
        <f>IF(T399="AIR",'Catalogue Aluminium'!$K$9,IF(T399="TRENCH",'Catalogue Aluminium'!$K$12,"NA"))</f>
        <v>0.89</v>
      </c>
      <c r="AJ399" s="248">
        <f>IF(T399="Air",(IF(U399="1C",'Catalogue Aluminium'!$L$9,'Catalogue Aluminium'!$M$9)),IF(T399="DUCT",(IF($U399="1C",'Catalogue Aluminium'!$L$10,'Catalogue Aluminium'!$M$10)),IF(T399="GROUND",(IF($U399="1C",'Catalogue Aluminium'!$L$11,'Catalogue Aluminium'!$M$11)),IF(T399="TRENCH",(IF($U399="1C",'Catalogue Aluminium'!$L$12,'Catalogue Aluminium'!$M$12))))))</f>
        <v>0.66</v>
      </c>
      <c r="AK399" s="250" t="str">
        <f>IF(T399="Air",'Catalogue Aluminium'!$N$9,IF(T399="GROUND",'Catalogue Aluminium'!$N$10,IF(T399="DUCT",'Catalogue Aluminium'!$N$11,IF(T399="TRENCH",'Catalogue Aluminium'!$N$12,"NA"))))</f>
        <v>NA</v>
      </c>
      <c r="AL399" s="250" t="str">
        <f>IF(T399="Air",(IF(U399="1C",'Catalogue Aluminium'!$O$9,'Catalogue Aluminium'!$P$9)),IF(T399="DUCT",(IF($U399="1C",'Catalogue Aluminium'!$O$10,'Catalogue Aluminium'!$P$10)),IF(T399="GROUND",(IF($U399="1C",'Catalogue Aluminium'!$O$11,'Catalogue Aluminium'!$P$11)),IF(T399="TRENCH",(IF($U399="1C",'Catalogue Aluminium'!$O$12,'Catalogue Aluminium'!$P$12))))))</f>
        <v>NA</v>
      </c>
      <c r="AM399" s="250" t="str">
        <f>IF(T399="AIR","NA",IF(T399="TRENCH","NA",IF(T399="DUCT",IF(U399="1C",VLOOKUP(V399,'Catalogue Aluminium'!$Q$9:$S$28,2,FALSE),VLOOKUP(V399,'Catalogue Aluminium'!$Q$9:$S$28,3)),IF(T399="GROUND",IF(U399="1C",VLOOKUP(V399,'Catalogue Aluminium'!$Q$9:$S$28,2,FALSE),VLOOKUP(V399,'Catalogue Aluminium'!$Q$9:$S$28,3))))))</f>
        <v>NA</v>
      </c>
      <c r="AN399" s="257">
        <f t="shared" si="987"/>
        <v>0.58740000000000003</v>
      </c>
      <c r="AO399" s="256">
        <f t="shared" si="988"/>
        <v>68.725800000000007</v>
      </c>
      <c r="AP399" s="255">
        <f t="shared" si="989"/>
        <v>1</v>
      </c>
      <c r="AQ399" s="256" t="str">
        <f t="shared" si="990"/>
        <v>YES</v>
      </c>
      <c r="AR399" s="257">
        <f t="shared" si="991"/>
        <v>0.97898632454510681</v>
      </c>
      <c r="AS399" s="249" t="str">
        <f t="shared" si="998"/>
        <v>YES</v>
      </c>
      <c r="AT399" s="257" t="str">
        <f t="shared" si="992"/>
        <v>NA</v>
      </c>
      <c r="AU399" s="249" t="str">
        <f t="shared" si="993"/>
        <v>NA</v>
      </c>
      <c r="AV399" s="257" t="str">
        <f t="shared" si="994"/>
        <v>1R x 0.6/1kV x 3.5C x 35 Sqmm</v>
      </c>
      <c r="AW399" s="257" t="str">
        <f t="shared" si="995"/>
        <v>1R x 0.6/1kV x 3.5C x 35 Sqmm</v>
      </c>
      <c r="AX399" s="249">
        <f t="shared" si="996"/>
        <v>257</v>
      </c>
      <c r="AY399" s="249"/>
    </row>
    <row r="400" spans="1:51">
      <c r="A400" s="243">
        <f t="shared" si="997"/>
        <v>271</v>
      </c>
      <c r="B400" s="285" t="s">
        <v>717</v>
      </c>
      <c r="C400" s="243" t="s">
        <v>706</v>
      </c>
      <c r="D400" s="244" t="s">
        <v>718</v>
      </c>
      <c r="E400" s="352" t="s">
        <v>670</v>
      </c>
      <c r="F400" s="545"/>
      <c r="G400" s="243" t="s">
        <v>298</v>
      </c>
      <c r="H400" s="304">
        <v>5</v>
      </c>
      <c r="I400" s="243" t="s">
        <v>299</v>
      </c>
      <c r="J400" s="243" t="s">
        <v>300</v>
      </c>
      <c r="K400" s="255">
        <v>400</v>
      </c>
      <c r="L400" s="249">
        <v>0.84999999999999987</v>
      </c>
      <c r="M400" s="256">
        <v>0.95099999999999985</v>
      </c>
      <c r="N400" s="248">
        <f t="shared" si="979"/>
        <v>8.9281747625212677</v>
      </c>
      <c r="O400" s="248">
        <f t="shared" si="980"/>
        <v>0</v>
      </c>
      <c r="P400" s="249" t="str">
        <f t="shared" si="981"/>
        <v>0.00</v>
      </c>
      <c r="Q400" s="256">
        <v>25</v>
      </c>
      <c r="R400" s="256">
        <v>0</v>
      </c>
      <c r="S400" s="256">
        <f t="shared" si="982"/>
        <v>0</v>
      </c>
      <c r="T400" s="249" t="s">
        <v>131</v>
      </c>
      <c r="U400" s="256" t="s">
        <v>390</v>
      </c>
      <c r="V400" s="249">
        <v>35</v>
      </c>
      <c r="W400" s="249" t="str">
        <f t="shared" si="983"/>
        <v>3.5C X 35</v>
      </c>
      <c r="X400" s="249" t="str">
        <f t="shared" si="984"/>
        <v>3.5C X 35</v>
      </c>
      <c r="Y400" s="249" t="s">
        <v>314</v>
      </c>
      <c r="Z400" s="250">
        <f>IF(T400="AIR",VLOOKUP(W400,'Catalogue Aluminium'!$B$9:$G$91,2,FALSE),IF(T400="GROUND",VLOOKUP(W400,'Catalogue Aluminium'!$B$9:$G$91,3,FALSE),IF(T400="DUCT",VLOOKUP(W400,'Catalogue Aluminium'!$B$9:$G$91,4,FALSE),IF(T400="TRENCH",VLOOKUP(W400,'Catalogue Aluminium'!$B$9:$G$91,2,FALSE)))))</f>
        <v>117</v>
      </c>
      <c r="AA400" s="251">
        <f>VLOOKUP(W400,'Catalogue Aluminium'!$B$9:$G$91,5,FALSE)</f>
        <v>1.1100000000000001</v>
      </c>
      <c r="AB400" s="251">
        <f>VLOOKUP(W400,'Catalogue Aluminium'!$B$9:$G$91,6,FALSE)</f>
        <v>7.9399999999999998E-2</v>
      </c>
      <c r="AC400" s="285">
        <f>20</f>
        <v>20</v>
      </c>
      <c r="AD400" s="413">
        <v>371</v>
      </c>
      <c r="AE400" s="294">
        <f>8+7+8+8+5+7</f>
        <v>43</v>
      </c>
      <c r="AF400" s="294">
        <v>5</v>
      </c>
      <c r="AG400" s="294">
        <f t="shared" si="985"/>
        <v>44</v>
      </c>
      <c r="AH400" s="253">
        <f t="shared" si="986"/>
        <v>483</v>
      </c>
      <c r="AI400" s="250">
        <f>IF(T400="AIR",'Catalogue Aluminium'!$K$9,IF(T400="TRENCH",'Catalogue Aluminium'!$K$12,"NA"))</f>
        <v>0.89</v>
      </c>
      <c r="AJ400" s="248">
        <f>IF(T400="Air",(IF(U400="1C",'Catalogue Aluminium'!$L$9,'Catalogue Aluminium'!$M$9)),IF(T400="DUCT",(IF($U400="1C",'Catalogue Aluminium'!$L$10,'Catalogue Aluminium'!$M$10)),IF(T400="GROUND",(IF($U400="1C",'Catalogue Aluminium'!$L$11,'Catalogue Aluminium'!$M$11)),IF(T400="TRENCH",(IF($U400="1C",'Catalogue Aluminium'!$L$12,'Catalogue Aluminium'!$M$12))))))</f>
        <v>0.66</v>
      </c>
      <c r="AK400" s="250" t="str">
        <f>IF(T400="Air",'Catalogue Aluminium'!$N$9,IF(T400="GROUND",'Catalogue Aluminium'!$N$10,IF(T400="DUCT",'Catalogue Aluminium'!$N$11,IF(T400="TRENCH",'Catalogue Aluminium'!$N$12,"NA"))))</f>
        <v>NA</v>
      </c>
      <c r="AL400" s="250" t="str">
        <f>IF(T400="Air",(IF(U400="1C",'Catalogue Aluminium'!$O$9,'Catalogue Aluminium'!$P$9)),IF(T400="DUCT",(IF($U400="1C",'Catalogue Aluminium'!$O$10,'Catalogue Aluminium'!$P$10)),IF(T400="GROUND",(IF($U400="1C",'Catalogue Aluminium'!$O$11,'Catalogue Aluminium'!$P$11)),IF(T400="TRENCH",(IF($U400="1C",'Catalogue Aluminium'!$O$12,'Catalogue Aluminium'!$P$12))))))</f>
        <v>NA</v>
      </c>
      <c r="AM400" s="250" t="str">
        <f>IF(T400="AIR","NA",IF(T400="TRENCH","NA",IF(T400="DUCT",IF(U400="1C",VLOOKUP(V400,'Catalogue Aluminium'!$Q$9:$S$28,2,FALSE),VLOOKUP(V400,'Catalogue Aluminium'!$Q$9:$S$28,3)),IF(T400="GROUND",IF(U400="1C",VLOOKUP(V400,'Catalogue Aluminium'!$Q$9:$S$28,2,FALSE),VLOOKUP(V400,'Catalogue Aluminium'!$Q$9:$S$28,3))))))</f>
        <v>NA</v>
      </c>
      <c r="AN400" s="257">
        <f t="shared" si="987"/>
        <v>0.58740000000000003</v>
      </c>
      <c r="AO400" s="256">
        <f t="shared" si="988"/>
        <v>68.725800000000007</v>
      </c>
      <c r="AP400" s="255">
        <f t="shared" si="989"/>
        <v>1</v>
      </c>
      <c r="AQ400" s="256" t="str">
        <f t="shared" si="990"/>
        <v>YES</v>
      </c>
      <c r="AR400" s="257">
        <f t="shared" si="991"/>
        <v>1.8398848044952782</v>
      </c>
      <c r="AS400" s="249" t="str">
        <f t="shared" si="998"/>
        <v>YES</v>
      </c>
      <c r="AT400" s="257" t="str">
        <f t="shared" si="992"/>
        <v>NA</v>
      </c>
      <c r="AU400" s="249" t="str">
        <f t="shared" si="993"/>
        <v>NA</v>
      </c>
      <c r="AV400" s="257" t="str">
        <f t="shared" si="994"/>
        <v>1R x 0.6/1kV x 3.5C x 35 Sqmm</v>
      </c>
      <c r="AW400" s="257" t="str">
        <f t="shared" si="995"/>
        <v>1R x 0.6/1kV x 3.5C x 35 Sqmm</v>
      </c>
      <c r="AX400" s="249">
        <f t="shared" si="996"/>
        <v>483</v>
      </c>
      <c r="AY400" s="249"/>
    </row>
    <row r="401" spans="1:51">
      <c r="A401" s="243">
        <f t="shared" si="997"/>
        <v>272</v>
      </c>
      <c r="B401" s="285" t="s">
        <v>719</v>
      </c>
      <c r="C401" s="243" t="s">
        <v>706</v>
      </c>
      <c r="D401" s="244" t="s">
        <v>720</v>
      </c>
      <c r="E401" s="352" t="s">
        <v>304</v>
      </c>
      <c r="F401" s="410"/>
      <c r="G401" s="243" t="s">
        <v>298</v>
      </c>
      <c r="H401" s="304">
        <v>5</v>
      </c>
      <c r="I401" s="243" t="s">
        <v>299</v>
      </c>
      <c r="J401" s="243" t="s">
        <v>300</v>
      </c>
      <c r="K401" s="255">
        <v>400</v>
      </c>
      <c r="L401" s="249">
        <v>0.84999999999999987</v>
      </c>
      <c r="M401" s="256">
        <v>0.95099999999999985</v>
      </c>
      <c r="N401" s="248">
        <f t="shared" si="979"/>
        <v>8.9281747625212677</v>
      </c>
      <c r="O401" s="248">
        <f t="shared" ref="O401:O403" si="1001">IF(G401="MOTOR",(6*N401),IF(G401="VFD",(1*N401),0))</f>
        <v>0</v>
      </c>
      <c r="P401" s="249" t="str">
        <f t="shared" ref="P401:P403" si="1002">IF(G401="MOTOR",0.2,"0.00")</f>
        <v>0.00</v>
      </c>
      <c r="Q401" s="256">
        <v>25</v>
      </c>
      <c r="R401" s="256">
        <v>0</v>
      </c>
      <c r="S401" s="256">
        <f t="shared" ref="S401:S403" si="1003">(Q401*1000*SQRT(R401)/143)</f>
        <v>0</v>
      </c>
      <c r="T401" s="249" t="s">
        <v>131</v>
      </c>
      <c r="U401" s="256" t="s">
        <v>377</v>
      </c>
      <c r="V401" s="249">
        <v>16</v>
      </c>
      <c r="W401" s="249" t="str">
        <f t="shared" ref="W401:W403" si="1004">CONCATENATE(U401," X ",V401)</f>
        <v>4C X 16</v>
      </c>
      <c r="X401" s="249" t="str">
        <f t="shared" ref="X401:X403" si="1005">(IF(J401="1Ph",W401,IF(J401="3Ph",(IF(G401="MOTOR",(CONCATENATE(W401,"+PE")),W401)))))</f>
        <v>4C X 16</v>
      </c>
      <c r="Y401" s="249" t="s">
        <v>314</v>
      </c>
      <c r="Z401" s="250">
        <f>IF(T401="AIR",VLOOKUP(W401,'Catalogue Aluminium'!$B$9:$G$91,2,FALSE),IF(T401="GROUND",VLOOKUP(W401,'Catalogue Aluminium'!$B$9:$G$91,3,FALSE),IF(T401="DUCT",VLOOKUP(W401,'Catalogue Aluminium'!$B$9:$G$91,4,FALSE),IF(T401="TRENCH",VLOOKUP(W401,'Catalogue Aluminium'!$B$9:$G$91,2,FALSE)))))</f>
        <v>70</v>
      </c>
      <c r="AA401" s="251">
        <f>VLOOKUP(W401,'Catalogue Aluminium'!$B$9:$G$91,5,FALSE)</f>
        <v>2.44</v>
      </c>
      <c r="AB401" s="251">
        <f>VLOOKUP(W401,'Catalogue Aluminium'!$B$9:$G$91,6,FALSE)</f>
        <v>8.1500000000000003E-2</v>
      </c>
      <c r="AC401" s="285">
        <v>15</v>
      </c>
      <c r="AD401" s="413">
        <v>0</v>
      </c>
      <c r="AE401" s="294">
        <v>5</v>
      </c>
      <c r="AF401" s="294">
        <v>5</v>
      </c>
      <c r="AG401" s="294">
        <f t="shared" si="985"/>
        <v>3</v>
      </c>
      <c r="AH401" s="253">
        <f t="shared" si="986"/>
        <v>28</v>
      </c>
      <c r="AI401" s="250">
        <f>IF(T401="AIR",'Catalogue Aluminium'!$K$9,IF(T401="TRENCH",'Catalogue Aluminium'!$K$12,"NA"))</f>
        <v>0.89</v>
      </c>
      <c r="AJ401" s="248">
        <f>IF(T401="Air",(IF(U401="1C",'Catalogue Aluminium'!$L$9,'Catalogue Aluminium'!$M$9)),IF(T401="DUCT",(IF($U401="1C",'Catalogue Aluminium'!$L$10,'Catalogue Aluminium'!$M$10)),IF(T401="GROUND",(IF($U401="1C",'Catalogue Aluminium'!$L$11,'Catalogue Aluminium'!$M$11)),IF(T401="TRENCH",(IF($U401="1C",'Catalogue Aluminium'!$L$12,'Catalogue Aluminium'!$M$12))))))</f>
        <v>0.66</v>
      </c>
      <c r="AK401" s="250" t="str">
        <f>IF(T401="Air",'Catalogue Aluminium'!$N$9,IF(T401="GROUND",'Catalogue Aluminium'!$N$10,IF(T401="DUCT",'Catalogue Aluminium'!$N$11,IF(T401="TRENCH",'Catalogue Aluminium'!$N$12,"NA"))))</f>
        <v>NA</v>
      </c>
      <c r="AL401" s="250" t="str">
        <f>IF(T401="Air",(IF(U401="1C",'Catalogue Aluminium'!$O$9,'Catalogue Aluminium'!$P$9)),IF(T401="DUCT",(IF($U401="1C",'Catalogue Aluminium'!$O$10,'Catalogue Aluminium'!$P$10)),IF(T401="GROUND",(IF($U401="1C",'Catalogue Aluminium'!$O$11,'Catalogue Aluminium'!$P$11)),IF(T401="TRENCH",(IF($U401="1C",'Catalogue Aluminium'!$O$12,'Catalogue Aluminium'!$P$12))))))</f>
        <v>NA</v>
      </c>
      <c r="AM401" s="250" t="str">
        <f>IF(T401="AIR","NA",IF(T401="TRENCH","NA",IF(T401="DUCT",IF(U401="1C",VLOOKUP(V401,'Catalogue Aluminium'!$Q$9:$S$28,2,FALSE),VLOOKUP(V401,'Catalogue Aluminium'!$Q$9:$S$28,3)),IF(T401="GROUND",IF(U401="1C",VLOOKUP(V401,'Catalogue Aluminium'!$Q$9:$S$28,2,FALSE),VLOOKUP(V401,'Catalogue Aluminium'!$Q$9:$S$28,3))))))</f>
        <v>NA</v>
      </c>
      <c r="AN401" s="257">
        <f t="shared" ref="AN401:AN403" si="1006">IF(T401="AIR",AI401*AJ401,IF(T401="TRENCH",AI401*AJ401,IF(T401="DUCT",AJ401*AK401*AL401*AM401,IF(T401="GROUND",AJ401*AK401*AL401*AM401))))</f>
        <v>0.58740000000000003</v>
      </c>
      <c r="AO401" s="256">
        <f t="shared" ref="AO401:AO403" si="1007">Z401*AN401</f>
        <v>41.118000000000002</v>
      </c>
      <c r="AP401" s="255">
        <f t="shared" si="989"/>
        <v>1</v>
      </c>
      <c r="AQ401" s="256" t="str">
        <f t="shared" ref="AQ401:AQ403" si="1008">IF(AO401*AP401&gt;=N401,"YES","NO")</f>
        <v>YES</v>
      </c>
      <c r="AR401" s="257">
        <f t="shared" ref="AR401:AR403" si="1009">SQRT(3)*AH401*N401*((AA401*L401)+(AB401*SIN(ACOS(L401))))*100/(AP401*K401*1000)</f>
        <v>0.22915451566915418</v>
      </c>
      <c r="AS401" s="249" t="str">
        <f t="shared" ref="AS401:AS403" si="1010">IF(G401="INCOMER",(IF(AR401&lt;=2,"YES","NO")),IF(G401="POWER",(IF(AR401&lt;=2.5,"YES","NO")),IF(G401="MOTOR",(IF(AR401&lt;=3,"YES","NO")))))</f>
        <v>YES</v>
      </c>
      <c r="AT401" s="257" t="str">
        <f t="shared" si="992"/>
        <v>NA</v>
      </c>
      <c r="AU401" s="249" t="str">
        <f t="shared" si="993"/>
        <v>NA</v>
      </c>
      <c r="AV401" s="257" t="str">
        <f t="shared" si="994"/>
        <v>1R x 0.6/1kV x 4C x 16 Sqmm</v>
      </c>
      <c r="AW401" s="257" t="str">
        <f t="shared" si="995"/>
        <v>1R x 0.6/1kV x 4C x 16 Sqmm</v>
      </c>
      <c r="AX401" s="249">
        <f t="shared" si="996"/>
        <v>28</v>
      </c>
      <c r="AY401" s="249"/>
    </row>
    <row r="402" spans="1:51">
      <c r="A402" s="243">
        <f t="shared" si="997"/>
        <v>273</v>
      </c>
      <c r="B402" s="285" t="s">
        <v>721</v>
      </c>
      <c r="C402" s="243" t="s">
        <v>706</v>
      </c>
      <c r="D402" s="244" t="s">
        <v>722</v>
      </c>
      <c r="E402" s="321" t="s">
        <v>410</v>
      </c>
      <c r="F402" s="410"/>
      <c r="G402" s="243" t="s">
        <v>298</v>
      </c>
      <c r="H402" s="304">
        <v>5</v>
      </c>
      <c r="I402" s="243" t="s">
        <v>299</v>
      </c>
      <c r="J402" s="243" t="s">
        <v>300</v>
      </c>
      <c r="K402" s="255">
        <v>400</v>
      </c>
      <c r="L402" s="249">
        <v>0.84999999999999987</v>
      </c>
      <c r="M402" s="256">
        <v>0.95099999999999985</v>
      </c>
      <c r="N402" s="248">
        <f t="shared" si="979"/>
        <v>8.9281747625212677</v>
      </c>
      <c r="O402" s="248">
        <f t="shared" si="1001"/>
        <v>0</v>
      </c>
      <c r="P402" s="249" t="str">
        <f t="shared" si="1002"/>
        <v>0.00</v>
      </c>
      <c r="Q402" s="256">
        <v>25</v>
      </c>
      <c r="R402" s="256">
        <v>0</v>
      </c>
      <c r="S402" s="256">
        <f t="shared" si="1003"/>
        <v>0</v>
      </c>
      <c r="T402" s="249" t="s">
        <v>301</v>
      </c>
      <c r="U402" s="256" t="s">
        <v>377</v>
      </c>
      <c r="V402" s="249">
        <v>16</v>
      </c>
      <c r="W402" s="249" t="str">
        <f t="shared" si="1004"/>
        <v>4C X 16</v>
      </c>
      <c r="X402" s="249" t="str">
        <f t="shared" si="1005"/>
        <v>4C X 16</v>
      </c>
      <c r="Y402" s="249" t="s">
        <v>314</v>
      </c>
      <c r="Z402" s="250">
        <f>IF(T402="AIR",VLOOKUP(W402,'Catalogue Aluminium'!$B$9:$G$91,2,FALSE),IF(T402="GROUND",VLOOKUP(W402,'Catalogue Aluminium'!$B$9:$G$91,3,FALSE),IF(T402="DUCT",VLOOKUP(W402,'Catalogue Aluminium'!$B$9:$G$91,4,FALSE),IF(T402="TRENCH",VLOOKUP(W402,'Catalogue Aluminium'!$B$9:$G$91,2,FALSE)))))</f>
        <v>70</v>
      </c>
      <c r="AA402" s="251">
        <f>VLOOKUP(W402,'Catalogue Aluminium'!$B$9:$G$91,5,FALSE)</f>
        <v>2.44</v>
      </c>
      <c r="AB402" s="251">
        <f>VLOOKUP(W402,'Catalogue Aluminium'!$B$9:$G$91,6,FALSE)</f>
        <v>8.1500000000000003E-2</v>
      </c>
      <c r="AC402" s="285">
        <v>28</v>
      </c>
      <c r="AD402" s="413">
        <v>30</v>
      </c>
      <c r="AE402" s="294">
        <v>10</v>
      </c>
      <c r="AF402" s="294">
        <v>5</v>
      </c>
      <c r="AG402" s="294">
        <f t="shared" si="985"/>
        <v>8</v>
      </c>
      <c r="AH402" s="253">
        <f t="shared" si="986"/>
        <v>81</v>
      </c>
      <c r="AI402" s="250">
        <f>IF(T402="AIR",'Catalogue Aluminium'!$K$9,IF(T402="TRENCH",'Catalogue Aluminium'!$K$12,"NA"))</f>
        <v>0.89</v>
      </c>
      <c r="AJ402" s="248">
        <f>IF(T402="Air",(IF(U402="1C",'Catalogue Aluminium'!$L$9,'Catalogue Aluminium'!$M$9)),IF(T402="DUCT",(IF($U402="1C",'Catalogue Aluminium'!$L$10,'Catalogue Aluminium'!$M$10)),IF(T402="GROUND",(IF($U402="1C",'Catalogue Aluminium'!$L$11,'Catalogue Aluminium'!$M$11)),IF(T402="TRENCH",(IF($U402="1C",'Catalogue Aluminium'!$L$12,'Catalogue Aluminium'!$M$12))))))</f>
        <v>0.66</v>
      </c>
      <c r="AK402" s="250" t="str">
        <f>IF(T402="Air",'Catalogue Aluminium'!$N$9,IF(T402="GROUND",'Catalogue Aluminium'!$N$10,IF(T402="DUCT",'Catalogue Aluminium'!$N$11,IF(T402="TRENCH",'Catalogue Aluminium'!$N$12,"NA"))))</f>
        <v>NA</v>
      </c>
      <c r="AL402" s="250" t="str">
        <f>IF(T402="Air",(IF(U402="1C",'Catalogue Aluminium'!$O$9,'Catalogue Aluminium'!$P$9)),IF(T402="DUCT",(IF($U402="1C",'Catalogue Aluminium'!$O$10,'Catalogue Aluminium'!$P$10)),IF(T402="GROUND",(IF($U402="1C",'Catalogue Aluminium'!$O$11,'Catalogue Aluminium'!$P$11)),IF(T402="TRENCH",(IF($U402="1C",'Catalogue Aluminium'!$O$12,'Catalogue Aluminium'!$P$12))))))</f>
        <v>NA</v>
      </c>
      <c r="AM402" s="250" t="str">
        <f>IF(T402="AIR","NA",IF(T402="TRENCH","NA",IF(T402="DUCT",IF(U402="1C",VLOOKUP(V402,'Catalogue Aluminium'!$Q$9:$S$28,2,FALSE),VLOOKUP(V402,'Catalogue Aluminium'!$Q$9:$S$28,3)),IF(T402="GROUND",IF(U402="1C",VLOOKUP(V402,'Catalogue Aluminium'!$Q$9:$S$28,2,FALSE),VLOOKUP(V402,'Catalogue Aluminium'!$Q$9:$S$28,3))))))</f>
        <v>NA</v>
      </c>
      <c r="AN402" s="257">
        <f t="shared" si="1006"/>
        <v>0.58740000000000003</v>
      </c>
      <c r="AO402" s="256">
        <f t="shared" si="1007"/>
        <v>41.118000000000002</v>
      </c>
      <c r="AP402" s="255">
        <f t="shared" si="989"/>
        <v>1</v>
      </c>
      <c r="AQ402" s="256" t="str">
        <f t="shared" si="1008"/>
        <v>YES</v>
      </c>
      <c r="AR402" s="257">
        <f t="shared" si="1009"/>
        <v>0.66291127747148171</v>
      </c>
      <c r="AS402" s="249" t="str">
        <f t="shared" si="1010"/>
        <v>YES</v>
      </c>
      <c r="AT402" s="257" t="str">
        <f t="shared" si="992"/>
        <v>NA</v>
      </c>
      <c r="AU402" s="249" t="str">
        <f t="shared" si="993"/>
        <v>NA</v>
      </c>
      <c r="AV402" s="257" t="str">
        <f t="shared" si="994"/>
        <v>1R x 0.6/1kV x 4C x 16 Sqmm</v>
      </c>
      <c r="AW402" s="257" t="str">
        <f t="shared" si="995"/>
        <v>1R x 0.6/1kV x 4C x 16 Sqmm</v>
      </c>
      <c r="AX402" s="249">
        <f t="shared" si="996"/>
        <v>81</v>
      </c>
      <c r="AY402" s="249"/>
    </row>
    <row r="403" spans="1:51">
      <c r="A403" s="243">
        <f t="shared" si="997"/>
        <v>274</v>
      </c>
      <c r="B403" s="285" t="s">
        <v>723</v>
      </c>
      <c r="C403" s="243" t="s">
        <v>706</v>
      </c>
      <c r="D403" s="244" t="s">
        <v>724</v>
      </c>
      <c r="E403" s="352" t="s">
        <v>725</v>
      </c>
      <c r="F403" s="545"/>
      <c r="G403" s="243" t="s">
        <v>298</v>
      </c>
      <c r="H403" s="304">
        <v>5</v>
      </c>
      <c r="I403" s="243" t="s">
        <v>299</v>
      </c>
      <c r="J403" s="243" t="s">
        <v>300</v>
      </c>
      <c r="K403" s="255">
        <v>400</v>
      </c>
      <c r="L403" s="249">
        <v>0.84999999999999987</v>
      </c>
      <c r="M403" s="256">
        <v>0.95099999999999985</v>
      </c>
      <c r="N403" s="248">
        <f t="shared" si="979"/>
        <v>8.9281747625212677</v>
      </c>
      <c r="O403" s="248">
        <f t="shared" si="1001"/>
        <v>0</v>
      </c>
      <c r="P403" s="249" t="str">
        <f t="shared" si="1002"/>
        <v>0.00</v>
      </c>
      <c r="Q403" s="256">
        <v>25</v>
      </c>
      <c r="R403" s="256">
        <v>0</v>
      </c>
      <c r="S403" s="256">
        <f t="shared" si="1003"/>
        <v>0</v>
      </c>
      <c r="T403" s="249" t="s">
        <v>131</v>
      </c>
      <c r="U403" s="256" t="s">
        <v>377</v>
      </c>
      <c r="V403" s="249">
        <v>16</v>
      </c>
      <c r="W403" s="249" t="str">
        <f t="shared" si="1004"/>
        <v>4C X 16</v>
      </c>
      <c r="X403" s="249" t="str">
        <f t="shared" si="1005"/>
        <v>4C X 16</v>
      </c>
      <c r="Y403" s="249" t="s">
        <v>314</v>
      </c>
      <c r="Z403" s="250">
        <f>IF(T403="AIR",VLOOKUP(W403,'Catalogue Aluminium'!$B$9:$G$91,2,FALSE),IF(T403="GROUND",VLOOKUP(W403,'Catalogue Aluminium'!$B$9:$G$91,3,FALSE),IF(T403="DUCT",VLOOKUP(W403,'Catalogue Aluminium'!$B$9:$G$91,4,FALSE),IF(T403="TRENCH",VLOOKUP(W403,'Catalogue Aluminium'!$B$9:$G$91,2,FALSE)))))</f>
        <v>70</v>
      </c>
      <c r="AA403" s="251">
        <f>VLOOKUP(W403,'Catalogue Aluminium'!$B$9:$G$91,5,FALSE)</f>
        <v>2.44</v>
      </c>
      <c r="AB403" s="251">
        <f>VLOOKUP(W403,'Catalogue Aluminium'!$B$9:$G$91,6,FALSE)</f>
        <v>8.1500000000000003E-2</v>
      </c>
      <c r="AC403" s="285">
        <f t="shared" ref="AC403:AC404" si="1011">25+11</f>
        <v>36</v>
      </c>
      <c r="AD403" s="294">
        <v>97</v>
      </c>
      <c r="AE403" s="294">
        <f>11+8+3</f>
        <v>22</v>
      </c>
      <c r="AF403" s="294">
        <v>8</v>
      </c>
      <c r="AG403" s="294">
        <f t="shared" si="985"/>
        <v>17</v>
      </c>
      <c r="AH403" s="253">
        <f t="shared" si="986"/>
        <v>180</v>
      </c>
      <c r="AI403" s="250">
        <f>IF(T403="AIR",'Catalogue Aluminium'!$K$9,IF(T403="TRENCH",'Catalogue Aluminium'!$K$12,"NA"))</f>
        <v>0.89</v>
      </c>
      <c r="AJ403" s="248">
        <f>IF(T403="Air",(IF(U403="1C",'Catalogue Aluminium'!$L$9,'Catalogue Aluminium'!$M$9)),IF(T403="DUCT",(IF($U403="1C",'Catalogue Aluminium'!$L$10,'Catalogue Aluminium'!$M$10)),IF(T403="GROUND",(IF($U403="1C",'Catalogue Aluminium'!$L$11,'Catalogue Aluminium'!$M$11)),IF(T403="TRENCH",(IF($U403="1C",'Catalogue Aluminium'!$L$12,'Catalogue Aluminium'!$M$12))))))</f>
        <v>0.66</v>
      </c>
      <c r="AK403" s="250" t="str">
        <f>IF(T403="Air",'Catalogue Aluminium'!$N$9,IF(T403="GROUND",'Catalogue Aluminium'!$N$10,IF(T403="DUCT",'Catalogue Aluminium'!$N$11,IF(T403="TRENCH",'Catalogue Aluminium'!$N$12,"NA"))))</f>
        <v>NA</v>
      </c>
      <c r="AL403" s="250" t="str">
        <f>IF(T403="Air",(IF(U403="1C",'Catalogue Aluminium'!$O$9,'Catalogue Aluminium'!$P$9)),IF(T403="DUCT",(IF($U403="1C",'Catalogue Aluminium'!$O$10,'Catalogue Aluminium'!$P$10)),IF(T403="GROUND",(IF($U403="1C",'Catalogue Aluminium'!$O$11,'Catalogue Aluminium'!$P$11)),IF(T403="TRENCH",(IF($U403="1C",'Catalogue Aluminium'!$O$12,'Catalogue Aluminium'!$P$12))))))</f>
        <v>NA</v>
      </c>
      <c r="AM403" s="250" t="str">
        <f>IF(T403="AIR","NA",IF(T403="TRENCH","NA",IF(T403="DUCT",IF(U403="1C",VLOOKUP(V403,'Catalogue Aluminium'!$Q$9:$S$28,2,FALSE),VLOOKUP(V403,'Catalogue Aluminium'!$Q$9:$S$28,3)),IF(T403="GROUND",IF(U403="1C",VLOOKUP(V403,'Catalogue Aluminium'!$Q$9:$S$28,2,FALSE),VLOOKUP(V403,'Catalogue Aluminium'!$Q$9:$S$28,3))))))</f>
        <v>NA</v>
      </c>
      <c r="AN403" s="257">
        <f t="shared" si="1006"/>
        <v>0.58740000000000003</v>
      </c>
      <c r="AO403" s="256">
        <f t="shared" si="1007"/>
        <v>41.118000000000002</v>
      </c>
      <c r="AP403" s="255">
        <f t="shared" si="989"/>
        <v>1</v>
      </c>
      <c r="AQ403" s="256" t="str">
        <f t="shared" si="1008"/>
        <v>YES</v>
      </c>
      <c r="AR403" s="257">
        <f t="shared" si="1009"/>
        <v>1.4731361721588483</v>
      </c>
      <c r="AS403" s="249" t="str">
        <f t="shared" si="1010"/>
        <v>YES</v>
      </c>
      <c r="AT403" s="257" t="str">
        <f t="shared" si="992"/>
        <v>NA</v>
      </c>
      <c r="AU403" s="249" t="str">
        <f t="shared" si="993"/>
        <v>NA</v>
      </c>
      <c r="AV403" s="257" t="str">
        <f t="shared" si="994"/>
        <v>1R x 0.6/1kV x 4C x 16 Sqmm</v>
      </c>
      <c r="AW403" s="257" t="str">
        <f t="shared" si="995"/>
        <v>1R x 0.6/1kV x 4C x 16 Sqmm</v>
      </c>
      <c r="AX403" s="249">
        <f t="shared" si="996"/>
        <v>180</v>
      </c>
      <c r="AY403" s="249"/>
    </row>
    <row r="404" spans="1:51">
      <c r="A404" s="243">
        <f t="shared" si="997"/>
        <v>275</v>
      </c>
      <c r="B404" s="285" t="s">
        <v>726</v>
      </c>
      <c r="C404" s="243" t="s">
        <v>706</v>
      </c>
      <c r="D404" s="244" t="s">
        <v>727</v>
      </c>
      <c r="E404" s="321" t="s">
        <v>310</v>
      </c>
      <c r="F404" s="545"/>
      <c r="G404" s="243" t="s">
        <v>298</v>
      </c>
      <c r="H404" s="304">
        <v>5</v>
      </c>
      <c r="I404" s="243" t="s">
        <v>299</v>
      </c>
      <c r="J404" s="243" t="s">
        <v>300</v>
      </c>
      <c r="K404" s="255">
        <v>400</v>
      </c>
      <c r="L404" s="249">
        <v>0.84999999999999987</v>
      </c>
      <c r="M404" s="256">
        <v>0.95099999999999985</v>
      </c>
      <c r="N404" s="248">
        <f t="shared" si="979"/>
        <v>8.9281747625212677</v>
      </c>
      <c r="O404" s="248">
        <f t="shared" ref="O404" si="1012">IF(G404="MOTOR",(6*N404),IF(G404="VFD",(1*N404),0))</f>
        <v>0</v>
      </c>
      <c r="P404" s="249" t="str">
        <f t="shared" ref="P404" si="1013">IF(G404="MOTOR",0.2,"0.00")</f>
        <v>0.00</v>
      </c>
      <c r="Q404" s="256">
        <v>25</v>
      </c>
      <c r="R404" s="256">
        <v>0</v>
      </c>
      <c r="S404" s="256">
        <f t="shared" ref="S404" si="1014">(Q404*1000*SQRT(R404)/143)</f>
        <v>0</v>
      </c>
      <c r="T404" s="249" t="s">
        <v>131</v>
      </c>
      <c r="U404" s="256" t="s">
        <v>390</v>
      </c>
      <c r="V404" s="249">
        <v>25</v>
      </c>
      <c r="W404" s="249" t="str">
        <f t="shared" ref="W404" si="1015">CONCATENATE(U404," X ",V404)</f>
        <v>3.5C X 25</v>
      </c>
      <c r="X404" s="249" t="str">
        <f t="shared" ref="X404" si="1016">(IF(J404="1Ph",W404,IF(J404="3Ph",(IF(G404="MOTOR",(CONCATENATE(W404,"+PE")),W404)))))</f>
        <v>3.5C X 25</v>
      </c>
      <c r="Y404" s="249" t="s">
        <v>314</v>
      </c>
      <c r="Z404" s="250">
        <f>IF(T404="AIR",VLOOKUP(W404,'Catalogue Aluminium'!$B$9:$G$91,2,FALSE),IF(T404="GROUND",VLOOKUP(W404,'Catalogue Aluminium'!$B$9:$G$91,3,FALSE),IF(T404="DUCT",VLOOKUP(W404,'Catalogue Aluminium'!$B$9:$G$91,4,FALSE),IF(T404="TRENCH",VLOOKUP(W404,'Catalogue Aluminium'!$B$9:$G$91,2,FALSE)))))</f>
        <v>95</v>
      </c>
      <c r="AA404" s="251">
        <f>VLOOKUP(W404,'Catalogue Aluminium'!$B$9:$G$91,5,FALSE)</f>
        <v>1.54</v>
      </c>
      <c r="AB404" s="251">
        <f>VLOOKUP(W404,'Catalogue Aluminium'!$B$9:$G$91,6,FALSE)</f>
        <v>8.1600000000000006E-2</v>
      </c>
      <c r="AC404" s="285">
        <f t="shared" si="1011"/>
        <v>36</v>
      </c>
      <c r="AD404" s="294">
        <f>207</f>
        <v>207</v>
      </c>
      <c r="AE404" s="294">
        <f t="shared" ref="AE404" si="1017">11+8+8+11</f>
        <v>38</v>
      </c>
      <c r="AF404" s="294">
        <v>8</v>
      </c>
      <c r="AG404" s="294">
        <f t="shared" ref="AG404" si="1018">ROUNDUP((SUM(AC404:AF404)*0.1),0)</f>
        <v>29</v>
      </c>
      <c r="AH404" s="253">
        <f t="shared" ref="AH404" si="1019">SUM(AC404:AG404)</f>
        <v>318</v>
      </c>
      <c r="AI404" s="250">
        <f>IF(T404="AIR",'Catalogue Aluminium'!$K$9,IF(T404="TRENCH",'Catalogue Aluminium'!$K$12,"NA"))</f>
        <v>0.89</v>
      </c>
      <c r="AJ404" s="248">
        <f>IF(T404="Air",(IF(U404="1C",'Catalogue Aluminium'!$L$9,'Catalogue Aluminium'!$M$9)),IF(T404="DUCT",(IF($U404="1C",'Catalogue Aluminium'!$L$10,'Catalogue Aluminium'!$M$10)),IF(T404="GROUND",(IF($U404="1C",'Catalogue Aluminium'!$L$11,'Catalogue Aluminium'!$M$11)),IF(T404="TRENCH",(IF($U404="1C",'Catalogue Aluminium'!$L$12,'Catalogue Aluminium'!$M$12))))))</f>
        <v>0.66</v>
      </c>
      <c r="AK404" s="250" t="str">
        <f>IF(T404="Air",'Catalogue Aluminium'!$N$9,IF(T404="GROUND",'Catalogue Aluminium'!$N$10,IF(T404="DUCT",'Catalogue Aluminium'!$N$11,IF(T404="TRENCH",'Catalogue Aluminium'!$N$12,"NA"))))</f>
        <v>NA</v>
      </c>
      <c r="AL404" s="250" t="str">
        <f>IF(T404="Air",(IF(U404="1C",'Catalogue Aluminium'!$O$9,'Catalogue Aluminium'!$P$9)),IF(T404="DUCT",(IF($U404="1C",'Catalogue Aluminium'!$O$10,'Catalogue Aluminium'!$P$10)),IF(T404="GROUND",(IF($U404="1C",'Catalogue Aluminium'!$O$11,'Catalogue Aluminium'!$P$11)),IF(T404="TRENCH",(IF($U404="1C",'Catalogue Aluminium'!$O$12,'Catalogue Aluminium'!$P$12))))))</f>
        <v>NA</v>
      </c>
      <c r="AM404" s="250" t="str">
        <f>IF(T404="AIR","NA",IF(T404="TRENCH","NA",IF(T404="DUCT",IF(U404="1C",VLOOKUP(V404,'Catalogue Aluminium'!$Q$9:$S$28,2,FALSE),VLOOKUP(V404,'Catalogue Aluminium'!$Q$9:$S$28,3)),IF(T404="GROUND",IF(U404="1C",VLOOKUP(V404,'Catalogue Aluminium'!$Q$9:$S$28,2,FALSE),VLOOKUP(V404,'Catalogue Aluminium'!$Q$9:$S$28,3))))))</f>
        <v>NA</v>
      </c>
      <c r="AN404" s="257">
        <f t="shared" ref="AN404" si="1020">IF(T404="AIR",AI404*AJ404,IF(T404="TRENCH",AI404*AJ404,IF(T404="DUCT",AJ404*AK404*AL404*AM404,IF(T404="GROUND",AJ404*AK404*AL404*AM404))))</f>
        <v>0.58740000000000003</v>
      </c>
      <c r="AO404" s="256">
        <f t="shared" ref="AO404" si="1021">Z404*AN404</f>
        <v>55.803000000000004</v>
      </c>
      <c r="AP404" s="255">
        <f t="shared" si="989"/>
        <v>1</v>
      </c>
      <c r="AQ404" s="256" t="str">
        <f t="shared" ref="AQ404" si="1022">IF(AO404*AP404&gt;=N404,"YES","NO")</f>
        <v>YES</v>
      </c>
      <c r="AR404" s="257">
        <f t="shared" ref="AR404" si="1023">SQRT(3)*AH404*N404*((AA404*L404)+(AB404*SIN(ACOS(L404))))*100/(AP404*K404*1000)</f>
        <v>1.6621203318506279</v>
      </c>
      <c r="AS404" s="249" t="str">
        <f t="shared" ref="AS404" si="1024">IF(G404="INCOMER",(IF(AR404&lt;=2,"YES","NO")),IF(G404="POWER",(IF(AR404&lt;=2.5,"YES","NO")),IF(G404="MOTOR",(IF(AR404&lt;=3,"YES","NO")))))</f>
        <v>YES</v>
      </c>
      <c r="AT404" s="257" t="str">
        <f t="shared" si="992"/>
        <v>NA</v>
      </c>
      <c r="AU404" s="249" t="str">
        <f t="shared" si="993"/>
        <v>NA</v>
      </c>
      <c r="AV404" s="257" t="str">
        <f t="shared" si="994"/>
        <v>1R x 0.6/1kV x 3.5C x 25 Sqmm</v>
      </c>
      <c r="AW404" s="257" t="str">
        <f t="shared" si="995"/>
        <v>1R x 0.6/1kV x 3.5C x 25 Sqmm</v>
      </c>
      <c r="AX404" s="249">
        <f t="shared" si="996"/>
        <v>318</v>
      </c>
      <c r="AY404" s="249"/>
    </row>
    <row r="405" spans="1:51">
      <c r="A405" s="243">
        <f t="shared" si="997"/>
        <v>276</v>
      </c>
      <c r="B405" s="243" t="s">
        <v>465</v>
      </c>
      <c r="C405" s="243" t="str">
        <f>$D$6</f>
        <v>PMCC-1</v>
      </c>
      <c r="D405" s="272" t="s">
        <v>728</v>
      </c>
      <c r="E405" s="351" t="s">
        <v>304</v>
      </c>
      <c r="F405" s="410"/>
      <c r="G405" s="246" t="s">
        <v>306</v>
      </c>
      <c r="H405" s="256">
        <v>42.5</v>
      </c>
      <c r="I405" s="243" t="s">
        <v>299</v>
      </c>
      <c r="J405" s="243" t="s">
        <v>300</v>
      </c>
      <c r="K405" s="255">
        <v>400</v>
      </c>
      <c r="L405" s="249">
        <v>0.84999999999999987</v>
      </c>
      <c r="M405" s="256">
        <v>0.95099999999999985</v>
      </c>
      <c r="N405" s="248">
        <v>320</v>
      </c>
      <c r="O405" s="292"/>
      <c r="P405" s="293"/>
      <c r="Q405" s="293"/>
      <c r="R405" s="293"/>
      <c r="S405" s="293"/>
      <c r="T405" s="293"/>
      <c r="U405" s="293"/>
      <c r="V405" s="293"/>
      <c r="W405" s="293"/>
      <c r="X405" s="293"/>
      <c r="Y405" s="293"/>
      <c r="Z405" s="293"/>
      <c r="AA405" s="293"/>
      <c r="AB405" s="293"/>
      <c r="AC405" s="606"/>
      <c r="AD405" s="606"/>
      <c r="AE405" s="606"/>
      <c r="AF405" s="606"/>
      <c r="AG405" s="606"/>
      <c r="AH405" s="293"/>
      <c r="AI405" s="293"/>
      <c r="AJ405" s="293"/>
      <c r="AK405" s="293"/>
      <c r="AL405" s="293"/>
      <c r="AM405" s="293"/>
      <c r="AN405" s="293"/>
      <c r="AO405" s="293"/>
      <c r="AP405" s="293"/>
      <c r="AQ405" s="293"/>
      <c r="AR405" s="293"/>
      <c r="AS405" s="293"/>
      <c r="AT405" s="293"/>
      <c r="AU405" s="293"/>
      <c r="AV405" s="293"/>
      <c r="AW405" s="293"/>
      <c r="AX405" s="293"/>
      <c r="AY405" s="293"/>
    </row>
    <row r="406" spans="1:51" s="70" customFormat="1" ht="27" customHeight="1">
      <c r="A406" s="332"/>
      <c r="B406" s="332"/>
      <c r="C406" s="332"/>
      <c r="D406" s="414" t="s">
        <v>729</v>
      </c>
      <c r="E406" s="334"/>
      <c r="F406" s="565"/>
      <c r="G406" s="332"/>
      <c r="H406" s="335"/>
      <c r="I406" s="332"/>
      <c r="J406" s="332"/>
      <c r="K406" s="336"/>
      <c r="L406" s="337"/>
      <c r="M406" s="335"/>
      <c r="N406" s="338"/>
      <c r="O406" s="338"/>
      <c r="P406" s="337"/>
      <c r="Q406" s="335"/>
      <c r="R406" s="335"/>
      <c r="S406" s="335"/>
      <c r="T406" s="337"/>
      <c r="U406" s="335"/>
      <c r="V406" s="337"/>
      <c r="W406" s="337"/>
      <c r="X406" s="337"/>
      <c r="Y406" s="337"/>
      <c r="Z406" s="339"/>
      <c r="AA406" s="340"/>
      <c r="AB406" s="340"/>
      <c r="AC406" s="323"/>
      <c r="AD406" s="323"/>
      <c r="AE406" s="323"/>
      <c r="AF406" s="323"/>
      <c r="AG406" s="323"/>
      <c r="AH406" s="341"/>
      <c r="AI406" s="339"/>
      <c r="AJ406" s="338"/>
      <c r="AK406" s="339"/>
      <c r="AL406" s="339"/>
      <c r="AM406" s="339"/>
      <c r="AN406" s="342"/>
      <c r="AO406" s="335"/>
      <c r="AP406" s="336"/>
      <c r="AQ406" s="335"/>
      <c r="AR406" s="342"/>
      <c r="AS406" s="337"/>
      <c r="AT406" s="342"/>
      <c r="AU406" s="342"/>
      <c r="AV406" s="343"/>
      <c r="AW406" s="343"/>
      <c r="AX406" s="337"/>
      <c r="AY406" s="344"/>
    </row>
    <row r="407" spans="1:51">
      <c r="A407" s="243">
        <f>1+A405</f>
        <v>277</v>
      </c>
      <c r="B407" s="373" t="s">
        <v>730</v>
      </c>
      <c r="C407" s="243" t="str">
        <f>$D$406</f>
        <v>MAIN UPS DB-1</v>
      </c>
      <c r="D407" s="313" t="s">
        <v>731</v>
      </c>
      <c r="E407" s="320" t="s">
        <v>410</v>
      </c>
      <c r="F407" s="364"/>
      <c r="G407" s="243" t="s">
        <v>298</v>
      </c>
      <c r="H407" s="256"/>
      <c r="I407" s="243" t="s">
        <v>299</v>
      </c>
      <c r="J407" s="243" t="s">
        <v>300</v>
      </c>
      <c r="K407" s="255">
        <v>400</v>
      </c>
      <c r="L407" s="249">
        <v>0.84999999999999987</v>
      </c>
      <c r="M407" s="256">
        <v>0.95099999999999985</v>
      </c>
      <c r="N407" s="248">
        <v>320</v>
      </c>
      <c r="O407" s="248">
        <f t="shared" ref="O407:O414" si="1025">IF(G407="MOTOR",(6*N407),IF(G407="VFD",(1*N407),0))</f>
        <v>0</v>
      </c>
      <c r="P407" s="249" t="str">
        <f t="shared" ref="P407:P414" si="1026">IF(G407="MOTOR",0.2,"0.00")</f>
        <v>0.00</v>
      </c>
      <c r="Q407" s="256">
        <v>50</v>
      </c>
      <c r="R407" s="256">
        <v>0</v>
      </c>
      <c r="S407" s="256">
        <f t="shared" ref="S407:S414" si="1027">(Q407*1000*SQRT(R407)/143)</f>
        <v>0</v>
      </c>
      <c r="T407" s="249" t="s">
        <v>131</v>
      </c>
      <c r="U407" s="256" t="s">
        <v>390</v>
      </c>
      <c r="V407" s="249">
        <v>150</v>
      </c>
      <c r="W407" s="249" t="str">
        <f t="shared" ref="W407:W414" si="1028">CONCATENATE(U407," X ",V407)</f>
        <v>3.5C X 150</v>
      </c>
      <c r="X407" s="249" t="str">
        <f t="shared" ref="X407:X414" si="1029">(IF(J407="1Ph",W407,IF(J407="3Ph",(IF(G407="MOTOR",(CONCATENATE(W407,"+PE")),W407)))))</f>
        <v>3.5C X 150</v>
      </c>
      <c r="Y407" s="249" t="s">
        <v>314</v>
      </c>
      <c r="Z407" s="250">
        <f>IF(T407="AIR",VLOOKUP(W407,'Catalogue Aluminium'!$B$9:$G$91,2,FALSE),IF(T407="GROUND",VLOOKUP(W407,'Catalogue Aluminium'!$B$9:$G$91,3,FALSE),IF(T407="DUCT",VLOOKUP(W407,'Catalogue Aluminium'!$B$9:$G$91,4,FALSE),IF(T407="TRENCH",VLOOKUP(W407,'Catalogue Aluminium'!$B$9:$G$91,2,FALSE)))))</f>
        <v>293</v>
      </c>
      <c r="AA407" s="251">
        <f>VLOOKUP(W407,'Catalogue Aluminium'!$B$9:$G$91,5,FALSE)</f>
        <v>0.26400000000000001</v>
      </c>
      <c r="AB407" s="251">
        <f>VLOOKUP(W407,'Catalogue Aluminium'!$B$9:$G$91,6,FALSE)</f>
        <v>7.3200000000000001E-2</v>
      </c>
      <c r="AC407" s="323">
        <v>12</v>
      </c>
      <c r="AD407" s="323">
        <f>AC407+2</f>
        <v>14</v>
      </c>
      <c r="AE407" s="323">
        <v>5</v>
      </c>
      <c r="AF407" s="294">
        <v>8</v>
      </c>
      <c r="AG407" s="294">
        <f t="shared" ref="AG407:AG414" si="1030">ROUNDUP((SUM(AC407:AF407)*0.1),0)</f>
        <v>4</v>
      </c>
      <c r="AH407" s="253">
        <f t="shared" ref="AH407:AH414" si="1031">SUM(AC407:AG407)</f>
        <v>43</v>
      </c>
      <c r="AI407" s="250">
        <f>IF(T407="AIR",'Catalogue Aluminium'!$K$9,IF(T407="TRENCH",'Catalogue Aluminium'!$K$12,"NA"))</f>
        <v>0.89</v>
      </c>
      <c r="AJ407" s="248">
        <f>IF(T407="Air",(IF(U407="1C",'Catalogue Aluminium'!$L$9,'Catalogue Aluminium'!$M$9)),IF(T407="DUCT",(IF($U407="1C",'Catalogue Aluminium'!$L$10,'Catalogue Aluminium'!$M$10)),IF(T407="GROUND",(IF($U407="1C",'Catalogue Aluminium'!$L$11,'Catalogue Aluminium'!$M$11)),IF(T407="TRENCH",(IF($U407="1C",'Catalogue Aluminium'!$L$12,'Catalogue Aluminium'!$M$12))))))</f>
        <v>0.66</v>
      </c>
      <c r="AK407" s="250" t="str">
        <f>IF(T407="Air",'Catalogue Aluminium'!$N$9,IF(T407="GROUND",'Catalogue Aluminium'!$N$10,IF(T407="DUCT",'Catalogue Aluminium'!$N$11,IF(T407="TRENCH",'Catalogue Aluminium'!$N$12,"NA"))))</f>
        <v>NA</v>
      </c>
      <c r="AL407" s="250" t="str">
        <f>IF(T407="Air",(IF(U407="1C",'Catalogue Aluminium'!$O$9,'Catalogue Aluminium'!$P$9)),IF(T407="DUCT",(IF($U407="1C",'Catalogue Aluminium'!$O$10,'Catalogue Aluminium'!$P$10)),IF(T407="GROUND",(IF($U407="1C",'Catalogue Aluminium'!$O$11,'Catalogue Aluminium'!$P$11)),IF(T407="TRENCH",(IF($U407="1C",'Catalogue Aluminium'!$O$12,'Catalogue Aluminium'!$P$12))))))</f>
        <v>NA</v>
      </c>
      <c r="AM407" s="250" t="str">
        <f>IF(T407="AIR","NA",IF(T407="TRENCH","NA",IF(T407="DUCT",IF(U407="1C",VLOOKUP(V407,'Catalogue Aluminium'!$Q$9:$S$28,2,FALSE),VLOOKUP(V407,'Catalogue Aluminium'!$Q$9:$S$28,3)),IF(T407="GROUND",IF(U407="1C",VLOOKUP(V407,'Catalogue Aluminium'!$Q$9:$S$28,2,FALSE),VLOOKUP(V407,'Catalogue Aluminium'!$Q$9:$S$28,3))))))</f>
        <v>NA</v>
      </c>
      <c r="AN407" s="257">
        <f t="shared" ref="AN407:AN414" si="1032">IF(T407="AIR",AI407*AJ407,IF(T407="TRENCH",AI407*AJ407,IF(T407="DUCT",AJ407*AK407*AL407*AM407,IF(T407="GROUND",AJ407*AK407*AL407*AM407))))</f>
        <v>0.58740000000000003</v>
      </c>
      <c r="AO407" s="256">
        <f t="shared" ref="AO407:AO414" si="1033">Z407*AN407</f>
        <v>172.10820000000001</v>
      </c>
      <c r="AP407" s="255">
        <f t="shared" ref="AP407:AP414" si="1034">CEILING(((N407)/AO407),1)</f>
        <v>2</v>
      </c>
      <c r="AQ407" s="256" t="str">
        <f t="shared" ref="AQ407:AQ414" si="1035">IF(AO407*AP407&gt;=N407,"YES","NO")</f>
        <v>YES</v>
      </c>
      <c r="AR407" s="257">
        <f t="shared" ref="AR407:AR414" si="1036">SQRT(3)*AH407*N407*((AA407*L407)+(AB407*SIN(ACOS(L407))))*100/(AP407*K407*1000)</f>
        <v>0.78339280613794438</v>
      </c>
      <c r="AS407" s="249" t="str">
        <f t="shared" ref="AS407:AS414" si="1037">IF(G407="INCOMER",(IF(AR407&lt;=2,"YES","NO")),IF(G407="POWER",(IF(AR407&lt;=2.5,"YES","NO")),IF(G407="MOTOR",(IF(AR407&lt;=3,"YES","NO")))))</f>
        <v>YES</v>
      </c>
      <c r="AT407" s="257" t="str">
        <f t="shared" ref="AT407:AT414" si="1038">IF(G407="MOTOR",(SQRT(3)*AH407*O407*((AA407*P407)+(AB407*SIN(ACOS(P407))))*100/(AP407*K407*1000)),"NA")</f>
        <v>NA</v>
      </c>
      <c r="AU407" s="249" t="str">
        <f t="shared" ref="AU407:AU414" si="1039">IF(G407="MOTOR",IF(AT407&lt;=15,"YES","NO"),"NA")</f>
        <v>NA</v>
      </c>
      <c r="AV407" s="260" t="str">
        <f t="shared" ref="AV407:AV414" si="1040">IF(U407="1C",CONCATENATE(AP407,"R x ",Y407,"kV x ",U407," x ",V407," Sqmm/Phase"),CONCATENATE(AP407,"R x ",0.6,"/1kV x ",U407," x ",V407," Sqmm"))</f>
        <v>2R x 0.6/1kV x 3.5C x 150 Sqmm</v>
      </c>
      <c r="AW407" s="260" t="str">
        <f t="shared" ref="AW407:AW414" si="1041">IF(U407="1C",CONCATENATE(AP407,"R x ",Y407,"kV x ",U407," x ",V407," Sqmm/Phase"),CONCATENATE(AP407,"R x ",0.6,"/1kV x ",U407," x ",V407,(IF(G407="MOTOR","+PE",""))," Sqmm"))</f>
        <v>2R x 0.6/1kV x 3.5C x 150 Sqmm</v>
      </c>
      <c r="AX407" s="249">
        <f t="shared" ref="AX407:AX414" si="1042">(IF(K407=400,(IF(U407="1C",(4*AH407*AP407),(AH407*AP407))),IF(K407=230,(AH407*AP407))))</f>
        <v>86</v>
      </c>
      <c r="AY407" s="261"/>
    </row>
    <row r="408" spans="1:51">
      <c r="A408" s="243">
        <f t="shared" ref="A408:A416" si="1043">1+A407</f>
        <v>278</v>
      </c>
      <c r="B408" s="373" t="s">
        <v>730</v>
      </c>
      <c r="C408" s="243" t="str">
        <f t="shared" ref="C408:C414" si="1044">$D$406</f>
        <v>MAIN UPS DB-1</v>
      </c>
      <c r="D408" s="313" t="s">
        <v>732</v>
      </c>
      <c r="E408" s="320" t="s">
        <v>410</v>
      </c>
      <c r="F408" s="364"/>
      <c r="G408" s="243" t="s">
        <v>298</v>
      </c>
      <c r="H408" s="256"/>
      <c r="I408" s="243" t="s">
        <v>299</v>
      </c>
      <c r="J408" s="243" t="s">
        <v>300</v>
      </c>
      <c r="K408" s="255">
        <v>400</v>
      </c>
      <c r="L408" s="249">
        <v>0.84999999999999987</v>
      </c>
      <c r="M408" s="256">
        <v>0.95099999999999985</v>
      </c>
      <c r="N408" s="248">
        <v>320</v>
      </c>
      <c r="O408" s="248">
        <f t="shared" si="1025"/>
        <v>0</v>
      </c>
      <c r="P408" s="249" t="str">
        <f t="shared" si="1026"/>
        <v>0.00</v>
      </c>
      <c r="Q408" s="256">
        <v>50</v>
      </c>
      <c r="R408" s="256">
        <v>0</v>
      </c>
      <c r="S408" s="256">
        <f t="shared" si="1027"/>
        <v>0</v>
      </c>
      <c r="T408" s="249" t="s">
        <v>131</v>
      </c>
      <c r="U408" s="256" t="s">
        <v>390</v>
      </c>
      <c r="V408" s="249">
        <v>150</v>
      </c>
      <c r="W408" s="249" t="str">
        <f t="shared" si="1028"/>
        <v>3.5C X 150</v>
      </c>
      <c r="X408" s="249" t="str">
        <f t="shared" si="1029"/>
        <v>3.5C X 150</v>
      </c>
      <c r="Y408" s="249" t="s">
        <v>314</v>
      </c>
      <c r="Z408" s="250">
        <f>IF(T408="AIR",VLOOKUP(W408,'Catalogue Aluminium'!$B$9:$G$91,2,FALSE),IF(T408="GROUND",VLOOKUP(W408,'Catalogue Aluminium'!$B$9:$G$91,3,FALSE),IF(T408="DUCT",VLOOKUP(W408,'Catalogue Aluminium'!$B$9:$G$91,4,FALSE),IF(T408="TRENCH",VLOOKUP(W408,'Catalogue Aluminium'!$B$9:$G$91,2,FALSE)))))</f>
        <v>293</v>
      </c>
      <c r="AA408" s="251">
        <f>VLOOKUP(W408,'Catalogue Aluminium'!$B$9:$G$91,5,FALSE)</f>
        <v>0.26400000000000001</v>
      </c>
      <c r="AB408" s="251">
        <f>VLOOKUP(W408,'Catalogue Aluminium'!$B$9:$G$91,6,FALSE)</f>
        <v>7.3200000000000001E-2</v>
      </c>
      <c r="AC408" s="323">
        <v>12</v>
      </c>
      <c r="AD408" s="323">
        <f>AC408+2</f>
        <v>14</v>
      </c>
      <c r="AE408" s="323">
        <v>5</v>
      </c>
      <c r="AF408" s="294">
        <v>8</v>
      </c>
      <c r="AG408" s="294">
        <f t="shared" si="1030"/>
        <v>4</v>
      </c>
      <c r="AH408" s="253">
        <f t="shared" si="1031"/>
        <v>43</v>
      </c>
      <c r="AI408" s="250">
        <f>IF(T408="AIR",'Catalogue Aluminium'!$K$9,IF(T408="TRENCH",'Catalogue Aluminium'!$K$12,"NA"))</f>
        <v>0.89</v>
      </c>
      <c r="AJ408" s="248">
        <f>IF(T408="Air",(IF(U408="1C",'Catalogue Aluminium'!$L$9,'Catalogue Aluminium'!$M$9)),IF(T408="DUCT",(IF($U408="1C",'Catalogue Aluminium'!$L$10,'Catalogue Aluminium'!$M$10)),IF(T408="GROUND",(IF($U408="1C",'Catalogue Aluminium'!$L$11,'Catalogue Aluminium'!$M$11)),IF(T408="TRENCH",(IF($U408="1C",'Catalogue Aluminium'!$L$12,'Catalogue Aluminium'!$M$12))))))</f>
        <v>0.66</v>
      </c>
      <c r="AK408" s="250" t="str">
        <f>IF(T408="Air",'Catalogue Aluminium'!$N$9,IF(T408="GROUND",'Catalogue Aluminium'!$N$10,IF(T408="DUCT",'Catalogue Aluminium'!$N$11,IF(T408="TRENCH",'Catalogue Aluminium'!$N$12,"NA"))))</f>
        <v>NA</v>
      </c>
      <c r="AL408" s="250" t="str">
        <f>IF(T408="Air",(IF(U408="1C",'Catalogue Aluminium'!$O$9,'Catalogue Aluminium'!$P$9)),IF(T408="DUCT",(IF($U408="1C",'Catalogue Aluminium'!$O$10,'Catalogue Aluminium'!$P$10)),IF(T408="GROUND",(IF($U408="1C",'Catalogue Aluminium'!$O$11,'Catalogue Aluminium'!$P$11)),IF(T408="TRENCH",(IF($U408="1C",'Catalogue Aluminium'!$O$12,'Catalogue Aluminium'!$P$12))))))</f>
        <v>NA</v>
      </c>
      <c r="AM408" s="250" t="str">
        <f>IF(T408="AIR","NA",IF(T408="TRENCH","NA",IF(T408="DUCT",IF(U408="1C",VLOOKUP(V408,'Catalogue Aluminium'!$Q$9:$S$28,2,FALSE),VLOOKUP(V408,'Catalogue Aluminium'!$Q$9:$S$28,3)),IF(T408="GROUND",IF(U408="1C",VLOOKUP(V408,'Catalogue Aluminium'!$Q$9:$S$28,2,FALSE),VLOOKUP(V408,'Catalogue Aluminium'!$Q$9:$S$28,3))))))</f>
        <v>NA</v>
      </c>
      <c r="AN408" s="257">
        <f t="shared" si="1032"/>
        <v>0.58740000000000003</v>
      </c>
      <c r="AO408" s="256">
        <f t="shared" si="1033"/>
        <v>172.10820000000001</v>
      </c>
      <c r="AP408" s="255">
        <f t="shared" si="1034"/>
        <v>2</v>
      </c>
      <c r="AQ408" s="256" t="str">
        <f t="shared" si="1035"/>
        <v>YES</v>
      </c>
      <c r="AR408" s="257">
        <f t="shared" si="1036"/>
        <v>0.78339280613794438</v>
      </c>
      <c r="AS408" s="249" t="str">
        <f t="shared" si="1037"/>
        <v>YES</v>
      </c>
      <c r="AT408" s="257" t="str">
        <f t="shared" si="1038"/>
        <v>NA</v>
      </c>
      <c r="AU408" s="249" t="str">
        <f t="shared" si="1039"/>
        <v>NA</v>
      </c>
      <c r="AV408" s="260" t="str">
        <f t="shared" si="1040"/>
        <v>2R x 0.6/1kV x 3.5C x 150 Sqmm</v>
      </c>
      <c r="AW408" s="260" t="str">
        <f t="shared" si="1041"/>
        <v>2R x 0.6/1kV x 3.5C x 150 Sqmm</v>
      </c>
      <c r="AX408" s="249">
        <f t="shared" si="1042"/>
        <v>86</v>
      </c>
      <c r="AY408" s="261"/>
    </row>
    <row r="409" spans="1:51">
      <c r="A409" s="243">
        <f t="shared" si="1043"/>
        <v>279</v>
      </c>
      <c r="B409" s="373" t="s">
        <v>733</v>
      </c>
      <c r="C409" s="243" t="str">
        <f t="shared" si="1044"/>
        <v>MAIN UPS DB-1</v>
      </c>
      <c r="D409" s="313" t="s">
        <v>734</v>
      </c>
      <c r="E409" s="272" t="s">
        <v>735</v>
      </c>
      <c r="F409" s="364"/>
      <c r="G409" s="243" t="s">
        <v>298</v>
      </c>
      <c r="H409" s="256"/>
      <c r="I409" s="243" t="s">
        <v>299</v>
      </c>
      <c r="J409" s="243" t="s">
        <v>300</v>
      </c>
      <c r="K409" s="255">
        <v>400</v>
      </c>
      <c r="L409" s="249">
        <v>0.84999999999999987</v>
      </c>
      <c r="M409" s="256">
        <v>0.95099999999999985</v>
      </c>
      <c r="N409" s="248">
        <v>20</v>
      </c>
      <c r="O409" s="248">
        <f t="shared" si="1025"/>
        <v>0</v>
      </c>
      <c r="P409" s="249" t="str">
        <f t="shared" si="1026"/>
        <v>0.00</v>
      </c>
      <c r="Q409" s="256">
        <v>50</v>
      </c>
      <c r="R409" s="256">
        <v>0</v>
      </c>
      <c r="S409" s="256">
        <f t="shared" si="1027"/>
        <v>0</v>
      </c>
      <c r="T409" s="249" t="s">
        <v>131</v>
      </c>
      <c r="U409" s="256" t="s">
        <v>390</v>
      </c>
      <c r="V409" s="249">
        <v>25</v>
      </c>
      <c r="W409" s="249" t="str">
        <f t="shared" si="1028"/>
        <v>3.5C X 25</v>
      </c>
      <c r="X409" s="249" t="str">
        <f t="shared" si="1029"/>
        <v>3.5C X 25</v>
      </c>
      <c r="Y409" s="249" t="s">
        <v>314</v>
      </c>
      <c r="Z409" s="250">
        <f>IF(T409="AIR",VLOOKUP(W409,'Catalogue Aluminium'!$B$9:$G$91,2,FALSE),IF(T409="GROUND",VLOOKUP(W409,'Catalogue Aluminium'!$B$9:$G$91,3,FALSE),IF(T409="DUCT",VLOOKUP(W409,'Catalogue Aluminium'!$B$9:$G$91,4,FALSE),IF(T409="TRENCH",VLOOKUP(W409,'Catalogue Aluminium'!$B$9:$G$91,2,FALSE)))))</f>
        <v>95</v>
      </c>
      <c r="AA409" s="251">
        <f>VLOOKUP(W409,'Catalogue Aluminium'!$B$9:$G$91,5,FALSE)</f>
        <v>1.54</v>
      </c>
      <c r="AB409" s="251">
        <f>VLOOKUP(W409,'Catalogue Aluminium'!$B$9:$G$91,6,FALSE)</f>
        <v>8.1600000000000006E-2</v>
      </c>
      <c r="AC409" s="323">
        <v>55</v>
      </c>
      <c r="AD409" s="323">
        <f>68+33</f>
        <v>101</v>
      </c>
      <c r="AE409" s="323">
        <v>20</v>
      </c>
      <c r="AF409" s="294">
        <v>8</v>
      </c>
      <c r="AG409" s="294">
        <f t="shared" si="1030"/>
        <v>19</v>
      </c>
      <c r="AH409" s="253">
        <f t="shared" si="1031"/>
        <v>203</v>
      </c>
      <c r="AI409" s="250">
        <f>IF(T409="AIR",'Catalogue Aluminium'!$K$9,IF(T409="TRENCH",'Catalogue Aluminium'!$K$12,"NA"))</f>
        <v>0.89</v>
      </c>
      <c r="AJ409" s="248">
        <f>IF(T409="Air",(IF(U409="1C",'Catalogue Aluminium'!$L$9,'Catalogue Aluminium'!$M$9)),IF(T409="DUCT",(IF($U409="1C",'Catalogue Aluminium'!$L$10,'Catalogue Aluminium'!$M$10)),IF(T409="GROUND",(IF($U409="1C",'Catalogue Aluminium'!$L$11,'Catalogue Aluminium'!$M$11)),IF(T409="TRENCH",(IF($U409="1C",'Catalogue Aluminium'!$L$12,'Catalogue Aluminium'!$M$12))))))</f>
        <v>0.66</v>
      </c>
      <c r="AK409" s="250" t="str">
        <f>IF(T409="Air",'Catalogue Aluminium'!$N$9,IF(T409="GROUND",'Catalogue Aluminium'!$N$10,IF(T409="DUCT",'Catalogue Aluminium'!$N$11,IF(T409="TRENCH",'Catalogue Aluminium'!$N$12,"NA"))))</f>
        <v>NA</v>
      </c>
      <c r="AL409" s="250" t="str">
        <f>IF(T409="Air",(IF(U409="1C",'Catalogue Aluminium'!$O$9,'Catalogue Aluminium'!$P$9)),IF(T409="DUCT",(IF($U409="1C",'Catalogue Aluminium'!$O$10,'Catalogue Aluminium'!$P$10)),IF(T409="GROUND",(IF($U409="1C",'Catalogue Aluminium'!$O$11,'Catalogue Aluminium'!$P$11)),IF(T409="TRENCH",(IF($U409="1C",'Catalogue Aluminium'!$O$12,'Catalogue Aluminium'!$P$12))))))</f>
        <v>NA</v>
      </c>
      <c r="AM409" s="250" t="str">
        <f>IF(T409="AIR","NA",IF(T409="TRENCH","NA",IF(T409="DUCT",IF(U409="1C",VLOOKUP(V409,'Catalogue Aluminium'!$Q$9:$S$28,2,FALSE),VLOOKUP(V409,'Catalogue Aluminium'!$Q$9:$S$28,3)),IF(T409="GROUND",IF(U409="1C",VLOOKUP(V409,'Catalogue Aluminium'!$Q$9:$S$28,2,FALSE),VLOOKUP(V409,'Catalogue Aluminium'!$Q$9:$S$28,3))))))</f>
        <v>NA</v>
      </c>
      <c r="AN409" s="257">
        <f t="shared" si="1032"/>
        <v>0.58740000000000003</v>
      </c>
      <c r="AO409" s="256">
        <f t="shared" si="1033"/>
        <v>55.803000000000004</v>
      </c>
      <c r="AP409" s="255">
        <f t="shared" si="1034"/>
        <v>1</v>
      </c>
      <c r="AQ409" s="256" t="str">
        <f t="shared" si="1035"/>
        <v>YES</v>
      </c>
      <c r="AR409" s="257">
        <f t="shared" si="1036"/>
        <v>2.3768331332856878</v>
      </c>
      <c r="AS409" s="249" t="str">
        <f t="shared" si="1037"/>
        <v>YES</v>
      </c>
      <c r="AT409" s="257" t="str">
        <f t="shared" si="1038"/>
        <v>NA</v>
      </c>
      <c r="AU409" s="249" t="str">
        <f t="shared" si="1039"/>
        <v>NA</v>
      </c>
      <c r="AV409" s="260" t="str">
        <f t="shared" si="1040"/>
        <v>1R x 0.6/1kV x 3.5C x 25 Sqmm</v>
      </c>
      <c r="AW409" s="260" t="str">
        <f t="shared" si="1041"/>
        <v>1R x 0.6/1kV x 3.5C x 25 Sqmm</v>
      </c>
      <c r="AX409" s="249">
        <f t="shared" si="1042"/>
        <v>203</v>
      </c>
      <c r="AY409" s="261"/>
    </row>
    <row r="410" spans="1:51">
      <c r="A410" s="243">
        <f t="shared" si="1043"/>
        <v>280</v>
      </c>
      <c r="B410" s="373" t="s">
        <v>736</v>
      </c>
      <c r="C410" s="243" t="str">
        <f t="shared" si="1044"/>
        <v>MAIN UPS DB-1</v>
      </c>
      <c r="D410" s="313" t="s">
        <v>737</v>
      </c>
      <c r="E410" s="272" t="s">
        <v>735</v>
      </c>
      <c r="F410" s="364"/>
      <c r="G410" s="243" t="s">
        <v>298</v>
      </c>
      <c r="H410" s="256"/>
      <c r="I410" s="243" t="s">
        <v>299</v>
      </c>
      <c r="J410" s="243" t="s">
        <v>300</v>
      </c>
      <c r="K410" s="255">
        <v>400</v>
      </c>
      <c r="L410" s="249">
        <v>0.84999999999999987</v>
      </c>
      <c r="M410" s="256">
        <v>0.95099999999999985</v>
      </c>
      <c r="N410" s="248">
        <v>20</v>
      </c>
      <c r="O410" s="248">
        <f t="shared" si="1025"/>
        <v>0</v>
      </c>
      <c r="P410" s="249" t="str">
        <f t="shared" si="1026"/>
        <v>0.00</v>
      </c>
      <c r="Q410" s="256">
        <v>50</v>
      </c>
      <c r="R410" s="256">
        <v>0</v>
      </c>
      <c r="S410" s="256">
        <f t="shared" si="1027"/>
        <v>0</v>
      </c>
      <c r="T410" s="249" t="s">
        <v>131</v>
      </c>
      <c r="U410" s="256" t="s">
        <v>390</v>
      </c>
      <c r="V410" s="249">
        <v>25</v>
      </c>
      <c r="W410" s="249" t="str">
        <f t="shared" si="1028"/>
        <v>3.5C X 25</v>
      </c>
      <c r="X410" s="249" t="str">
        <f t="shared" si="1029"/>
        <v>3.5C X 25</v>
      </c>
      <c r="Y410" s="249" t="s">
        <v>314</v>
      </c>
      <c r="Z410" s="250">
        <f>IF(T410="AIR",VLOOKUP(W410,'Catalogue Aluminium'!$B$9:$G$91,2,FALSE),IF(T410="GROUND",VLOOKUP(W410,'Catalogue Aluminium'!$B$9:$G$91,3,FALSE),IF(T410="DUCT",VLOOKUP(W410,'Catalogue Aluminium'!$B$9:$G$91,4,FALSE),IF(T410="TRENCH",VLOOKUP(W410,'Catalogue Aluminium'!$B$9:$G$91,2,FALSE)))))</f>
        <v>95</v>
      </c>
      <c r="AA410" s="251">
        <f>VLOOKUP(W410,'Catalogue Aluminium'!$B$9:$G$91,5,FALSE)</f>
        <v>1.54</v>
      </c>
      <c r="AB410" s="251">
        <f>VLOOKUP(W410,'Catalogue Aluminium'!$B$9:$G$91,6,FALSE)</f>
        <v>8.1600000000000006E-2</v>
      </c>
      <c r="AC410" s="323">
        <v>55</v>
      </c>
      <c r="AD410" s="323">
        <f>68+33</f>
        <v>101</v>
      </c>
      <c r="AE410" s="323">
        <v>20</v>
      </c>
      <c r="AF410" s="294">
        <v>8</v>
      </c>
      <c r="AG410" s="294">
        <f t="shared" si="1030"/>
        <v>19</v>
      </c>
      <c r="AH410" s="253">
        <f t="shared" si="1031"/>
        <v>203</v>
      </c>
      <c r="AI410" s="250">
        <f>IF(T410="AIR",'Catalogue Aluminium'!$K$9,IF(T410="TRENCH",'Catalogue Aluminium'!$K$12,"NA"))</f>
        <v>0.89</v>
      </c>
      <c r="AJ410" s="248">
        <f>IF(T410="Air",(IF(U410="1C",'Catalogue Aluminium'!$L$9,'Catalogue Aluminium'!$M$9)),IF(T410="DUCT",(IF($U410="1C",'Catalogue Aluminium'!$L$10,'Catalogue Aluminium'!$M$10)),IF(T410="GROUND",(IF($U410="1C",'Catalogue Aluminium'!$L$11,'Catalogue Aluminium'!$M$11)),IF(T410="TRENCH",(IF($U410="1C",'Catalogue Aluminium'!$L$12,'Catalogue Aluminium'!$M$12))))))</f>
        <v>0.66</v>
      </c>
      <c r="AK410" s="250" t="str">
        <f>IF(T410="Air",'Catalogue Aluminium'!$N$9,IF(T410="GROUND",'Catalogue Aluminium'!$N$10,IF(T410="DUCT",'Catalogue Aluminium'!$N$11,IF(T410="TRENCH",'Catalogue Aluminium'!$N$12,"NA"))))</f>
        <v>NA</v>
      </c>
      <c r="AL410" s="250" t="str">
        <f>IF(T410="Air",(IF(U410="1C",'Catalogue Aluminium'!$O$9,'Catalogue Aluminium'!$P$9)),IF(T410="DUCT",(IF($U410="1C",'Catalogue Aluminium'!$O$10,'Catalogue Aluminium'!$P$10)),IF(T410="GROUND",(IF($U410="1C",'Catalogue Aluminium'!$O$11,'Catalogue Aluminium'!$P$11)),IF(T410="TRENCH",(IF($U410="1C",'Catalogue Aluminium'!$O$12,'Catalogue Aluminium'!$P$12))))))</f>
        <v>NA</v>
      </c>
      <c r="AM410" s="250" t="str">
        <f>IF(T410="AIR","NA",IF(T410="TRENCH","NA",IF(T410="DUCT",IF(U410="1C",VLOOKUP(V410,'Catalogue Aluminium'!$Q$9:$S$28,2,FALSE),VLOOKUP(V410,'Catalogue Aluminium'!$Q$9:$S$28,3)),IF(T410="GROUND",IF(U410="1C",VLOOKUP(V410,'Catalogue Aluminium'!$Q$9:$S$28,2,FALSE),VLOOKUP(V410,'Catalogue Aluminium'!$Q$9:$S$28,3))))))</f>
        <v>NA</v>
      </c>
      <c r="AN410" s="257">
        <f t="shared" si="1032"/>
        <v>0.58740000000000003</v>
      </c>
      <c r="AO410" s="256">
        <f t="shared" si="1033"/>
        <v>55.803000000000004</v>
      </c>
      <c r="AP410" s="255">
        <f t="shared" si="1034"/>
        <v>1</v>
      </c>
      <c r="AQ410" s="256" t="str">
        <f t="shared" si="1035"/>
        <v>YES</v>
      </c>
      <c r="AR410" s="257">
        <f t="shared" si="1036"/>
        <v>2.3768331332856878</v>
      </c>
      <c r="AS410" s="249" t="str">
        <f t="shared" si="1037"/>
        <v>YES</v>
      </c>
      <c r="AT410" s="257" t="str">
        <f t="shared" si="1038"/>
        <v>NA</v>
      </c>
      <c r="AU410" s="249" t="str">
        <f t="shared" si="1039"/>
        <v>NA</v>
      </c>
      <c r="AV410" s="260" t="str">
        <f t="shared" si="1040"/>
        <v>1R x 0.6/1kV x 3.5C x 25 Sqmm</v>
      </c>
      <c r="AW410" s="260" t="str">
        <f t="shared" si="1041"/>
        <v>1R x 0.6/1kV x 3.5C x 25 Sqmm</v>
      </c>
      <c r="AX410" s="249">
        <f t="shared" si="1042"/>
        <v>203</v>
      </c>
      <c r="AY410" s="261"/>
    </row>
    <row r="411" spans="1:51">
      <c r="A411" s="243">
        <f t="shared" si="1043"/>
        <v>281</v>
      </c>
      <c r="B411" s="373" t="s">
        <v>738</v>
      </c>
      <c r="C411" s="243" t="str">
        <f t="shared" si="1044"/>
        <v>MAIN UPS DB-1</v>
      </c>
      <c r="D411" s="313" t="s">
        <v>739</v>
      </c>
      <c r="E411" s="314" t="s">
        <v>740</v>
      </c>
      <c r="F411" s="249"/>
      <c r="G411" s="243" t="s">
        <v>298</v>
      </c>
      <c r="H411" s="256"/>
      <c r="I411" s="243" t="s">
        <v>299</v>
      </c>
      <c r="J411" s="243" t="s">
        <v>300</v>
      </c>
      <c r="K411" s="255">
        <v>400</v>
      </c>
      <c r="L411" s="249">
        <v>0.84999999999999987</v>
      </c>
      <c r="M411" s="256">
        <v>0.95099999999999985</v>
      </c>
      <c r="N411" s="248">
        <v>16</v>
      </c>
      <c r="O411" s="248">
        <f t="shared" si="1025"/>
        <v>0</v>
      </c>
      <c r="P411" s="249" t="str">
        <f t="shared" si="1026"/>
        <v>0.00</v>
      </c>
      <c r="Q411" s="256">
        <v>50</v>
      </c>
      <c r="R411" s="256">
        <v>0</v>
      </c>
      <c r="S411" s="256">
        <f t="shared" si="1027"/>
        <v>0</v>
      </c>
      <c r="T411" s="249" t="s">
        <v>131</v>
      </c>
      <c r="U411" s="256" t="s">
        <v>390</v>
      </c>
      <c r="V411" s="249">
        <v>50</v>
      </c>
      <c r="W411" s="249" t="str">
        <f t="shared" si="1028"/>
        <v>3.5C X 50</v>
      </c>
      <c r="X411" s="249" t="str">
        <f t="shared" si="1029"/>
        <v>3.5C X 50</v>
      </c>
      <c r="Y411" s="249" t="s">
        <v>314</v>
      </c>
      <c r="Z411" s="250">
        <f>IF(T411="AIR",VLOOKUP(W411,'Catalogue Aluminium'!$B$9:$G$91,2,FALSE),IF(T411="GROUND",VLOOKUP(W411,'Catalogue Aluminium'!$B$9:$G$91,3,FALSE),IF(T411="DUCT",VLOOKUP(W411,'Catalogue Aluminium'!$B$9:$G$91,4,FALSE),IF(T411="TRENCH",VLOOKUP(W411,'Catalogue Aluminium'!$B$9:$G$91,2,FALSE)))))</f>
        <v>141</v>
      </c>
      <c r="AA411" s="251">
        <f>VLOOKUP(W411,'Catalogue Aluminium'!$B$9:$G$91,5,FALSE)</f>
        <v>0.82</v>
      </c>
      <c r="AB411" s="251">
        <f>VLOOKUP(W411,'Catalogue Aluminium'!$B$9:$G$91,6,FALSE)</f>
        <v>7.9200000000000007E-2</v>
      </c>
      <c r="AC411" s="323">
        <f t="shared" ref="AC411:AC412" si="1045">3+4</f>
        <v>7</v>
      </c>
      <c r="AD411" s="294">
        <f>40+50+38+48+58+60+18+30+31</f>
        <v>373</v>
      </c>
      <c r="AE411" s="323">
        <v>20</v>
      </c>
      <c r="AF411" s="294">
        <v>8</v>
      </c>
      <c r="AG411" s="294">
        <f t="shared" si="1030"/>
        <v>41</v>
      </c>
      <c r="AH411" s="253">
        <f t="shared" si="1031"/>
        <v>449</v>
      </c>
      <c r="AI411" s="250">
        <f>IF(T411="AIR",'Catalogue Aluminium'!$K$9,IF(T411="TRENCH",'Catalogue Aluminium'!$K$12,"NA"))</f>
        <v>0.89</v>
      </c>
      <c r="AJ411" s="248">
        <f>IF(T411="Air",(IF(U411="1C",'Catalogue Aluminium'!$L$9,'Catalogue Aluminium'!$M$9)),IF(T411="DUCT",(IF($U411="1C",'Catalogue Aluminium'!$L$10,'Catalogue Aluminium'!$M$10)),IF(T411="GROUND",(IF($U411="1C",'Catalogue Aluminium'!$L$11,'Catalogue Aluminium'!$M$11)),IF(T411="TRENCH",(IF($U411="1C",'Catalogue Aluminium'!$L$12,'Catalogue Aluminium'!$M$12))))))</f>
        <v>0.66</v>
      </c>
      <c r="AK411" s="250" t="str">
        <f>IF(T411="Air",'Catalogue Aluminium'!$N$9,IF(T411="GROUND",'Catalogue Aluminium'!$N$10,IF(T411="DUCT",'Catalogue Aluminium'!$N$11,IF(T411="TRENCH",'Catalogue Aluminium'!$N$12,"NA"))))</f>
        <v>NA</v>
      </c>
      <c r="AL411" s="250" t="str">
        <f>IF(T411="Air",(IF(U411="1C",'Catalogue Aluminium'!$O$9,'Catalogue Aluminium'!$P$9)),IF(T411="DUCT",(IF($U411="1C",'Catalogue Aluminium'!$O$10,'Catalogue Aluminium'!$P$10)),IF(T411="GROUND",(IF($U411="1C",'Catalogue Aluminium'!$O$11,'Catalogue Aluminium'!$P$11)),IF(T411="TRENCH",(IF($U411="1C",'Catalogue Aluminium'!$O$12,'Catalogue Aluminium'!$P$12))))))</f>
        <v>NA</v>
      </c>
      <c r="AM411" s="250" t="str">
        <f>IF(T411="AIR","NA",IF(T411="TRENCH","NA",IF(T411="DUCT",IF(U411="1C",VLOOKUP(V411,'Catalogue Aluminium'!$Q$9:$S$28,2,FALSE),VLOOKUP(V411,'Catalogue Aluminium'!$Q$9:$S$28,3)),IF(T411="GROUND",IF(U411="1C",VLOOKUP(V411,'Catalogue Aluminium'!$Q$9:$S$28,2,FALSE),VLOOKUP(V411,'Catalogue Aluminium'!$Q$9:$S$28,3))))))</f>
        <v>NA</v>
      </c>
      <c r="AN411" s="257">
        <f t="shared" si="1032"/>
        <v>0.58740000000000003</v>
      </c>
      <c r="AO411" s="256">
        <f t="shared" si="1033"/>
        <v>82.823400000000007</v>
      </c>
      <c r="AP411" s="255">
        <f t="shared" si="1034"/>
        <v>1</v>
      </c>
      <c r="AQ411" s="256" t="str">
        <f t="shared" si="1035"/>
        <v>YES</v>
      </c>
      <c r="AR411" s="257">
        <f t="shared" si="1036"/>
        <v>2.2979867265968683</v>
      </c>
      <c r="AS411" s="249" t="str">
        <f t="shared" si="1037"/>
        <v>YES</v>
      </c>
      <c r="AT411" s="257" t="str">
        <f t="shared" si="1038"/>
        <v>NA</v>
      </c>
      <c r="AU411" s="249" t="str">
        <f t="shared" si="1039"/>
        <v>NA</v>
      </c>
      <c r="AV411" s="260" t="str">
        <f t="shared" si="1040"/>
        <v>1R x 0.6/1kV x 3.5C x 50 Sqmm</v>
      </c>
      <c r="AW411" s="260" t="str">
        <f t="shared" si="1041"/>
        <v>1R x 0.6/1kV x 3.5C x 50 Sqmm</v>
      </c>
      <c r="AX411" s="249">
        <f t="shared" si="1042"/>
        <v>449</v>
      </c>
      <c r="AY411" s="261"/>
    </row>
    <row r="412" spans="1:51">
      <c r="A412" s="243">
        <f t="shared" si="1043"/>
        <v>282</v>
      </c>
      <c r="B412" s="373" t="s">
        <v>738</v>
      </c>
      <c r="C412" s="243" t="str">
        <f t="shared" si="1044"/>
        <v>MAIN UPS DB-1</v>
      </c>
      <c r="D412" s="313" t="s">
        <v>741</v>
      </c>
      <c r="E412" s="314" t="s">
        <v>740</v>
      </c>
      <c r="F412" s="249"/>
      <c r="G412" s="243" t="s">
        <v>298</v>
      </c>
      <c r="H412" s="256"/>
      <c r="I412" s="243" t="s">
        <v>299</v>
      </c>
      <c r="J412" s="243" t="s">
        <v>300</v>
      </c>
      <c r="K412" s="255">
        <v>400</v>
      </c>
      <c r="L412" s="249">
        <v>0.84999999999999987</v>
      </c>
      <c r="M412" s="256">
        <v>0.95099999999999985</v>
      </c>
      <c r="N412" s="248">
        <v>16</v>
      </c>
      <c r="O412" s="248">
        <f t="shared" si="1025"/>
        <v>0</v>
      </c>
      <c r="P412" s="249" t="str">
        <f t="shared" si="1026"/>
        <v>0.00</v>
      </c>
      <c r="Q412" s="256">
        <v>50</v>
      </c>
      <c r="R412" s="256">
        <v>0</v>
      </c>
      <c r="S412" s="256">
        <f t="shared" si="1027"/>
        <v>0</v>
      </c>
      <c r="T412" s="249" t="s">
        <v>131</v>
      </c>
      <c r="U412" s="256" t="s">
        <v>390</v>
      </c>
      <c r="V412" s="249">
        <v>50</v>
      </c>
      <c r="W412" s="249" t="str">
        <f t="shared" si="1028"/>
        <v>3.5C X 50</v>
      </c>
      <c r="X412" s="249" t="str">
        <f t="shared" si="1029"/>
        <v>3.5C X 50</v>
      </c>
      <c r="Y412" s="249" t="s">
        <v>314</v>
      </c>
      <c r="Z412" s="250">
        <f>IF(T412="AIR",VLOOKUP(W412,'Catalogue Aluminium'!$B$9:$G$91,2,FALSE),IF(T412="GROUND",VLOOKUP(W412,'Catalogue Aluminium'!$B$9:$G$91,3,FALSE),IF(T412="DUCT",VLOOKUP(W412,'Catalogue Aluminium'!$B$9:$G$91,4,FALSE),IF(T412="TRENCH",VLOOKUP(W412,'Catalogue Aluminium'!$B$9:$G$91,2,FALSE)))))</f>
        <v>141</v>
      </c>
      <c r="AA412" s="251">
        <f>VLOOKUP(W412,'Catalogue Aluminium'!$B$9:$G$91,5,FALSE)</f>
        <v>0.82</v>
      </c>
      <c r="AB412" s="251">
        <f>VLOOKUP(W412,'Catalogue Aluminium'!$B$9:$G$91,6,FALSE)</f>
        <v>7.9200000000000007E-2</v>
      </c>
      <c r="AC412" s="323">
        <f t="shared" si="1045"/>
        <v>7</v>
      </c>
      <c r="AD412" s="294">
        <f>40+50+38+48+58+60+18+30+31</f>
        <v>373</v>
      </c>
      <c r="AE412" s="323">
        <v>20</v>
      </c>
      <c r="AF412" s="294">
        <v>8</v>
      </c>
      <c r="AG412" s="294">
        <f t="shared" si="1030"/>
        <v>41</v>
      </c>
      <c r="AH412" s="253">
        <f t="shared" si="1031"/>
        <v>449</v>
      </c>
      <c r="AI412" s="250">
        <f>IF(T412="AIR",'Catalogue Aluminium'!$K$9,IF(T412="TRENCH",'Catalogue Aluminium'!$K$12,"NA"))</f>
        <v>0.89</v>
      </c>
      <c r="AJ412" s="248">
        <f>IF(T412="Air",(IF(U412="1C",'Catalogue Aluminium'!$L$9,'Catalogue Aluminium'!$M$9)),IF(T412="DUCT",(IF($U412="1C",'Catalogue Aluminium'!$L$10,'Catalogue Aluminium'!$M$10)),IF(T412="GROUND",(IF($U412="1C",'Catalogue Aluminium'!$L$11,'Catalogue Aluminium'!$M$11)),IF(T412="TRENCH",(IF($U412="1C",'Catalogue Aluminium'!$L$12,'Catalogue Aluminium'!$M$12))))))</f>
        <v>0.66</v>
      </c>
      <c r="AK412" s="250" t="str">
        <f>IF(T412="Air",'Catalogue Aluminium'!$N$9,IF(T412="GROUND",'Catalogue Aluminium'!$N$10,IF(T412="DUCT",'Catalogue Aluminium'!$N$11,IF(T412="TRENCH",'Catalogue Aluminium'!$N$12,"NA"))))</f>
        <v>NA</v>
      </c>
      <c r="AL412" s="250" t="str">
        <f>IF(T412="Air",(IF(U412="1C",'Catalogue Aluminium'!$O$9,'Catalogue Aluminium'!$P$9)),IF(T412="DUCT",(IF($U412="1C",'Catalogue Aluminium'!$O$10,'Catalogue Aluminium'!$P$10)),IF(T412="GROUND",(IF($U412="1C",'Catalogue Aluminium'!$O$11,'Catalogue Aluminium'!$P$11)),IF(T412="TRENCH",(IF($U412="1C",'Catalogue Aluminium'!$O$12,'Catalogue Aluminium'!$P$12))))))</f>
        <v>NA</v>
      </c>
      <c r="AM412" s="250" t="str">
        <f>IF(T412="AIR","NA",IF(T412="TRENCH","NA",IF(T412="DUCT",IF(U412="1C",VLOOKUP(V412,'Catalogue Aluminium'!$Q$9:$S$28,2,FALSE),VLOOKUP(V412,'Catalogue Aluminium'!$Q$9:$S$28,3)),IF(T412="GROUND",IF(U412="1C",VLOOKUP(V412,'Catalogue Aluminium'!$Q$9:$S$28,2,FALSE),VLOOKUP(V412,'Catalogue Aluminium'!$Q$9:$S$28,3))))))</f>
        <v>NA</v>
      </c>
      <c r="AN412" s="257">
        <f t="shared" si="1032"/>
        <v>0.58740000000000003</v>
      </c>
      <c r="AO412" s="256">
        <f t="shared" si="1033"/>
        <v>82.823400000000007</v>
      </c>
      <c r="AP412" s="255">
        <f t="shared" si="1034"/>
        <v>1</v>
      </c>
      <c r="AQ412" s="256" t="str">
        <f t="shared" si="1035"/>
        <v>YES</v>
      </c>
      <c r="AR412" s="257">
        <f t="shared" si="1036"/>
        <v>2.2979867265968683</v>
      </c>
      <c r="AS412" s="249" t="str">
        <f t="shared" si="1037"/>
        <v>YES</v>
      </c>
      <c r="AT412" s="257" t="str">
        <f t="shared" si="1038"/>
        <v>NA</v>
      </c>
      <c r="AU412" s="249" t="str">
        <f t="shared" si="1039"/>
        <v>NA</v>
      </c>
      <c r="AV412" s="260" t="str">
        <f t="shared" si="1040"/>
        <v>1R x 0.6/1kV x 3.5C x 50 Sqmm</v>
      </c>
      <c r="AW412" s="260" t="str">
        <f t="shared" si="1041"/>
        <v>1R x 0.6/1kV x 3.5C x 50 Sqmm</v>
      </c>
      <c r="AX412" s="249">
        <f t="shared" si="1042"/>
        <v>449</v>
      </c>
      <c r="AY412" s="261"/>
    </row>
    <row r="413" spans="1:51">
      <c r="A413" s="243">
        <f t="shared" si="1043"/>
        <v>283</v>
      </c>
      <c r="B413" s="373" t="s">
        <v>742</v>
      </c>
      <c r="C413" s="243" t="str">
        <f t="shared" si="1044"/>
        <v>MAIN UPS DB-1</v>
      </c>
      <c r="D413" s="313" t="s">
        <v>743</v>
      </c>
      <c r="E413" s="314" t="s">
        <v>744</v>
      </c>
      <c r="F413" s="550"/>
      <c r="G413" s="243" t="s">
        <v>298</v>
      </c>
      <c r="H413" s="256"/>
      <c r="I413" s="243" t="s">
        <v>299</v>
      </c>
      <c r="J413" s="243" t="s">
        <v>300</v>
      </c>
      <c r="K413" s="255">
        <v>400</v>
      </c>
      <c r="L413" s="249">
        <v>0.84999999999999987</v>
      </c>
      <c r="M413" s="256">
        <v>0.95099999999999985</v>
      </c>
      <c r="N413" s="248">
        <v>32</v>
      </c>
      <c r="O413" s="248">
        <f t="shared" si="1025"/>
        <v>0</v>
      </c>
      <c r="P413" s="249" t="str">
        <f t="shared" si="1026"/>
        <v>0.00</v>
      </c>
      <c r="Q413" s="256">
        <v>50</v>
      </c>
      <c r="R413" s="256">
        <v>0</v>
      </c>
      <c r="S413" s="256">
        <f t="shared" si="1027"/>
        <v>0</v>
      </c>
      <c r="T413" s="249" t="s">
        <v>131</v>
      </c>
      <c r="U413" s="256" t="s">
        <v>390</v>
      </c>
      <c r="V413" s="249">
        <v>95</v>
      </c>
      <c r="W413" s="249" t="str">
        <f t="shared" si="1028"/>
        <v>3.5C X 95</v>
      </c>
      <c r="X413" s="249" t="str">
        <f t="shared" si="1029"/>
        <v>3.5C X 95</v>
      </c>
      <c r="Y413" s="249" t="s">
        <v>314</v>
      </c>
      <c r="Z413" s="250">
        <f>IF(T413="AIR",VLOOKUP(W413,'Catalogue Aluminium'!$B$9:$G$91,2,FALSE),IF(T413="GROUND",VLOOKUP(W413,'Catalogue Aluminium'!$B$9:$G$91,3,FALSE),IF(T413="DUCT",VLOOKUP(W413,'Catalogue Aluminium'!$B$9:$G$91,4,FALSE),IF(T413="TRENCH",VLOOKUP(W413,'Catalogue Aluminium'!$B$9:$G$91,2,FALSE)))))</f>
        <v>221</v>
      </c>
      <c r="AA413" s="251">
        <f>VLOOKUP(W413,'Catalogue Aluminium'!$B$9:$G$91,5,FALSE)</f>
        <v>0.41</v>
      </c>
      <c r="AB413" s="251">
        <f>VLOOKUP(W413,'Catalogue Aluminium'!$B$9:$G$91,6,FALSE)</f>
        <v>7.3400000000000007E-2</v>
      </c>
      <c r="AC413" s="323">
        <v>30</v>
      </c>
      <c r="AD413" s="294">
        <f>40+50+38+48+58+60+18+20</f>
        <v>332</v>
      </c>
      <c r="AE413" s="323">
        <v>20</v>
      </c>
      <c r="AF413" s="294">
        <v>8</v>
      </c>
      <c r="AG413" s="294">
        <f t="shared" si="1030"/>
        <v>39</v>
      </c>
      <c r="AH413" s="253">
        <f t="shared" si="1031"/>
        <v>429</v>
      </c>
      <c r="AI413" s="250">
        <f>IF(T413="AIR",'Catalogue Aluminium'!$K$9,IF(T413="TRENCH",'Catalogue Aluminium'!$K$12,"NA"))</f>
        <v>0.89</v>
      </c>
      <c r="AJ413" s="248">
        <f>IF(T413="Air",(IF(U413="1C",'Catalogue Aluminium'!$L$9,'Catalogue Aluminium'!$M$9)),IF(T413="DUCT",(IF($U413="1C",'Catalogue Aluminium'!$L$10,'Catalogue Aluminium'!$M$10)),IF(T413="GROUND",(IF($U413="1C",'Catalogue Aluminium'!$L$11,'Catalogue Aluminium'!$M$11)),IF(T413="TRENCH",(IF($U413="1C",'Catalogue Aluminium'!$L$12,'Catalogue Aluminium'!$M$12))))))</f>
        <v>0.66</v>
      </c>
      <c r="AK413" s="250" t="str">
        <f>IF(T413="Air",'Catalogue Aluminium'!$N$9,IF(T413="GROUND",'Catalogue Aluminium'!$N$10,IF(T413="DUCT",'Catalogue Aluminium'!$N$11,IF(T413="TRENCH",'Catalogue Aluminium'!$N$12,"NA"))))</f>
        <v>NA</v>
      </c>
      <c r="AL413" s="250" t="str">
        <f>IF(T413="Air",(IF(U413="1C",'Catalogue Aluminium'!$O$9,'Catalogue Aluminium'!$P$9)),IF(T413="DUCT",(IF($U413="1C",'Catalogue Aluminium'!$O$10,'Catalogue Aluminium'!$P$10)),IF(T413="GROUND",(IF($U413="1C",'Catalogue Aluminium'!$O$11,'Catalogue Aluminium'!$P$11)),IF(T413="TRENCH",(IF($U413="1C",'Catalogue Aluminium'!$O$12,'Catalogue Aluminium'!$P$12))))))</f>
        <v>NA</v>
      </c>
      <c r="AM413" s="250" t="str">
        <f>IF(T413="AIR","NA",IF(T413="TRENCH","NA",IF(T413="DUCT",IF(U413="1C",VLOOKUP(V413,'Catalogue Aluminium'!$Q$9:$S$28,2,FALSE),VLOOKUP(V413,'Catalogue Aluminium'!$Q$9:$S$28,3)),IF(T413="GROUND",IF(U413="1C",VLOOKUP(V413,'Catalogue Aluminium'!$Q$9:$S$28,2,FALSE),VLOOKUP(V413,'Catalogue Aluminium'!$Q$9:$S$28,3))))))</f>
        <v>NA</v>
      </c>
      <c r="AN413" s="257">
        <f t="shared" si="1032"/>
        <v>0.58740000000000003</v>
      </c>
      <c r="AO413" s="256">
        <f t="shared" si="1033"/>
        <v>129.81540000000001</v>
      </c>
      <c r="AP413" s="255">
        <f t="shared" si="1034"/>
        <v>1</v>
      </c>
      <c r="AQ413" s="256" t="str">
        <f t="shared" si="1035"/>
        <v>YES</v>
      </c>
      <c r="AR413" s="257">
        <f t="shared" si="1036"/>
        <v>2.3014680439482285</v>
      </c>
      <c r="AS413" s="249" t="str">
        <f t="shared" si="1037"/>
        <v>YES</v>
      </c>
      <c r="AT413" s="257" t="str">
        <f t="shared" si="1038"/>
        <v>NA</v>
      </c>
      <c r="AU413" s="249" t="str">
        <f t="shared" si="1039"/>
        <v>NA</v>
      </c>
      <c r="AV413" s="260" t="str">
        <f t="shared" si="1040"/>
        <v>1R x 0.6/1kV x 3.5C x 95 Sqmm</v>
      </c>
      <c r="AW413" s="260" t="str">
        <f t="shared" si="1041"/>
        <v>1R x 0.6/1kV x 3.5C x 95 Sqmm</v>
      </c>
      <c r="AX413" s="249">
        <f t="shared" si="1042"/>
        <v>429</v>
      </c>
      <c r="AY413" s="261"/>
    </row>
    <row r="414" spans="1:51">
      <c r="A414" s="243">
        <f t="shared" si="1043"/>
        <v>284</v>
      </c>
      <c r="B414" s="373" t="s">
        <v>742</v>
      </c>
      <c r="C414" s="243" t="str">
        <f t="shared" si="1044"/>
        <v>MAIN UPS DB-1</v>
      </c>
      <c r="D414" s="313" t="s">
        <v>745</v>
      </c>
      <c r="E414" s="314" t="s">
        <v>744</v>
      </c>
      <c r="F414" s="550"/>
      <c r="G414" s="243" t="s">
        <v>298</v>
      </c>
      <c r="H414" s="256"/>
      <c r="I414" s="243" t="s">
        <v>299</v>
      </c>
      <c r="J414" s="243" t="s">
        <v>300</v>
      </c>
      <c r="K414" s="255">
        <v>400</v>
      </c>
      <c r="L414" s="249">
        <v>0.84999999999999987</v>
      </c>
      <c r="M414" s="256">
        <v>0.95099999999999985</v>
      </c>
      <c r="N414" s="248">
        <v>32</v>
      </c>
      <c r="O414" s="248">
        <f t="shared" si="1025"/>
        <v>0</v>
      </c>
      <c r="P414" s="249" t="str">
        <f t="shared" si="1026"/>
        <v>0.00</v>
      </c>
      <c r="Q414" s="256">
        <v>50</v>
      </c>
      <c r="R414" s="256">
        <v>0</v>
      </c>
      <c r="S414" s="256">
        <f t="shared" si="1027"/>
        <v>0</v>
      </c>
      <c r="T414" s="249" t="s">
        <v>131</v>
      </c>
      <c r="U414" s="256" t="s">
        <v>390</v>
      </c>
      <c r="V414" s="249">
        <v>95</v>
      </c>
      <c r="W414" s="249" t="str">
        <f t="shared" si="1028"/>
        <v>3.5C X 95</v>
      </c>
      <c r="X414" s="249" t="str">
        <f t="shared" si="1029"/>
        <v>3.5C X 95</v>
      </c>
      <c r="Y414" s="249" t="s">
        <v>314</v>
      </c>
      <c r="Z414" s="250">
        <f>IF(T414="AIR",VLOOKUP(W414,'Catalogue Aluminium'!$B$9:$G$91,2,FALSE),IF(T414="GROUND",VLOOKUP(W414,'Catalogue Aluminium'!$B$9:$G$91,3,FALSE),IF(T414="DUCT",VLOOKUP(W414,'Catalogue Aluminium'!$B$9:$G$91,4,FALSE),IF(T414="TRENCH",VLOOKUP(W414,'Catalogue Aluminium'!$B$9:$G$91,2,FALSE)))))</f>
        <v>221</v>
      </c>
      <c r="AA414" s="251">
        <f>VLOOKUP(W414,'Catalogue Aluminium'!$B$9:$G$91,5,FALSE)</f>
        <v>0.41</v>
      </c>
      <c r="AB414" s="251">
        <f>VLOOKUP(W414,'Catalogue Aluminium'!$B$9:$G$91,6,FALSE)</f>
        <v>7.3400000000000007E-2</v>
      </c>
      <c r="AC414" s="323">
        <v>30</v>
      </c>
      <c r="AD414" s="294">
        <f>40+50+38+48+58+60+18+20</f>
        <v>332</v>
      </c>
      <c r="AE414" s="323">
        <v>20</v>
      </c>
      <c r="AF414" s="294">
        <v>8</v>
      </c>
      <c r="AG414" s="294">
        <f t="shared" si="1030"/>
        <v>39</v>
      </c>
      <c r="AH414" s="253">
        <f t="shared" si="1031"/>
        <v>429</v>
      </c>
      <c r="AI414" s="250">
        <f>IF(T414="AIR",'Catalogue Aluminium'!$K$9,IF(T414="TRENCH",'Catalogue Aluminium'!$K$12,"NA"))</f>
        <v>0.89</v>
      </c>
      <c r="AJ414" s="248">
        <f>IF(T414="Air",(IF(U414="1C",'Catalogue Aluminium'!$L$9,'Catalogue Aluminium'!$M$9)),IF(T414="DUCT",(IF($U414="1C",'Catalogue Aluminium'!$L$10,'Catalogue Aluminium'!$M$10)),IF(T414="GROUND",(IF($U414="1C",'Catalogue Aluminium'!$L$11,'Catalogue Aluminium'!$M$11)),IF(T414="TRENCH",(IF($U414="1C",'Catalogue Aluminium'!$L$12,'Catalogue Aluminium'!$M$12))))))</f>
        <v>0.66</v>
      </c>
      <c r="AK414" s="250" t="str">
        <f>IF(T414="Air",'Catalogue Aluminium'!$N$9,IF(T414="GROUND",'Catalogue Aluminium'!$N$10,IF(T414="DUCT",'Catalogue Aluminium'!$N$11,IF(T414="TRENCH",'Catalogue Aluminium'!$N$12,"NA"))))</f>
        <v>NA</v>
      </c>
      <c r="AL414" s="250" t="str">
        <f>IF(T414="Air",(IF(U414="1C",'Catalogue Aluminium'!$O$9,'Catalogue Aluminium'!$P$9)),IF(T414="DUCT",(IF($U414="1C",'Catalogue Aluminium'!$O$10,'Catalogue Aluminium'!$P$10)),IF(T414="GROUND",(IF($U414="1C",'Catalogue Aluminium'!$O$11,'Catalogue Aluminium'!$P$11)),IF(T414="TRENCH",(IF($U414="1C",'Catalogue Aluminium'!$O$12,'Catalogue Aluminium'!$P$12))))))</f>
        <v>NA</v>
      </c>
      <c r="AM414" s="250" t="str">
        <f>IF(T414="AIR","NA",IF(T414="TRENCH","NA",IF(T414="DUCT",IF(U414="1C",VLOOKUP(V414,'Catalogue Aluminium'!$Q$9:$S$28,2,FALSE),VLOOKUP(V414,'Catalogue Aluminium'!$Q$9:$S$28,3)),IF(T414="GROUND",IF(U414="1C",VLOOKUP(V414,'Catalogue Aluminium'!$Q$9:$S$28,2,FALSE),VLOOKUP(V414,'Catalogue Aluminium'!$Q$9:$S$28,3))))))</f>
        <v>NA</v>
      </c>
      <c r="AN414" s="257">
        <f t="shared" si="1032"/>
        <v>0.58740000000000003</v>
      </c>
      <c r="AO414" s="256">
        <f t="shared" si="1033"/>
        <v>129.81540000000001</v>
      </c>
      <c r="AP414" s="255">
        <f t="shared" si="1034"/>
        <v>1</v>
      </c>
      <c r="AQ414" s="256" t="str">
        <f t="shared" si="1035"/>
        <v>YES</v>
      </c>
      <c r="AR414" s="257">
        <f t="shared" si="1036"/>
        <v>2.3014680439482285</v>
      </c>
      <c r="AS414" s="249" t="str">
        <f t="shared" si="1037"/>
        <v>YES</v>
      </c>
      <c r="AT414" s="257" t="str">
        <f t="shared" si="1038"/>
        <v>NA</v>
      </c>
      <c r="AU414" s="249" t="str">
        <f t="shared" si="1039"/>
        <v>NA</v>
      </c>
      <c r="AV414" s="260" t="str">
        <f t="shared" si="1040"/>
        <v>1R x 0.6/1kV x 3.5C x 95 Sqmm</v>
      </c>
      <c r="AW414" s="260" t="str">
        <f t="shared" si="1041"/>
        <v>1R x 0.6/1kV x 3.5C x 95 Sqmm</v>
      </c>
      <c r="AX414" s="249">
        <f t="shared" si="1042"/>
        <v>429</v>
      </c>
      <c r="AY414" s="261"/>
    </row>
    <row r="415" spans="1:51" ht="18.75" customHeight="1">
      <c r="A415" s="243">
        <f t="shared" si="1043"/>
        <v>285</v>
      </c>
      <c r="B415" s="373" t="s">
        <v>746</v>
      </c>
      <c r="C415" s="243" t="s">
        <v>747</v>
      </c>
      <c r="D415" s="409" t="s">
        <v>748</v>
      </c>
      <c r="E415" s="320" t="s">
        <v>410</v>
      </c>
      <c r="F415" s="410"/>
      <c r="G415" s="246" t="s">
        <v>306</v>
      </c>
      <c r="H415" s="256"/>
      <c r="I415" s="243" t="s">
        <v>299</v>
      </c>
      <c r="J415" s="243" t="s">
        <v>300</v>
      </c>
      <c r="K415" s="255">
        <v>400</v>
      </c>
      <c r="L415" s="249">
        <v>0.84999999999999987</v>
      </c>
      <c r="M415" s="256">
        <v>0.95099999999999985</v>
      </c>
      <c r="N415" s="248">
        <v>400</v>
      </c>
      <c r="O415" s="292"/>
      <c r="P415" s="293"/>
      <c r="Q415" s="293"/>
      <c r="R415" s="293"/>
      <c r="S415" s="293"/>
      <c r="T415" s="293"/>
      <c r="U415" s="293"/>
      <c r="V415" s="293"/>
      <c r="W415" s="293"/>
      <c r="X415" s="293"/>
      <c r="Y415" s="293"/>
      <c r="Z415" s="293"/>
      <c r="AA415" s="293"/>
      <c r="AB415" s="293"/>
      <c r="AC415" s="606"/>
      <c r="AD415" s="606"/>
      <c r="AE415" s="606"/>
      <c r="AF415" s="606"/>
      <c r="AG415" s="606"/>
      <c r="AH415" s="293"/>
      <c r="AI415" s="293"/>
      <c r="AJ415" s="293"/>
      <c r="AK415" s="293"/>
      <c r="AL415" s="293"/>
      <c r="AM415" s="293"/>
      <c r="AN415" s="293"/>
      <c r="AO415" s="293"/>
      <c r="AP415" s="293"/>
      <c r="AQ415" s="293"/>
      <c r="AR415" s="293"/>
      <c r="AS415" s="293"/>
      <c r="AT415" s="293"/>
      <c r="AU415" s="293"/>
      <c r="AV415" s="293"/>
      <c r="AW415" s="293"/>
      <c r="AX415" s="293"/>
      <c r="AY415" s="293"/>
    </row>
    <row r="416" spans="1:51" ht="18.75" customHeight="1">
      <c r="A416" s="243">
        <f t="shared" si="1043"/>
        <v>286</v>
      </c>
      <c r="B416" s="373" t="s">
        <v>746</v>
      </c>
      <c r="C416" s="243" t="s">
        <v>747</v>
      </c>
      <c r="D416" s="409" t="s">
        <v>749</v>
      </c>
      <c r="E416" s="320" t="s">
        <v>410</v>
      </c>
      <c r="F416" s="410"/>
      <c r="G416" s="246" t="s">
        <v>306</v>
      </c>
      <c r="H416" s="256"/>
      <c r="I416" s="243" t="s">
        <v>299</v>
      </c>
      <c r="J416" s="243" t="s">
        <v>300</v>
      </c>
      <c r="K416" s="255">
        <v>400</v>
      </c>
      <c r="L416" s="249">
        <v>0.84999999999999987</v>
      </c>
      <c r="M416" s="256">
        <v>0.95099999999999985</v>
      </c>
      <c r="N416" s="248">
        <v>400</v>
      </c>
      <c r="O416" s="292"/>
      <c r="P416" s="293"/>
      <c r="Q416" s="293"/>
      <c r="R416" s="293"/>
      <c r="S416" s="293"/>
      <c r="T416" s="293"/>
      <c r="U416" s="293"/>
      <c r="V416" s="293"/>
      <c r="W416" s="293"/>
      <c r="X416" s="293"/>
      <c r="Y416" s="293"/>
      <c r="Z416" s="293"/>
      <c r="AA416" s="293"/>
      <c r="AB416" s="293"/>
      <c r="AC416" s="606"/>
      <c r="AD416" s="606"/>
      <c r="AE416" s="606"/>
      <c r="AF416" s="606"/>
      <c r="AG416" s="606"/>
      <c r="AH416" s="293"/>
      <c r="AI416" s="293"/>
      <c r="AJ416" s="293"/>
      <c r="AK416" s="293"/>
      <c r="AL416" s="293"/>
      <c r="AM416" s="293"/>
      <c r="AN416" s="293"/>
      <c r="AO416" s="293"/>
      <c r="AP416" s="293"/>
      <c r="AQ416" s="293"/>
      <c r="AR416" s="293"/>
      <c r="AS416" s="293"/>
      <c r="AT416" s="293"/>
      <c r="AU416" s="293"/>
      <c r="AV416" s="293"/>
      <c r="AW416" s="293"/>
      <c r="AX416" s="293"/>
      <c r="AY416" s="293"/>
    </row>
    <row r="417" spans="1:51" s="70" customFormat="1" ht="27" customHeight="1">
      <c r="A417" s="332"/>
      <c r="B417" s="332"/>
      <c r="C417" s="332"/>
      <c r="D417" s="414" t="s">
        <v>750</v>
      </c>
      <c r="E417" s="334"/>
      <c r="F417" s="565"/>
      <c r="G417" s="332"/>
      <c r="H417" s="335"/>
      <c r="I417" s="332"/>
      <c r="J417" s="332"/>
      <c r="K417" s="336"/>
      <c r="L417" s="337"/>
      <c r="M417" s="335"/>
      <c r="N417" s="338"/>
      <c r="O417" s="338"/>
      <c r="P417" s="337"/>
      <c r="Q417" s="335"/>
      <c r="R417" s="335"/>
      <c r="S417" s="335"/>
      <c r="T417" s="337"/>
      <c r="U417" s="335"/>
      <c r="V417" s="337"/>
      <c r="W417" s="337"/>
      <c r="X417" s="337"/>
      <c r="Y417" s="337"/>
      <c r="Z417" s="339"/>
      <c r="AA417" s="340"/>
      <c r="AB417" s="340"/>
      <c r="AC417" s="323"/>
      <c r="AD417" s="323"/>
      <c r="AE417" s="323"/>
      <c r="AF417" s="323"/>
      <c r="AG417" s="323"/>
      <c r="AH417" s="341"/>
      <c r="AI417" s="339"/>
      <c r="AJ417" s="338"/>
      <c r="AK417" s="339"/>
      <c r="AL417" s="339"/>
      <c r="AM417" s="339"/>
      <c r="AN417" s="342"/>
      <c r="AO417" s="335"/>
      <c r="AP417" s="336"/>
      <c r="AQ417" s="335"/>
      <c r="AR417" s="342"/>
      <c r="AS417" s="337"/>
      <c r="AT417" s="342"/>
      <c r="AU417" s="342"/>
      <c r="AV417" s="343"/>
      <c r="AW417" s="343"/>
      <c r="AX417" s="337"/>
      <c r="AY417" s="344"/>
    </row>
    <row r="418" spans="1:51" ht="33" customHeight="1">
      <c r="A418" s="243">
        <f>1+A416</f>
        <v>287</v>
      </c>
      <c r="B418" s="243"/>
      <c r="C418" s="243" t="str">
        <f>$D$417</f>
        <v>CENTRAL CONTROL BUILDING HVAC DB</v>
      </c>
      <c r="D418" s="272" t="s">
        <v>751</v>
      </c>
      <c r="E418" s="320" t="s">
        <v>410</v>
      </c>
      <c r="F418" s="567"/>
      <c r="G418" s="243" t="s">
        <v>298</v>
      </c>
      <c r="H418" s="421">
        <v>0.55000000000000004</v>
      </c>
      <c r="I418" s="243" t="s">
        <v>299</v>
      </c>
      <c r="J418" s="243" t="s">
        <v>300</v>
      </c>
      <c r="K418" s="255">
        <v>400</v>
      </c>
      <c r="L418" s="249">
        <v>0.84999999999999987</v>
      </c>
      <c r="M418" s="256">
        <v>0.95099999999999985</v>
      </c>
      <c r="N418" s="248">
        <f t="shared" ref="N418:N443" si="1046">IF(I418="kVA",IF(J418="3Ph",(H418*1000/(1.732*M418*K418)),(H418*1000/(M418*K418))),IF(I418="kW",IF(J418="3Ph",(H418*1000/(1.732*M418*K418*L418)),(H418*1000/(M418*K418*L418)))))</f>
        <v>0.9820992238773395</v>
      </c>
      <c r="O418" s="248">
        <f t="shared" ref="O418:O442" si="1047">IF(G418="MOTOR",(6*N418),IF(G418="VFD",(1*N418),0))</f>
        <v>0</v>
      </c>
      <c r="P418" s="249" t="str">
        <f t="shared" ref="P418:P442" si="1048">IF(G418="MOTOR",0.2,"0.00")</f>
        <v>0.00</v>
      </c>
      <c r="Q418" s="256">
        <v>25</v>
      </c>
      <c r="R418" s="256">
        <v>0</v>
      </c>
      <c r="S418" s="256">
        <f t="shared" ref="S418:S442" si="1049">(Q418*1000*SQRT(R418)/143)</f>
        <v>0</v>
      </c>
      <c r="T418" s="249" t="s">
        <v>131</v>
      </c>
      <c r="U418" s="256" t="s">
        <v>377</v>
      </c>
      <c r="V418" s="249">
        <v>4</v>
      </c>
      <c r="W418" s="249" t="str">
        <f t="shared" ref="W418:W442" si="1050">CONCATENATE(U418," X ",V418)</f>
        <v>4C X 4</v>
      </c>
      <c r="X418" s="249" t="str">
        <f t="shared" ref="X418:X442" si="1051">(IF(J418="1Ph",W418,IF(J418="3Ph",(IF(G418="MOTOR",(CONCATENATE(W418,"+PE")),W418)))))</f>
        <v>4C X 4</v>
      </c>
      <c r="Y418" s="249" t="s">
        <v>314</v>
      </c>
      <c r="Z418" s="250">
        <f>IF(T418="AIR",VLOOKUP(W418,'Catalogue Aluminium'!$B$9:$G$91,2,FALSE),IF(T418="GROUND",VLOOKUP(W418,'Catalogue Aluminium'!$B$9:$G$91,3,FALSE),IF(T418="DUCT",VLOOKUP(W418,'Catalogue Aluminium'!$B$9:$G$91,4,FALSE),IF(T418="TRENCH",VLOOKUP(W418,'Catalogue Aluminium'!$B$9:$G$91,2,FALSE)))))</f>
        <v>38</v>
      </c>
      <c r="AA418" s="251">
        <f>VLOOKUP(W418,'Catalogue Aluminium'!$B$9:$G$91,5,FALSE)</f>
        <v>5.9</v>
      </c>
      <c r="AB418" s="251">
        <f>VLOOKUP(W418,'Catalogue Aluminium'!$B$9:$G$91,6,FALSE)</f>
        <v>9.4700000000000006E-2</v>
      </c>
      <c r="AC418" s="572">
        <f t="shared" ref="AC418:AC442" si="1052">23+15</f>
        <v>38</v>
      </c>
      <c r="AD418" s="572">
        <v>0</v>
      </c>
      <c r="AE418" s="294">
        <v>10</v>
      </c>
      <c r="AF418" s="294">
        <v>5</v>
      </c>
      <c r="AG418" s="294">
        <f t="shared" ref="AG418:AG442" si="1053">ROUNDUP((SUM(AC418:AF418)*0.1),0)</f>
        <v>6</v>
      </c>
      <c r="AH418" s="253">
        <f t="shared" ref="AH418:AH442" si="1054">SUM(AC418:AG418)</f>
        <v>59</v>
      </c>
      <c r="AI418" s="250">
        <f>IF(T418="AIR",'Catalogue Aluminium'!$K$9,IF(T418="TRENCH",'Catalogue Aluminium'!$K$12,"NA"))</f>
        <v>0.89</v>
      </c>
      <c r="AJ418" s="248">
        <f>IF(T418="Air",(IF(U418="1C",'Catalogue Aluminium'!$L$9,'Catalogue Aluminium'!$M$9)),IF(T418="DUCT",(IF($U418="1C",'Catalogue Aluminium'!$L$10,'Catalogue Aluminium'!$M$10)),IF(T418="GROUND",(IF($U418="1C",'Catalogue Aluminium'!$L$11,'Catalogue Aluminium'!$M$11)),IF(T418="TRENCH",(IF($U418="1C",'Catalogue Aluminium'!$L$12,'Catalogue Aluminium'!$M$12))))))</f>
        <v>0.66</v>
      </c>
      <c r="AK418" s="250" t="str">
        <f>IF(T418="Air",'Catalogue Aluminium'!$N$9,IF(T418="GROUND",'Catalogue Aluminium'!$N$10,IF(T418="DUCT",'Catalogue Aluminium'!$N$11,IF(T418="TRENCH",'Catalogue Aluminium'!$N$12,"NA"))))</f>
        <v>NA</v>
      </c>
      <c r="AL418" s="250" t="str">
        <f>IF(T418="Air",(IF(U418="1C",'Catalogue Aluminium'!$O$9,'Catalogue Aluminium'!$P$9)),IF(T418="DUCT",(IF($U418="1C",'Catalogue Aluminium'!$O$10,'Catalogue Aluminium'!$P$10)),IF(T418="GROUND",(IF($U418="1C",'Catalogue Aluminium'!$O$11,'Catalogue Aluminium'!$P$11)),IF(T418="TRENCH",(IF($U418="1C",'Catalogue Aluminium'!$O$12,'Catalogue Aluminium'!$P$12))))))</f>
        <v>NA</v>
      </c>
      <c r="AM418" s="250" t="str">
        <f>IF(T418="AIR","NA",IF(T418="TRENCH","NA",IF(T418="DUCT",IF(U418="1C",VLOOKUP(V418,'Catalogue Aluminium'!$Q$9:$S$28,2,FALSE),VLOOKUP(V418,'Catalogue Aluminium'!$Q$9:$S$28,3)),IF(T418="GROUND",IF(U418="1C",VLOOKUP(V418,'Catalogue Aluminium'!$Q$9:$S$28,2,FALSE),VLOOKUP(V418,'Catalogue Aluminium'!$Q$9:$S$28,3))))))</f>
        <v>NA</v>
      </c>
      <c r="AN418" s="257">
        <f t="shared" ref="AN418:AN442" si="1055">IF(T418="AIR",AI418*AJ418,IF(T418="TRENCH",AI418*AJ418,IF(T418="DUCT",AJ418*AK418*AL418*AM418,IF(T418="GROUND",AJ418*AK418*AL418*AM418))))</f>
        <v>0.58740000000000003</v>
      </c>
      <c r="AO418" s="256">
        <f t="shared" ref="AO418:AO442" si="1056">Z418*AN418</f>
        <v>22.321200000000001</v>
      </c>
      <c r="AP418" s="255">
        <f t="shared" ref="AP418:AP442" si="1057">CEILING(((N418)/AO418),1)</f>
        <v>1</v>
      </c>
      <c r="AQ418" s="256" t="str">
        <f t="shared" ref="AQ418:AQ442" si="1058">IF(AO418*AP418&gt;=N418,"YES","NO")</f>
        <v>YES</v>
      </c>
      <c r="AR418" s="257">
        <f t="shared" ref="AR418:AR442" si="1059">SQRT(3)*AH418*N418*((AA418*L418)+(AB418*SIN(ACOS(L418))))*100/(AP418*K418*1000)</f>
        <v>0.12708014969495249</v>
      </c>
      <c r="AS418" s="249" t="str">
        <f t="shared" ref="AS418:AS442" si="1060">IF(G418="INCOMER",(IF(AR418&lt;=2,"YES","NO")),IF(G418="POWER",(IF(AR418&lt;=2.5,"YES","NO")),IF(G418="MOTOR",(IF(AR418&lt;=3,"YES","NO")))))</f>
        <v>YES</v>
      </c>
      <c r="AT418" s="257" t="str">
        <f t="shared" ref="AT418:AT442" si="1061">IF(G418="MOTOR",(SQRT(3)*AH418*O418*((AA418*P418)+(AB418*SIN(ACOS(P418))))*100/(AP418*K418*1000)),"NA")</f>
        <v>NA</v>
      </c>
      <c r="AU418" s="249" t="str">
        <f t="shared" ref="AU418:AU442" si="1062">IF(G418="MOTOR",IF(AT418&lt;=15,"YES","NO"),"NA")</f>
        <v>NA</v>
      </c>
      <c r="AV418" s="260" t="str">
        <f t="shared" ref="AV418:AV442" si="1063">IF(U418="1C",CONCATENATE(AP418,"R x ",Y418,"kV x ",U418," x ",V418," Sqmm/Phase"),CONCATENATE(AP418,"R x ",0.6,"/1kV x ",U418," x ",V418," Sqmm"))</f>
        <v>1R x 0.6/1kV x 4C x 4 Sqmm</v>
      </c>
      <c r="AW418" s="260" t="str">
        <f t="shared" ref="AW418:AW442" si="1064">IF(U418="1C",CONCATENATE(AP418,"R x ",Y418,"kV x ",U418," x ",V418," Sqmm/Phase"),CONCATENATE(AP418,"R x ",0.6,"/1kV x ",U418," x ",V418,(IF(G418="MOTOR","+PE",""))," Sqmm"))</f>
        <v>1R x 0.6/1kV x 4C x 4 Sqmm</v>
      </c>
      <c r="AX418" s="249">
        <f t="shared" ref="AX418:AX436" si="1065">(IF(K418=400,(IF(U418="1C",(4*AH418*AP418),(AH418*AP418))),IF(K418=690,(IF(U418="1C",(3*AH418*AP418),(AH418*AP418))),(AH418*AP418))))</f>
        <v>59</v>
      </c>
      <c r="AY418" s="261"/>
    </row>
    <row r="419" spans="1:51" ht="33" customHeight="1">
      <c r="A419" s="243">
        <f t="shared" ref="A419:A443" si="1066">1+A418</f>
        <v>288</v>
      </c>
      <c r="B419" s="243"/>
      <c r="C419" s="243" t="str">
        <f t="shared" ref="C419:C442" si="1067">$D$417</f>
        <v>CENTRAL CONTROL BUILDING HVAC DB</v>
      </c>
      <c r="D419" s="272" t="s">
        <v>752</v>
      </c>
      <c r="E419" s="320" t="s">
        <v>410</v>
      </c>
      <c r="F419" s="567"/>
      <c r="G419" s="243" t="s">
        <v>298</v>
      </c>
      <c r="H419" s="421">
        <v>0.55000000000000004</v>
      </c>
      <c r="I419" s="243" t="s">
        <v>299</v>
      </c>
      <c r="J419" s="243" t="s">
        <v>300</v>
      </c>
      <c r="K419" s="255">
        <v>400</v>
      </c>
      <c r="L419" s="249">
        <v>0.84999999999999987</v>
      </c>
      <c r="M419" s="256">
        <v>0.95099999999999985</v>
      </c>
      <c r="N419" s="248">
        <f t="shared" si="1046"/>
        <v>0.9820992238773395</v>
      </c>
      <c r="O419" s="248">
        <f t="shared" si="1047"/>
        <v>0</v>
      </c>
      <c r="P419" s="249" t="str">
        <f t="shared" si="1048"/>
        <v>0.00</v>
      </c>
      <c r="Q419" s="256">
        <v>25</v>
      </c>
      <c r="R419" s="256">
        <v>0</v>
      </c>
      <c r="S419" s="256">
        <f t="shared" si="1049"/>
        <v>0</v>
      </c>
      <c r="T419" s="249" t="s">
        <v>131</v>
      </c>
      <c r="U419" s="256" t="s">
        <v>377</v>
      </c>
      <c r="V419" s="249">
        <v>4</v>
      </c>
      <c r="W419" s="249" t="str">
        <f t="shared" si="1050"/>
        <v>4C X 4</v>
      </c>
      <c r="X419" s="249" t="str">
        <f t="shared" si="1051"/>
        <v>4C X 4</v>
      </c>
      <c r="Y419" s="249" t="s">
        <v>314</v>
      </c>
      <c r="Z419" s="250">
        <f>IF(T419="AIR",VLOOKUP(W419,'Catalogue Aluminium'!$B$9:$G$91,2,FALSE),IF(T419="GROUND",VLOOKUP(W419,'Catalogue Aluminium'!$B$9:$G$91,3,FALSE),IF(T419="DUCT",VLOOKUP(W419,'Catalogue Aluminium'!$B$9:$G$91,4,FALSE),IF(T419="TRENCH",VLOOKUP(W419,'Catalogue Aluminium'!$B$9:$G$91,2,FALSE)))))</f>
        <v>38</v>
      </c>
      <c r="AA419" s="251">
        <f>VLOOKUP(W419,'Catalogue Aluminium'!$B$9:$G$91,5,FALSE)</f>
        <v>5.9</v>
      </c>
      <c r="AB419" s="251">
        <f>VLOOKUP(W419,'Catalogue Aluminium'!$B$9:$G$91,6,FALSE)</f>
        <v>9.4700000000000006E-2</v>
      </c>
      <c r="AC419" s="572">
        <f t="shared" si="1052"/>
        <v>38</v>
      </c>
      <c r="AD419" s="572">
        <v>0</v>
      </c>
      <c r="AE419" s="294">
        <v>10</v>
      </c>
      <c r="AF419" s="294">
        <v>5</v>
      </c>
      <c r="AG419" s="294">
        <f t="shared" si="1053"/>
        <v>6</v>
      </c>
      <c r="AH419" s="253">
        <f t="shared" si="1054"/>
        <v>59</v>
      </c>
      <c r="AI419" s="250">
        <f>IF(T419="AIR",'Catalogue Aluminium'!$K$9,IF(T419="TRENCH",'Catalogue Aluminium'!$K$12,"NA"))</f>
        <v>0.89</v>
      </c>
      <c r="AJ419" s="248">
        <f>IF(T419="Air",(IF(U419="1C",'Catalogue Aluminium'!$L$9,'Catalogue Aluminium'!$M$9)),IF(T419="DUCT",(IF($U419="1C",'Catalogue Aluminium'!$L$10,'Catalogue Aluminium'!$M$10)),IF(T419="GROUND",(IF($U419="1C",'Catalogue Aluminium'!$L$11,'Catalogue Aluminium'!$M$11)),IF(T419="TRENCH",(IF($U419="1C",'Catalogue Aluminium'!$L$12,'Catalogue Aluminium'!$M$12))))))</f>
        <v>0.66</v>
      </c>
      <c r="AK419" s="250" t="str">
        <f>IF(T419="Air",'Catalogue Aluminium'!$N$9,IF(T419="GROUND",'Catalogue Aluminium'!$N$10,IF(T419="DUCT",'Catalogue Aluminium'!$N$11,IF(T419="TRENCH",'Catalogue Aluminium'!$N$12,"NA"))))</f>
        <v>NA</v>
      </c>
      <c r="AL419" s="250" t="str">
        <f>IF(T419="Air",(IF(U419="1C",'Catalogue Aluminium'!$O$9,'Catalogue Aluminium'!$P$9)),IF(T419="DUCT",(IF($U419="1C",'Catalogue Aluminium'!$O$10,'Catalogue Aluminium'!$P$10)),IF(T419="GROUND",(IF($U419="1C",'Catalogue Aluminium'!$O$11,'Catalogue Aluminium'!$P$11)),IF(T419="TRENCH",(IF($U419="1C",'Catalogue Aluminium'!$O$12,'Catalogue Aluminium'!$P$12))))))</f>
        <v>NA</v>
      </c>
      <c r="AM419" s="250" t="str">
        <f>IF(T419="AIR","NA",IF(T419="TRENCH","NA",IF(T419="DUCT",IF(U419="1C",VLOOKUP(V419,'Catalogue Aluminium'!$Q$9:$S$28,2,FALSE),VLOOKUP(V419,'Catalogue Aluminium'!$Q$9:$S$28,3)),IF(T419="GROUND",IF(U419="1C",VLOOKUP(V419,'Catalogue Aluminium'!$Q$9:$S$28,2,FALSE),VLOOKUP(V419,'Catalogue Aluminium'!$Q$9:$S$28,3))))))</f>
        <v>NA</v>
      </c>
      <c r="AN419" s="257">
        <f t="shared" si="1055"/>
        <v>0.58740000000000003</v>
      </c>
      <c r="AO419" s="256">
        <f t="shared" si="1056"/>
        <v>22.321200000000001</v>
      </c>
      <c r="AP419" s="255">
        <f t="shared" si="1057"/>
        <v>1</v>
      </c>
      <c r="AQ419" s="256" t="str">
        <f t="shared" si="1058"/>
        <v>YES</v>
      </c>
      <c r="AR419" s="257">
        <f t="shared" si="1059"/>
        <v>0.12708014969495249</v>
      </c>
      <c r="AS419" s="249" t="str">
        <f t="shared" si="1060"/>
        <v>YES</v>
      </c>
      <c r="AT419" s="257" t="str">
        <f t="shared" si="1061"/>
        <v>NA</v>
      </c>
      <c r="AU419" s="249" t="str">
        <f t="shared" si="1062"/>
        <v>NA</v>
      </c>
      <c r="AV419" s="260" t="str">
        <f t="shared" si="1063"/>
        <v>1R x 0.6/1kV x 4C x 4 Sqmm</v>
      </c>
      <c r="AW419" s="260" t="str">
        <f t="shared" si="1064"/>
        <v>1R x 0.6/1kV x 4C x 4 Sqmm</v>
      </c>
      <c r="AX419" s="249">
        <f t="shared" si="1065"/>
        <v>59</v>
      </c>
      <c r="AY419" s="261"/>
    </row>
    <row r="420" spans="1:51" ht="33" customHeight="1">
      <c r="A420" s="243">
        <f t="shared" si="1066"/>
        <v>289</v>
      </c>
      <c r="B420" s="243"/>
      <c r="C420" s="243" t="str">
        <f t="shared" si="1067"/>
        <v>CENTRAL CONTROL BUILDING HVAC DB</v>
      </c>
      <c r="D420" s="314" t="s">
        <v>753</v>
      </c>
      <c r="E420" s="320" t="s">
        <v>410</v>
      </c>
      <c r="F420" s="567"/>
      <c r="G420" s="243" t="s">
        <v>298</v>
      </c>
      <c r="H420" s="421">
        <v>0.55000000000000004</v>
      </c>
      <c r="I420" s="243" t="s">
        <v>299</v>
      </c>
      <c r="J420" s="243" t="s">
        <v>300</v>
      </c>
      <c r="K420" s="255">
        <v>400</v>
      </c>
      <c r="L420" s="249">
        <v>0.84999999999999987</v>
      </c>
      <c r="M420" s="256">
        <v>0.95099999999999985</v>
      </c>
      <c r="N420" s="248">
        <f t="shared" si="1046"/>
        <v>0.9820992238773395</v>
      </c>
      <c r="O420" s="248">
        <f t="shared" si="1047"/>
        <v>0</v>
      </c>
      <c r="P420" s="249" t="str">
        <f t="shared" si="1048"/>
        <v>0.00</v>
      </c>
      <c r="Q420" s="256">
        <v>25</v>
      </c>
      <c r="R420" s="256">
        <v>0</v>
      </c>
      <c r="S420" s="256">
        <f t="shared" si="1049"/>
        <v>0</v>
      </c>
      <c r="T420" s="249" t="s">
        <v>131</v>
      </c>
      <c r="U420" s="256" t="s">
        <v>377</v>
      </c>
      <c r="V420" s="249">
        <v>4</v>
      </c>
      <c r="W420" s="249" t="str">
        <f t="shared" si="1050"/>
        <v>4C X 4</v>
      </c>
      <c r="X420" s="249" t="str">
        <f t="shared" si="1051"/>
        <v>4C X 4</v>
      </c>
      <c r="Y420" s="249" t="s">
        <v>314</v>
      </c>
      <c r="Z420" s="250">
        <f>IF(T420="AIR",VLOOKUP(W420,'Catalogue Aluminium'!$B$9:$G$91,2,FALSE),IF(T420="GROUND",VLOOKUP(W420,'Catalogue Aluminium'!$B$9:$G$91,3,FALSE),IF(T420="DUCT",VLOOKUP(W420,'Catalogue Aluminium'!$B$9:$G$91,4,FALSE),IF(T420="TRENCH",VLOOKUP(W420,'Catalogue Aluminium'!$B$9:$G$91,2,FALSE)))))</f>
        <v>38</v>
      </c>
      <c r="AA420" s="251">
        <f>VLOOKUP(W420,'Catalogue Aluminium'!$B$9:$G$91,5,FALSE)</f>
        <v>5.9</v>
      </c>
      <c r="AB420" s="251">
        <f>VLOOKUP(W420,'Catalogue Aluminium'!$B$9:$G$91,6,FALSE)</f>
        <v>9.4700000000000006E-2</v>
      </c>
      <c r="AC420" s="572">
        <f t="shared" si="1052"/>
        <v>38</v>
      </c>
      <c r="AD420" s="572">
        <v>0</v>
      </c>
      <c r="AE420" s="294">
        <v>10</v>
      </c>
      <c r="AF420" s="294">
        <v>5</v>
      </c>
      <c r="AG420" s="294">
        <f t="shared" si="1053"/>
        <v>6</v>
      </c>
      <c r="AH420" s="253">
        <f t="shared" si="1054"/>
        <v>59</v>
      </c>
      <c r="AI420" s="250">
        <f>IF(T420="AIR",'Catalogue Aluminium'!$K$9,IF(T420="TRENCH",'Catalogue Aluminium'!$K$12,"NA"))</f>
        <v>0.89</v>
      </c>
      <c r="AJ420" s="248">
        <f>IF(T420="Air",(IF(U420="1C",'Catalogue Aluminium'!$L$9,'Catalogue Aluminium'!$M$9)),IF(T420="DUCT",(IF($U420="1C",'Catalogue Aluminium'!$L$10,'Catalogue Aluminium'!$M$10)),IF(T420="GROUND",(IF($U420="1C",'Catalogue Aluminium'!$L$11,'Catalogue Aluminium'!$M$11)),IF(T420="TRENCH",(IF($U420="1C",'Catalogue Aluminium'!$L$12,'Catalogue Aluminium'!$M$12))))))</f>
        <v>0.66</v>
      </c>
      <c r="AK420" s="250" t="str">
        <f>IF(T420="Air",'Catalogue Aluminium'!$N$9,IF(T420="GROUND",'Catalogue Aluminium'!$N$10,IF(T420="DUCT",'Catalogue Aluminium'!$N$11,IF(T420="TRENCH",'Catalogue Aluminium'!$N$12,"NA"))))</f>
        <v>NA</v>
      </c>
      <c r="AL420" s="250" t="str">
        <f>IF(T420="Air",(IF(U420="1C",'Catalogue Aluminium'!$O$9,'Catalogue Aluminium'!$P$9)),IF(T420="DUCT",(IF($U420="1C",'Catalogue Aluminium'!$O$10,'Catalogue Aluminium'!$P$10)),IF(T420="GROUND",(IF($U420="1C",'Catalogue Aluminium'!$O$11,'Catalogue Aluminium'!$P$11)),IF(T420="TRENCH",(IF($U420="1C",'Catalogue Aluminium'!$O$12,'Catalogue Aluminium'!$P$12))))))</f>
        <v>NA</v>
      </c>
      <c r="AM420" s="250" t="str">
        <f>IF(T420="AIR","NA",IF(T420="TRENCH","NA",IF(T420="DUCT",IF(U420="1C",VLOOKUP(V420,'Catalogue Aluminium'!$Q$9:$S$28,2,FALSE),VLOOKUP(V420,'Catalogue Aluminium'!$Q$9:$S$28,3)),IF(T420="GROUND",IF(U420="1C",VLOOKUP(V420,'Catalogue Aluminium'!$Q$9:$S$28,2,FALSE),VLOOKUP(V420,'Catalogue Aluminium'!$Q$9:$S$28,3))))))</f>
        <v>NA</v>
      </c>
      <c r="AN420" s="257">
        <f t="shared" si="1055"/>
        <v>0.58740000000000003</v>
      </c>
      <c r="AO420" s="256">
        <f t="shared" si="1056"/>
        <v>22.321200000000001</v>
      </c>
      <c r="AP420" s="255">
        <f t="shared" si="1057"/>
        <v>1</v>
      </c>
      <c r="AQ420" s="256" t="str">
        <f t="shared" si="1058"/>
        <v>YES</v>
      </c>
      <c r="AR420" s="257">
        <f t="shared" si="1059"/>
        <v>0.12708014969495249</v>
      </c>
      <c r="AS420" s="249" t="str">
        <f t="shared" si="1060"/>
        <v>YES</v>
      </c>
      <c r="AT420" s="257" t="str">
        <f t="shared" si="1061"/>
        <v>NA</v>
      </c>
      <c r="AU420" s="249" t="str">
        <f t="shared" si="1062"/>
        <v>NA</v>
      </c>
      <c r="AV420" s="260" t="str">
        <f t="shared" si="1063"/>
        <v>1R x 0.6/1kV x 4C x 4 Sqmm</v>
      </c>
      <c r="AW420" s="260" t="str">
        <f t="shared" si="1064"/>
        <v>1R x 0.6/1kV x 4C x 4 Sqmm</v>
      </c>
      <c r="AX420" s="249">
        <f t="shared" si="1065"/>
        <v>59</v>
      </c>
      <c r="AY420" s="261"/>
    </row>
    <row r="421" spans="1:51" ht="33" customHeight="1">
      <c r="A421" s="243">
        <f t="shared" si="1066"/>
        <v>290</v>
      </c>
      <c r="B421" s="243"/>
      <c r="C421" s="243" t="str">
        <f t="shared" si="1067"/>
        <v>CENTRAL CONTROL BUILDING HVAC DB</v>
      </c>
      <c r="D421" s="272" t="s">
        <v>754</v>
      </c>
      <c r="E421" s="320" t="s">
        <v>410</v>
      </c>
      <c r="F421" s="567"/>
      <c r="G421" s="243" t="s">
        <v>298</v>
      </c>
      <c r="H421" s="421">
        <v>0.55000000000000004</v>
      </c>
      <c r="I421" s="243" t="s">
        <v>299</v>
      </c>
      <c r="J421" s="243" t="s">
        <v>300</v>
      </c>
      <c r="K421" s="255">
        <v>400</v>
      </c>
      <c r="L421" s="249">
        <v>0.84999999999999987</v>
      </c>
      <c r="M421" s="256">
        <v>0.95099999999999985</v>
      </c>
      <c r="N421" s="248">
        <f t="shared" si="1046"/>
        <v>0.9820992238773395</v>
      </c>
      <c r="O421" s="248">
        <f t="shared" si="1047"/>
        <v>0</v>
      </c>
      <c r="P421" s="249" t="str">
        <f t="shared" si="1048"/>
        <v>0.00</v>
      </c>
      <c r="Q421" s="256">
        <v>25</v>
      </c>
      <c r="R421" s="256">
        <v>0</v>
      </c>
      <c r="S421" s="256">
        <f t="shared" si="1049"/>
        <v>0</v>
      </c>
      <c r="T421" s="249" t="s">
        <v>131</v>
      </c>
      <c r="U421" s="256" t="s">
        <v>377</v>
      </c>
      <c r="V421" s="249">
        <v>4</v>
      </c>
      <c r="W421" s="249" t="str">
        <f t="shared" si="1050"/>
        <v>4C X 4</v>
      </c>
      <c r="X421" s="249" t="str">
        <f t="shared" si="1051"/>
        <v>4C X 4</v>
      </c>
      <c r="Y421" s="249" t="s">
        <v>314</v>
      </c>
      <c r="Z421" s="250">
        <f>IF(T421="AIR",VLOOKUP(W421,'Catalogue Aluminium'!$B$9:$G$91,2,FALSE),IF(T421="GROUND",VLOOKUP(W421,'Catalogue Aluminium'!$B$9:$G$91,3,FALSE),IF(T421="DUCT",VLOOKUP(W421,'Catalogue Aluminium'!$B$9:$G$91,4,FALSE),IF(T421="TRENCH",VLOOKUP(W421,'Catalogue Aluminium'!$B$9:$G$91,2,FALSE)))))</f>
        <v>38</v>
      </c>
      <c r="AA421" s="251">
        <f>VLOOKUP(W421,'Catalogue Aluminium'!$B$9:$G$91,5,FALSE)</f>
        <v>5.9</v>
      </c>
      <c r="AB421" s="251">
        <f>VLOOKUP(W421,'Catalogue Aluminium'!$B$9:$G$91,6,FALSE)</f>
        <v>9.4700000000000006E-2</v>
      </c>
      <c r="AC421" s="572">
        <f t="shared" si="1052"/>
        <v>38</v>
      </c>
      <c r="AD421" s="572">
        <v>0</v>
      </c>
      <c r="AE421" s="294">
        <v>10</v>
      </c>
      <c r="AF421" s="294">
        <v>5</v>
      </c>
      <c r="AG421" s="294">
        <f t="shared" si="1053"/>
        <v>6</v>
      </c>
      <c r="AH421" s="253">
        <f t="shared" si="1054"/>
        <v>59</v>
      </c>
      <c r="AI421" s="250">
        <f>IF(T421="AIR",'Catalogue Aluminium'!$K$9,IF(T421="TRENCH",'Catalogue Aluminium'!$K$12,"NA"))</f>
        <v>0.89</v>
      </c>
      <c r="AJ421" s="248">
        <f>IF(T421="Air",(IF(U421="1C",'Catalogue Aluminium'!$L$9,'Catalogue Aluminium'!$M$9)),IF(T421="DUCT",(IF($U421="1C",'Catalogue Aluminium'!$L$10,'Catalogue Aluminium'!$M$10)),IF(T421="GROUND",(IF($U421="1C",'Catalogue Aluminium'!$L$11,'Catalogue Aluminium'!$M$11)),IF(T421="TRENCH",(IF($U421="1C",'Catalogue Aluminium'!$L$12,'Catalogue Aluminium'!$M$12))))))</f>
        <v>0.66</v>
      </c>
      <c r="AK421" s="250" t="str">
        <f>IF(T421="Air",'Catalogue Aluminium'!$N$9,IF(T421="GROUND",'Catalogue Aluminium'!$N$10,IF(T421="DUCT",'Catalogue Aluminium'!$N$11,IF(T421="TRENCH",'Catalogue Aluminium'!$N$12,"NA"))))</f>
        <v>NA</v>
      </c>
      <c r="AL421" s="250" t="str">
        <f>IF(T421="Air",(IF(U421="1C",'Catalogue Aluminium'!$O$9,'Catalogue Aluminium'!$P$9)),IF(T421="DUCT",(IF($U421="1C",'Catalogue Aluminium'!$O$10,'Catalogue Aluminium'!$P$10)),IF(T421="GROUND",(IF($U421="1C",'Catalogue Aluminium'!$O$11,'Catalogue Aluminium'!$P$11)),IF(T421="TRENCH",(IF($U421="1C",'Catalogue Aluminium'!$O$12,'Catalogue Aluminium'!$P$12))))))</f>
        <v>NA</v>
      </c>
      <c r="AM421" s="250" t="str">
        <f>IF(T421="AIR","NA",IF(T421="TRENCH","NA",IF(T421="DUCT",IF(U421="1C",VLOOKUP(V421,'Catalogue Aluminium'!$Q$9:$S$28,2,FALSE),VLOOKUP(V421,'Catalogue Aluminium'!$Q$9:$S$28,3)),IF(T421="GROUND",IF(U421="1C",VLOOKUP(V421,'Catalogue Aluminium'!$Q$9:$S$28,2,FALSE),VLOOKUP(V421,'Catalogue Aluminium'!$Q$9:$S$28,3))))))</f>
        <v>NA</v>
      </c>
      <c r="AN421" s="257">
        <f t="shared" si="1055"/>
        <v>0.58740000000000003</v>
      </c>
      <c r="AO421" s="256">
        <f t="shared" si="1056"/>
        <v>22.321200000000001</v>
      </c>
      <c r="AP421" s="255">
        <f t="shared" si="1057"/>
        <v>1</v>
      </c>
      <c r="AQ421" s="256" t="str">
        <f t="shared" si="1058"/>
        <v>YES</v>
      </c>
      <c r="AR421" s="257">
        <f t="shared" si="1059"/>
        <v>0.12708014969495249</v>
      </c>
      <c r="AS421" s="249" t="str">
        <f t="shared" si="1060"/>
        <v>YES</v>
      </c>
      <c r="AT421" s="257" t="str">
        <f t="shared" si="1061"/>
        <v>NA</v>
      </c>
      <c r="AU421" s="249" t="str">
        <f t="shared" si="1062"/>
        <v>NA</v>
      </c>
      <c r="AV421" s="260" t="str">
        <f t="shared" si="1063"/>
        <v>1R x 0.6/1kV x 4C x 4 Sqmm</v>
      </c>
      <c r="AW421" s="260" t="str">
        <f t="shared" si="1064"/>
        <v>1R x 0.6/1kV x 4C x 4 Sqmm</v>
      </c>
      <c r="AX421" s="249">
        <f t="shared" si="1065"/>
        <v>59</v>
      </c>
      <c r="AY421" s="261"/>
    </row>
    <row r="422" spans="1:51" ht="33" customHeight="1">
      <c r="A422" s="243">
        <f t="shared" si="1066"/>
        <v>291</v>
      </c>
      <c r="B422" s="243"/>
      <c r="C422" s="243" t="str">
        <f t="shared" si="1067"/>
        <v>CENTRAL CONTROL BUILDING HVAC DB</v>
      </c>
      <c r="D422" s="272" t="s">
        <v>755</v>
      </c>
      <c r="E422" s="320" t="s">
        <v>410</v>
      </c>
      <c r="F422" s="567"/>
      <c r="G422" s="243" t="s">
        <v>298</v>
      </c>
      <c r="H422" s="421">
        <v>3.5</v>
      </c>
      <c r="I422" s="243" t="s">
        <v>299</v>
      </c>
      <c r="J422" s="243" t="s">
        <v>313</v>
      </c>
      <c r="K422" s="255">
        <v>230</v>
      </c>
      <c r="L422" s="249">
        <v>0.84999999999999987</v>
      </c>
      <c r="M422" s="256">
        <v>0.95099999999999985</v>
      </c>
      <c r="N422" s="248">
        <f>IF(I422="kVA",IF(J422="3Ph",(H422*1000/(1.732*M422*K422)),(H422*1000/(M422*K422))),IF(I422="kW",IF(J422="3Ph",(H422*1000/(1.732*M422*K422*L422)),(H422*1000/(M422*K422*L422)))))</f>
        <v>18.825250577531801</v>
      </c>
      <c r="O422" s="248">
        <f t="shared" si="1047"/>
        <v>0</v>
      </c>
      <c r="P422" s="249" t="str">
        <f t="shared" si="1048"/>
        <v>0.00</v>
      </c>
      <c r="Q422" s="256">
        <v>25</v>
      </c>
      <c r="R422" s="256">
        <v>0</v>
      </c>
      <c r="S422" s="256">
        <f t="shared" si="1049"/>
        <v>0</v>
      </c>
      <c r="T422" s="249" t="s">
        <v>131</v>
      </c>
      <c r="U422" s="256" t="s">
        <v>302</v>
      </c>
      <c r="V422" s="249">
        <v>16</v>
      </c>
      <c r="W422" s="249" t="str">
        <f t="shared" si="1050"/>
        <v>3C X 16</v>
      </c>
      <c r="X422" s="249" t="str">
        <f t="shared" si="1051"/>
        <v>3C X 16</v>
      </c>
      <c r="Y422" s="249" t="s">
        <v>314</v>
      </c>
      <c r="Z422" s="250">
        <f>IF(T422="AIR",VLOOKUP(W422,'Catalogue Aluminium'!$B$9:$G$91,2,FALSE),IF(T422="GROUND",VLOOKUP(W422,'Catalogue Aluminium'!$B$9:$G$91,3,FALSE),IF(T422="DUCT",VLOOKUP(W422,'Catalogue Aluminium'!$B$9:$G$91,4,FALSE),IF(T422="TRENCH",VLOOKUP(W422,'Catalogue Aluminium'!$B$9:$G$91,2,FALSE)))))</f>
        <v>70</v>
      </c>
      <c r="AA422" s="251">
        <f>VLOOKUP(W422,'Catalogue Aluminium'!$B$9:$G$91,5,FALSE)</f>
        <v>2.44</v>
      </c>
      <c r="AB422" s="251">
        <f>VLOOKUP(W422,'Catalogue Aluminium'!$B$9:$G$91,6,FALSE)</f>
        <v>8.1500000000000003E-2</v>
      </c>
      <c r="AC422" s="572">
        <f t="shared" si="1052"/>
        <v>38</v>
      </c>
      <c r="AD422" s="572">
        <v>0</v>
      </c>
      <c r="AE422" s="294">
        <v>5</v>
      </c>
      <c r="AF422" s="294">
        <v>8</v>
      </c>
      <c r="AG422" s="294">
        <f t="shared" si="1053"/>
        <v>6</v>
      </c>
      <c r="AH422" s="253">
        <f t="shared" si="1054"/>
        <v>57</v>
      </c>
      <c r="AI422" s="250">
        <f>IF(T422="AIR",'Catalogue Aluminium'!$K$9,IF(T422="TRENCH",'Catalogue Aluminium'!$K$12,"NA"))</f>
        <v>0.89</v>
      </c>
      <c r="AJ422" s="248">
        <f>IF(T422="Air",(IF(U422="1C",'Catalogue Aluminium'!$L$9,'Catalogue Aluminium'!$M$9)),IF(T422="DUCT",(IF($U422="1C",'Catalogue Aluminium'!$L$10,'Catalogue Aluminium'!$M$10)),IF(T422="GROUND",(IF($U422="1C",'Catalogue Aluminium'!$L$11,'Catalogue Aluminium'!$M$11)),IF(T422="TRENCH",(IF($U422="1C",'Catalogue Aluminium'!$L$12,'Catalogue Aluminium'!$M$12))))))</f>
        <v>0.66</v>
      </c>
      <c r="AK422" s="250" t="str">
        <f>IF(T422="Air",'Catalogue Aluminium'!$N$9,IF(T422="GROUND",'Catalogue Aluminium'!$N$10,IF(T422="DUCT",'Catalogue Aluminium'!$N$11,IF(T422="TRENCH",'Catalogue Aluminium'!$N$12,"NA"))))</f>
        <v>NA</v>
      </c>
      <c r="AL422" s="250" t="str">
        <f>IF(T422="Air",(IF(U422="1C",'Catalogue Aluminium'!$O$9,'Catalogue Aluminium'!$P$9)),IF(T422="DUCT",(IF($U422="1C",'Catalogue Aluminium'!$O$10,'Catalogue Aluminium'!$P$10)),IF(T422="GROUND",(IF($U422="1C",'Catalogue Aluminium'!$O$11,'Catalogue Aluminium'!$P$11)),IF(T422="TRENCH",(IF($U422="1C",'Catalogue Aluminium'!$O$12,'Catalogue Aluminium'!$P$12))))))</f>
        <v>NA</v>
      </c>
      <c r="AM422" s="250" t="str">
        <f>IF(T422="AIR","NA",IF(T422="TRENCH","NA",IF(T422="DUCT",IF(U422="1C",VLOOKUP(V422,'Catalogue Aluminium'!$Q$9:$S$28,2,FALSE),VLOOKUP(V422,'Catalogue Aluminium'!$Q$9:$S$28,3)),IF(T422="GROUND",IF(U422="1C",VLOOKUP(V422,'Catalogue Aluminium'!$Q$9:$S$28,2,FALSE),VLOOKUP(V422,'Catalogue Aluminium'!$Q$9:$S$28,3))))))</f>
        <v>NA</v>
      </c>
      <c r="AN422" s="257">
        <f t="shared" si="1055"/>
        <v>0.58740000000000003</v>
      </c>
      <c r="AO422" s="256">
        <f t="shared" si="1056"/>
        <v>41.118000000000002</v>
      </c>
      <c r="AP422" s="255">
        <f t="shared" si="1057"/>
        <v>1</v>
      </c>
      <c r="AQ422" s="256" t="str">
        <f t="shared" si="1058"/>
        <v>YES</v>
      </c>
      <c r="AR422" s="257">
        <f t="shared" si="1059"/>
        <v>1.7106276298617451</v>
      </c>
      <c r="AS422" s="249" t="str">
        <f t="shared" si="1060"/>
        <v>YES</v>
      </c>
      <c r="AT422" s="257" t="str">
        <f t="shared" si="1061"/>
        <v>NA</v>
      </c>
      <c r="AU422" s="249" t="str">
        <f t="shared" si="1062"/>
        <v>NA</v>
      </c>
      <c r="AV422" s="260" t="str">
        <f t="shared" si="1063"/>
        <v>1R x 0.6/1kV x 3C x 16 Sqmm</v>
      </c>
      <c r="AW422" s="260" t="str">
        <f t="shared" si="1064"/>
        <v>1R x 0.6/1kV x 3C x 16 Sqmm</v>
      </c>
      <c r="AX422" s="249">
        <f t="shared" si="1065"/>
        <v>57</v>
      </c>
      <c r="AY422" s="261"/>
    </row>
    <row r="423" spans="1:51" ht="33" customHeight="1">
      <c r="A423" s="243">
        <f t="shared" si="1066"/>
        <v>292</v>
      </c>
      <c r="B423" s="243"/>
      <c r="C423" s="243" t="str">
        <f t="shared" si="1067"/>
        <v>CENTRAL CONTROL BUILDING HVAC DB</v>
      </c>
      <c r="D423" s="272" t="s">
        <v>756</v>
      </c>
      <c r="E423" s="320" t="s">
        <v>410</v>
      </c>
      <c r="F423" s="567"/>
      <c r="G423" s="243" t="s">
        <v>298</v>
      </c>
      <c r="H423" s="421">
        <v>3.5</v>
      </c>
      <c r="I423" s="243" t="s">
        <v>299</v>
      </c>
      <c r="J423" s="243" t="s">
        <v>313</v>
      </c>
      <c r="K423" s="255">
        <v>230</v>
      </c>
      <c r="L423" s="249">
        <v>0.84999999999999987</v>
      </c>
      <c r="M423" s="256">
        <v>0.95099999999999985</v>
      </c>
      <c r="N423" s="248">
        <f t="shared" si="1046"/>
        <v>18.825250577531801</v>
      </c>
      <c r="O423" s="248">
        <f t="shared" si="1047"/>
        <v>0</v>
      </c>
      <c r="P423" s="249" t="str">
        <f t="shared" si="1048"/>
        <v>0.00</v>
      </c>
      <c r="Q423" s="256">
        <v>25</v>
      </c>
      <c r="R423" s="256">
        <v>0</v>
      </c>
      <c r="S423" s="256">
        <f t="shared" si="1049"/>
        <v>0</v>
      </c>
      <c r="T423" s="249" t="s">
        <v>131</v>
      </c>
      <c r="U423" s="256" t="s">
        <v>302</v>
      </c>
      <c r="V423" s="249">
        <v>16</v>
      </c>
      <c r="W423" s="249" t="str">
        <f t="shared" si="1050"/>
        <v>3C X 16</v>
      </c>
      <c r="X423" s="249" t="str">
        <f t="shared" si="1051"/>
        <v>3C X 16</v>
      </c>
      <c r="Y423" s="249" t="s">
        <v>314</v>
      </c>
      <c r="Z423" s="250">
        <f>IF(T423="AIR",VLOOKUP(W423,'Catalogue Aluminium'!$B$9:$G$91,2,FALSE),IF(T423="GROUND",VLOOKUP(W423,'Catalogue Aluminium'!$B$9:$G$91,3,FALSE),IF(T423="DUCT",VLOOKUP(W423,'Catalogue Aluminium'!$B$9:$G$91,4,FALSE),IF(T423="TRENCH",VLOOKUP(W423,'Catalogue Aluminium'!$B$9:$G$91,2,FALSE)))))</f>
        <v>70</v>
      </c>
      <c r="AA423" s="251">
        <f>VLOOKUP(W423,'Catalogue Aluminium'!$B$9:$G$91,5,FALSE)</f>
        <v>2.44</v>
      </c>
      <c r="AB423" s="251">
        <f>VLOOKUP(W423,'Catalogue Aluminium'!$B$9:$G$91,6,FALSE)</f>
        <v>8.1500000000000003E-2</v>
      </c>
      <c r="AC423" s="572">
        <f t="shared" ref="AC423" si="1068">23+15</f>
        <v>38</v>
      </c>
      <c r="AD423" s="572">
        <v>0</v>
      </c>
      <c r="AE423" s="294">
        <v>5</v>
      </c>
      <c r="AF423" s="294">
        <v>8</v>
      </c>
      <c r="AG423" s="294">
        <f t="shared" si="1053"/>
        <v>6</v>
      </c>
      <c r="AH423" s="253">
        <f t="shared" si="1054"/>
        <v>57</v>
      </c>
      <c r="AI423" s="250">
        <f>IF(T423="AIR",'Catalogue Aluminium'!$K$9,IF(T423="TRENCH",'Catalogue Aluminium'!$K$12,"NA"))</f>
        <v>0.89</v>
      </c>
      <c r="AJ423" s="248">
        <f>IF(T423="Air",(IF(U423="1C",'Catalogue Aluminium'!$L$9,'Catalogue Aluminium'!$M$9)),IF(T423="DUCT",(IF($U423="1C",'Catalogue Aluminium'!$L$10,'Catalogue Aluminium'!$M$10)),IF(T423="GROUND",(IF($U423="1C",'Catalogue Aluminium'!$L$11,'Catalogue Aluminium'!$M$11)),IF(T423="TRENCH",(IF($U423="1C",'Catalogue Aluminium'!$L$12,'Catalogue Aluminium'!$M$12))))))</f>
        <v>0.66</v>
      </c>
      <c r="AK423" s="250" t="str">
        <f>IF(T423="Air",'Catalogue Aluminium'!$N$9,IF(T423="GROUND",'Catalogue Aluminium'!$N$10,IF(T423="DUCT",'Catalogue Aluminium'!$N$11,IF(T423="TRENCH",'Catalogue Aluminium'!$N$12,"NA"))))</f>
        <v>NA</v>
      </c>
      <c r="AL423" s="250" t="str">
        <f>IF(T423="Air",(IF(U423="1C",'Catalogue Aluminium'!$O$9,'Catalogue Aluminium'!$P$9)),IF(T423="DUCT",(IF($U423="1C",'Catalogue Aluminium'!$O$10,'Catalogue Aluminium'!$P$10)),IF(T423="GROUND",(IF($U423="1C",'Catalogue Aluminium'!$O$11,'Catalogue Aluminium'!$P$11)),IF(T423="TRENCH",(IF($U423="1C",'Catalogue Aluminium'!$O$12,'Catalogue Aluminium'!$P$12))))))</f>
        <v>NA</v>
      </c>
      <c r="AM423" s="250" t="str">
        <f>IF(T423="AIR","NA",IF(T423="TRENCH","NA",IF(T423="DUCT",IF(U423="1C",VLOOKUP(V423,'Catalogue Aluminium'!$Q$9:$S$28,2,FALSE),VLOOKUP(V423,'Catalogue Aluminium'!$Q$9:$S$28,3)),IF(T423="GROUND",IF(U423="1C",VLOOKUP(V423,'Catalogue Aluminium'!$Q$9:$S$28,2,FALSE),VLOOKUP(V423,'Catalogue Aluminium'!$Q$9:$S$28,3))))))</f>
        <v>NA</v>
      </c>
      <c r="AN423" s="257">
        <f t="shared" si="1055"/>
        <v>0.58740000000000003</v>
      </c>
      <c r="AO423" s="256">
        <f t="shared" si="1056"/>
        <v>41.118000000000002</v>
      </c>
      <c r="AP423" s="255">
        <f t="shared" si="1057"/>
        <v>1</v>
      </c>
      <c r="AQ423" s="256" t="str">
        <f t="shared" si="1058"/>
        <v>YES</v>
      </c>
      <c r="AR423" s="257">
        <f t="shared" si="1059"/>
        <v>1.7106276298617451</v>
      </c>
      <c r="AS423" s="249" t="str">
        <f t="shared" si="1060"/>
        <v>YES</v>
      </c>
      <c r="AT423" s="257" t="str">
        <f t="shared" si="1061"/>
        <v>NA</v>
      </c>
      <c r="AU423" s="249" t="str">
        <f t="shared" si="1062"/>
        <v>NA</v>
      </c>
      <c r="AV423" s="260" t="str">
        <f t="shared" si="1063"/>
        <v>1R x 0.6/1kV x 3C x 16 Sqmm</v>
      </c>
      <c r="AW423" s="260" t="str">
        <f t="shared" si="1064"/>
        <v>1R x 0.6/1kV x 3C x 16 Sqmm</v>
      </c>
      <c r="AX423" s="249">
        <f t="shared" si="1065"/>
        <v>57</v>
      </c>
      <c r="AY423" s="261"/>
    </row>
    <row r="424" spans="1:51" ht="33" customHeight="1">
      <c r="A424" s="243">
        <f t="shared" si="1066"/>
        <v>293</v>
      </c>
      <c r="B424" s="243"/>
      <c r="C424" s="243" t="str">
        <f t="shared" si="1067"/>
        <v>CENTRAL CONTROL BUILDING HVAC DB</v>
      </c>
      <c r="D424" s="272" t="s">
        <v>757</v>
      </c>
      <c r="E424" s="320" t="s">
        <v>410</v>
      </c>
      <c r="F424" s="567"/>
      <c r="G424" s="243" t="s">
        <v>298</v>
      </c>
      <c r="H424" s="421">
        <v>3.5</v>
      </c>
      <c r="I424" s="243" t="s">
        <v>299</v>
      </c>
      <c r="J424" s="243" t="s">
        <v>313</v>
      </c>
      <c r="K424" s="255">
        <v>230</v>
      </c>
      <c r="L424" s="249">
        <v>0.84999999999999987</v>
      </c>
      <c r="M424" s="256">
        <v>0.95099999999999985</v>
      </c>
      <c r="N424" s="248">
        <f t="shared" si="1046"/>
        <v>18.825250577531801</v>
      </c>
      <c r="O424" s="248">
        <f t="shared" si="1047"/>
        <v>0</v>
      </c>
      <c r="P424" s="249" t="str">
        <f t="shared" si="1048"/>
        <v>0.00</v>
      </c>
      <c r="Q424" s="256">
        <v>25</v>
      </c>
      <c r="R424" s="256">
        <v>0</v>
      </c>
      <c r="S424" s="256">
        <f t="shared" si="1049"/>
        <v>0</v>
      </c>
      <c r="T424" s="249" t="s">
        <v>131</v>
      </c>
      <c r="U424" s="256" t="s">
        <v>302</v>
      </c>
      <c r="V424" s="249">
        <v>16</v>
      </c>
      <c r="W424" s="249" t="str">
        <f t="shared" si="1050"/>
        <v>3C X 16</v>
      </c>
      <c r="X424" s="249" t="str">
        <f t="shared" si="1051"/>
        <v>3C X 16</v>
      </c>
      <c r="Y424" s="249" t="s">
        <v>314</v>
      </c>
      <c r="Z424" s="250">
        <f>IF(T424="AIR",VLOOKUP(W424,'Catalogue Aluminium'!$B$9:$G$91,2,FALSE),IF(T424="GROUND",VLOOKUP(W424,'Catalogue Aluminium'!$B$9:$G$91,3,FALSE),IF(T424="DUCT",VLOOKUP(W424,'Catalogue Aluminium'!$B$9:$G$91,4,FALSE),IF(T424="TRENCH",VLOOKUP(W424,'Catalogue Aluminium'!$B$9:$G$91,2,FALSE)))))</f>
        <v>70</v>
      </c>
      <c r="AA424" s="251">
        <f>VLOOKUP(W424,'Catalogue Aluminium'!$B$9:$G$91,5,FALSE)</f>
        <v>2.44</v>
      </c>
      <c r="AB424" s="251">
        <f>VLOOKUP(W424,'Catalogue Aluminium'!$B$9:$G$91,6,FALSE)</f>
        <v>8.1500000000000003E-2</v>
      </c>
      <c r="AC424" s="572">
        <f t="shared" si="1052"/>
        <v>38</v>
      </c>
      <c r="AD424" s="572">
        <v>0</v>
      </c>
      <c r="AE424" s="294">
        <v>5</v>
      </c>
      <c r="AF424" s="294">
        <v>8</v>
      </c>
      <c r="AG424" s="294">
        <f t="shared" si="1053"/>
        <v>6</v>
      </c>
      <c r="AH424" s="253">
        <f t="shared" si="1054"/>
        <v>57</v>
      </c>
      <c r="AI424" s="250">
        <f>IF(T424="AIR",'Catalogue Aluminium'!$K$9,IF(T424="TRENCH",'Catalogue Aluminium'!$K$12,"NA"))</f>
        <v>0.89</v>
      </c>
      <c r="AJ424" s="248">
        <f>IF(T424="Air",(IF(U424="1C",'Catalogue Aluminium'!$L$9,'Catalogue Aluminium'!$M$9)),IF(T424="DUCT",(IF($U424="1C",'Catalogue Aluminium'!$L$10,'Catalogue Aluminium'!$M$10)),IF(T424="GROUND",(IF($U424="1C",'Catalogue Aluminium'!$L$11,'Catalogue Aluminium'!$M$11)),IF(T424="TRENCH",(IF($U424="1C",'Catalogue Aluminium'!$L$12,'Catalogue Aluminium'!$M$12))))))</f>
        <v>0.66</v>
      </c>
      <c r="AK424" s="250" t="str">
        <f>IF(T424="Air",'Catalogue Aluminium'!$N$9,IF(T424="GROUND",'Catalogue Aluminium'!$N$10,IF(T424="DUCT",'Catalogue Aluminium'!$N$11,IF(T424="TRENCH",'Catalogue Aluminium'!$N$12,"NA"))))</f>
        <v>NA</v>
      </c>
      <c r="AL424" s="250" t="str">
        <f>IF(T424="Air",(IF(U424="1C",'Catalogue Aluminium'!$O$9,'Catalogue Aluminium'!$P$9)),IF(T424="DUCT",(IF($U424="1C",'Catalogue Aluminium'!$O$10,'Catalogue Aluminium'!$P$10)),IF(T424="GROUND",(IF($U424="1C",'Catalogue Aluminium'!$O$11,'Catalogue Aluminium'!$P$11)),IF(T424="TRENCH",(IF($U424="1C",'Catalogue Aluminium'!$O$12,'Catalogue Aluminium'!$P$12))))))</f>
        <v>NA</v>
      </c>
      <c r="AM424" s="250" t="str">
        <f>IF(T424="AIR","NA",IF(T424="TRENCH","NA",IF(T424="DUCT",IF(U424="1C",VLOOKUP(V424,'Catalogue Aluminium'!$Q$9:$S$28,2,FALSE),VLOOKUP(V424,'Catalogue Aluminium'!$Q$9:$S$28,3)),IF(T424="GROUND",IF(U424="1C",VLOOKUP(V424,'Catalogue Aluminium'!$Q$9:$S$28,2,FALSE),VLOOKUP(V424,'Catalogue Aluminium'!$Q$9:$S$28,3))))))</f>
        <v>NA</v>
      </c>
      <c r="AN424" s="257">
        <f t="shared" si="1055"/>
        <v>0.58740000000000003</v>
      </c>
      <c r="AO424" s="256">
        <f t="shared" si="1056"/>
        <v>41.118000000000002</v>
      </c>
      <c r="AP424" s="255">
        <f t="shared" si="1057"/>
        <v>1</v>
      </c>
      <c r="AQ424" s="256" t="str">
        <f t="shared" si="1058"/>
        <v>YES</v>
      </c>
      <c r="AR424" s="257">
        <f t="shared" si="1059"/>
        <v>1.7106276298617451</v>
      </c>
      <c r="AS424" s="249" t="str">
        <f t="shared" si="1060"/>
        <v>YES</v>
      </c>
      <c r="AT424" s="257" t="str">
        <f t="shared" si="1061"/>
        <v>NA</v>
      </c>
      <c r="AU424" s="249" t="str">
        <f t="shared" si="1062"/>
        <v>NA</v>
      </c>
      <c r="AV424" s="260" t="str">
        <f t="shared" si="1063"/>
        <v>1R x 0.6/1kV x 3C x 16 Sqmm</v>
      </c>
      <c r="AW424" s="260" t="str">
        <f t="shared" si="1064"/>
        <v>1R x 0.6/1kV x 3C x 16 Sqmm</v>
      </c>
      <c r="AX424" s="249">
        <f t="shared" si="1065"/>
        <v>57</v>
      </c>
      <c r="AY424" s="261"/>
    </row>
    <row r="425" spans="1:51" ht="33" customHeight="1">
      <c r="A425" s="243">
        <f t="shared" si="1066"/>
        <v>294</v>
      </c>
      <c r="B425" s="243"/>
      <c r="C425" s="243" t="str">
        <f t="shared" si="1067"/>
        <v>CENTRAL CONTROL BUILDING HVAC DB</v>
      </c>
      <c r="D425" s="272" t="s">
        <v>758</v>
      </c>
      <c r="E425" s="320" t="s">
        <v>410</v>
      </c>
      <c r="F425" s="567"/>
      <c r="G425" s="243" t="s">
        <v>298</v>
      </c>
      <c r="H425" s="421">
        <v>3.5</v>
      </c>
      <c r="I425" s="243" t="s">
        <v>299</v>
      </c>
      <c r="J425" s="243" t="s">
        <v>313</v>
      </c>
      <c r="K425" s="255">
        <v>230</v>
      </c>
      <c r="L425" s="249">
        <v>0.84999999999999987</v>
      </c>
      <c r="M425" s="256">
        <v>0.95099999999999985</v>
      </c>
      <c r="N425" s="248">
        <f t="shared" si="1046"/>
        <v>18.825250577531801</v>
      </c>
      <c r="O425" s="248">
        <f t="shared" si="1047"/>
        <v>0</v>
      </c>
      <c r="P425" s="249" t="str">
        <f t="shared" si="1048"/>
        <v>0.00</v>
      </c>
      <c r="Q425" s="256">
        <v>25</v>
      </c>
      <c r="R425" s="256">
        <v>0</v>
      </c>
      <c r="S425" s="256">
        <f t="shared" si="1049"/>
        <v>0</v>
      </c>
      <c r="T425" s="249" t="s">
        <v>131</v>
      </c>
      <c r="U425" s="256" t="s">
        <v>302</v>
      </c>
      <c r="V425" s="249">
        <v>16</v>
      </c>
      <c r="W425" s="249" t="str">
        <f t="shared" si="1050"/>
        <v>3C X 16</v>
      </c>
      <c r="X425" s="249" t="str">
        <f t="shared" si="1051"/>
        <v>3C X 16</v>
      </c>
      <c r="Y425" s="249" t="s">
        <v>314</v>
      </c>
      <c r="Z425" s="250">
        <f>IF(T425="AIR",VLOOKUP(W425,'Catalogue Aluminium'!$B$9:$G$91,2,FALSE),IF(T425="GROUND",VLOOKUP(W425,'Catalogue Aluminium'!$B$9:$G$91,3,FALSE),IF(T425="DUCT",VLOOKUP(W425,'Catalogue Aluminium'!$B$9:$G$91,4,FALSE),IF(T425="TRENCH",VLOOKUP(W425,'Catalogue Aluminium'!$B$9:$G$91,2,FALSE)))))</f>
        <v>70</v>
      </c>
      <c r="AA425" s="251">
        <f>VLOOKUP(W425,'Catalogue Aluminium'!$B$9:$G$91,5,FALSE)</f>
        <v>2.44</v>
      </c>
      <c r="AB425" s="251">
        <f>VLOOKUP(W425,'Catalogue Aluminium'!$B$9:$G$91,6,FALSE)</f>
        <v>8.1500000000000003E-2</v>
      </c>
      <c r="AC425" s="572">
        <f t="shared" si="1052"/>
        <v>38</v>
      </c>
      <c r="AD425" s="572">
        <v>0</v>
      </c>
      <c r="AE425" s="294">
        <v>5</v>
      </c>
      <c r="AF425" s="294">
        <v>8</v>
      </c>
      <c r="AG425" s="294">
        <f t="shared" si="1053"/>
        <v>6</v>
      </c>
      <c r="AH425" s="253">
        <f t="shared" si="1054"/>
        <v>57</v>
      </c>
      <c r="AI425" s="250">
        <f>IF(T425="AIR",'Catalogue Aluminium'!$K$9,IF(T425="TRENCH",'Catalogue Aluminium'!$K$12,"NA"))</f>
        <v>0.89</v>
      </c>
      <c r="AJ425" s="248">
        <f>IF(T425="Air",(IF(U425="1C",'Catalogue Aluminium'!$L$9,'Catalogue Aluminium'!$M$9)),IF(T425="DUCT",(IF($U425="1C",'Catalogue Aluminium'!$L$10,'Catalogue Aluminium'!$M$10)),IF(T425="GROUND",(IF($U425="1C",'Catalogue Aluminium'!$L$11,'Catalogue Aluminium'!$M$11)),IF(T425="TRENCH",(IF($U425="1C",'Catalogue Aluminium'!$L$12,'Catalogue Aluminium'!$M$12))))))</f>
        <v>0.66</v>
      </c>
      <c r="AK425" s="250" t="str">
        <f>IF(T425="Air",'Catalogue Aluminium'!$N$9,IF(T425="GROUND",'Catalogue Aluminium'!$N$10,IF(T425="DUCT",'Catalogue Aluminium'!$N$11,IF(T425="TRENCH",'Catalogue Aluminium'!$N$12,"NA"))))</f>
        <v>NA</v>
      </c>
      <c r="AL425" s="250" t="str">
        <f>IF(T425="Air",(IF(U425="1C",'Catalogue Aluminium'!$O$9,'Catalogue Aluminium'!$P$9)),IF(T425="DUCT",(IF($U425="1C",'Catalogue Aluminium'!$O$10,'Catalogue Aluminium'!$P$10)),IF(T425="GROUND",(IF($U425="1C",'Catalogue Aluminium'!$O$11,'Catalogue Aluminium'!$P$11)),IF(T425="TRENCH",(IF($U425="1C",'Catalogue Aluminium'!$O$12,'Catalogue Aluminium'!$P$12))))))</f>
        <v>NA</v>
      </c>
      <c r="AM425" s="250" t="str">
        <f>IF(T425="AIR","NA",IF(T425="TRENCH","NA",IF(T425="DUCT",IF(U425="1C",VLOOKUP(V425,'Catalogue Aluminium'!$Q$9:$S$28,2,FALSE),VLOOKUP(V425,'Catalogue Aluminium'!$Q$9:$S$28,3)),IF(T425="GROUND",IF(U425="1C",VLOOKUP(V425,'Catalogue Aluminium'!$Q$9:$S$28,2,FALSE),VLOOKUP(V425,'Catalogue Aluminium'!$Q$9:$S$28,3))))))</f>
        <v>NA</v>
      </c>
      <c r="AN425" s="257">
        <f t="shared" si="1055"/>
        <v>0.58740000000000003</v>
      </c>
      <c r="AO425" s="256">
        <f t="shared" si="1056"/>
        <v>41.118000000000002</v>
      </c>
      <c r="AP425" s="255">
        <f t="shared" si="1057"/>
        <v>1</v>
      </c>
      <c r="AQ425" s="256" t="str">
        <f t="shared" si="1058"/>
        <v>YES</v>
      </c>
      <c r="AR425" s="257">
        <f t="shared" si="1059"/>
        <v>1.7106276298617451</v>
      </c>
      <c r="AS425" s="249" t="str">
        <f t="shared" si="1060"/>
        <v>YES</v>
      </c>
      <c r="AT425" s="257" t="str">
        <f t="shared" si="1061"/>
        <v>NA</v>
      </c>
      <c r="AU425" s="249" t="str">
        <f t="shared" si="1062"/>
        <v>NA</v>
      </c>
      <c r="AV425" s="260" t="str">
        <f t="shared" si="1063"/>
        <v>1R x 0.6/1kV x 3C x 16 Sqmm</v>
      </c>
      <c r="AW425" s="260" t="str">
        <f t="shared" si="1064"/>
        <v>1R x 0.6/1kV x 3C x 16 Sqmm</v>
      </c>
      <c r="AX425" s="249">
        <f t="shared" si="1065"/>
        <v>57</v>
      </c>
      <c r="AY425" s="261"/>
    </row>
    <row r="426" spans="1:51" ht="33" customHeight="1">
      <c r="A426" s="243">
        <f t="shared" si="1066"/>
        <v>295</v>
      </c>
      <c r="B426" s="243"/>
      <c r="C426" s="243" t="str">
        <f t="shared" si="1067"/>
        <v>CENTRAL CONTROL BUILDING HVAC DB</v>
      </c>
      <c r="D426" s="272" t="s">
        <v>759</v>
      </c>
      <c r="E426" s="320" t="s">
        <v>410</v>
      </c>
      <c r="F426" s="567"/>
      <c r="G426" s="243" t="s">
        <v>298</v>
      </c>
      <c r="H426" s="421">
        <v>3.5</v>
      </c>
      <c r="I426" s="243" t="s">
        <v>299</v>
      </c>
      <c r="J426" s="243" t="s">
        <v>313</v>
      </c>
      <c r="K426" s="255">
        <v>230</v>
      </c>
      <c r="L426" s="249">
        <v>0.84999999999999987</v>
      </c>
      <c r="M426" s="256">
        <v>0.95099999999999985</v>
      </c>
      <c r="N426" s="248">
        <f t="shared" si="1046"/>
        <v>18.825250577531801</v>
      </c>
      <c r="O426" s="248">
        <f t="shared" si="1047"/>
        <v>0</v>
      </c>
      <c r="P426" s="249" t="str">
        <f t="shared" si="1048"/>
        <v>0.00</v>
      </c>
      <c r="Q426" s="256">
        <v>25</v>
      </c>
      <c r="R426" s="256">
        <v>0</v>
      </c>
      <c r="S426" s="256">
        <f t="shared" si="1049"/>
        <v>0</v>
      </c>
      <c r="T426" s="249" t="s">
        <v>131</v>
      </c>
      <c r="U426" s="256" t="s">
        <v>302</v>
      </c>
      <c r="V426" s="249">
        <v>16</v>
      </c>
      <c r="W426" s="249" t="str">
        <f t="shared" si="1050"/>
        <v>3C X 16</v>
      </c>
      <c r="X426" s="249" t="str">
        <f t="shared" si="1051"/>
        <v>3C X 16</v>
      </c>
      <c r="Y426" s="249" t="s">
        <v>314</v>
      </c>
      <c r="Z426" s="250">
        <f>IF(T426="AIR",VLOOKUP(W426,'Catalogue Aluminium'!$B$9:$G$91,2,FALSE),IF(T426="GROUND",VLOOKUP(W426,'Catalogue Aluminium'!$B$9:$G$91,3,FALSE),IF(T426="DUCT",VLOOKUP(W426,'Catalogue Aluminium'!$B$9:$G$91,4,FALSE),IF(T426="TRENCH",VLOOKUP(W426,'Catalogue Aluminium'!$B$9:$G$91,2,FALSE)))))</f>
        <v>70</v>
      </c>
      <c r="AA426" s="251">
        <f>VLOOKUP(W426,'Catalogue Aluminium'!$B$9:$G$91,5,FALSE)</f>
        <v>2.44</v>
      </c>
      <c r="AB426" s="251">
        <f>VLOOKUP(W426,'Catalogue Aluminium'!$B$9:$G$91,6,FALSE)</f>
        <v>8.1500000000000003E-2</v>
      </c>
      <c r="AC426" s="572">
        <f t="shared" si="1052"/>
        <v>38</v>
      </c>
      <c r="AD426" s="572">
        <v>0</v>
      </c>
      <c r="AE426" s="294">
        <v>5</v>
      </c>
      <c r="AF426" s="294">
        <v>8</v>
      </c>
      <c r="AG426" s="294">
        <f t="shared" si="1053"/>
        <v>6</v>
      </c>
      <c r="AH426" s="253">
        <f t="shared" si="1054"/>
        <v>57</v>
      </c>
      <c r="AI426" s="250">
        <f>IF(T426="AIR",'Catalogue Aluminium'!$K$9,IF(T426="TRENCH",'Catalogue Aluminium'!$K$12,"NA"))</f>
        <v>0.89</v>
      </c>
      <c r="AJ426" s="248">
        <f>IF(T426="Air",(IF(U426="1C",'Catalogue Aluminium'!$L$9,'Catalogue Aluminium'!$M$9)),IF(T426="DUCT",(IF($U426="1C",'Catalogue Aluminium'!$L$10,'Catalogue Aluminium'!$M$10)),IF(T426="GROUND",(IF($U426="1C",'Catalogue Aluminium'!$L$11,'Catalogue Aluminium'!$M$11)),IF(T426="TRENCH",(IF($U426="1C",'Catalogue Aluminium'!$L$12,'Catalogue Aluminium'!$M$12))))))</f>
        <v>0.66</v>
      </c>
      <c r="AK426" s="250" t="str">
        <f>IF(T426="Air",'Catalogue Aluminium'!$N$9,IF(T426="GROUND",'Catalogue Aluminium'!$N$10,IF(T426="DUCT",'Catalogue Aluminium'!$N$11,IF(T426="TRENCH",'Catalogue Aluminium'!$N$12,"NA"))))</f>
        <v>NA</v>
      </c>
      <c r="AL426" s="250" t="str">
        <f>IF(T426="Air",(IF(U426="1C",'Catalogue Aluminium'!$O$9,'Catalogue Aluminium'!$P$9)),IF(T426="DUCT",(IF($U426="1C",'Catalogue Aluminium'!$O$10,'Catalogue Aluminium'!$P$10)),IF(T426="GROUND",(IF($U426="1C",'Catalogue Aluminium'!$O$11,'Catalogue Aluminium'!$P$11)),IF(T426="TRENCH",(IF($U426="1C",'Catalogue Aluminium'!$O$12,'Catalogue Aluminium'!$P$12))))))</f>
        <v>NA</v>
      </c>
      <c r="AM426" s="250" t="str">
        <f>IF(T426="AIR","NA",IF(T426="TRENCH","NA",IF(T426="DUCT",IF(U426="1C",VLOOKUP(V426,'Catalogue Aluminium'!$Q$9:$S$28,2,FALSE),VLOOKUP(V426,'Catalogue Aluminium'!$Q$9:$S$28,3)),IF(T426="GROUND",IF(U426="1C",VLOOKUP(V426,'Catalogue Aluminium'!$Q$9:$S$28,2,FALSE),VLOOKUP(V426,'Catalogue Aluminium'!$Q$9:$S$28,3))))))</f>
        <v>NA</v>
      </c>
      <c r="AN426" s="257">
        <f t="shared" si="1055"/>
        <v>0.58740000000000003</v>
      </c>
      <c r="AO426" s="256">
        <f t="shared" si="1056"/>
        <v>41.118000000000002</v>
      </c>
      <c r="AP426" s="255">
        <f t="shared" si="1057"/>
        <v>1</v>
      </c>
      <c r="AQ426" s="256" t="str">
        <f t="shared" si="1058"/>
        <v>YES</v>
      </c>
      <c r="AR426" s="257">
        <f t="shared" si="1059"/>
        <v>1.7106276298617451</v>
      </c>
      <c r="AS426" s="249" t="str">
        <f t="shared" si="1060"/>
        <v>YES</v>
      </c>
      <c r="AT426" s="257" t="str">
        <f t="shared" si="1061"/>
        <v>NA</v>
      </c>
      <c r="AU426" s="249" t="str">
        <f t="shared" si="1062"/>
        <v>NA</v>
      </c>
      <c r="AV426" s="260" t="str">
        <f t="shared" si="1063"/>
        <v>1R x 0.6/1kV x 3C x 16 Sqmm</v>
      </c>
      <c r="AW426" s="260" t="str">
        <f t="shared" si="1064"/>
        <v>1R x 0.6/1kV x 3C x 16 Sqmm</v>
      </c>
      <c r="AX426" s="249">
        <f t="shared" si="1065"/>
        <v>57</v>
      </c>
      <c r="AY426" s="261"/>
    </row>
    <row r="427" spans="1:51" ht="33" customHeight="1">
      <c r="A427" s="243">
        <f t="shared" si="1066"/>
        <v>296</v>
      </c>
      <c r="B427" s="243"/>
      <c r="C427" s="243" t="str">
        <f t="shared" si="1067"/>
        <v>CENTRAL CONTROL BUILDING HVAC DB</v>
      </c>
      <c r="D427" s="272" t="s">
        <v>760</v>
      </c>
      <c r="E427" s="320" t="s">
        <v>410</v>
      </c>
      <c r="F427" s="567"/>
      <c r="G427" s="243" t="s">
        <v>298</v>
      </c>
      <c r="H427" s="256">
        <v>3.5</v>
      </c>
      <c r="I427" s="243" t="s">
        <v>299</v>
      </c>
      <c r="J427" s="243" t="s">
        <v>313</v>
      </c>
      <c r="K427" s="255">
        <v>230</v>
      </c>
      <c r="L427" s="249">
        <v>0.84999999999999987</v>
      </c>
      <c r="M427" s="256">
        <v>0.95099999999999985</v>
      </c>
      <c r="N427" s="248">
        <f t="shared" si="1046"/>
        <v>18.825250577531801</v>
      </c>
      <c r="O427" s="248">
        <f t="shared" si="1047"/>
        <v>0</v>
      </c>
      <c r="P427" s="249" t="str">
        <f t="shared" si="1048"/>
        <v>0.00</v>
      </c>
      <c r="Q427" s="256">
        <v>25</v>
      </c>
      <c r="R427" s="256">
        <v>0</v>
      </c>
      <c r="S427" s="256">
        <f t="shared" si="1049"/>
        <v>0</v>
      </c>
      <c r="T427" s="249" t="s">
        <v>131</v>
      </c>
      <c r="U427" s="256" t="s">
        <v>302</v>
      </c>
      <c r="V427" s="249">
        <v>16</v>
      </c>
      <c r="W427" s="249" t="str">
        <f t="shared" si="1050"/>
        <v>3C X 16</v>
      </c>
      <c r="X427" s="249" t="str">
        <f t="shared" si="1051"/>
        <v>3C X 16</v>
      </c>
      <c r="Y427" s="249" t="s">
        <v>314</v>
      </c>
      <c r="Z427" s="250">
        <f>IF(T427="AIR",VLOOKUP(W427,'Catalogue Aluminium'!$B$9:$G$91,2,FALSE),IF(T427="GROUND",VLOOKUP(W427,'Catalogue Aluminium'!$B$9:$G$91,3,FALSE),IF(T427="DUCT",VLOOKUP(W427,'Catalogue Aluminium'!$B$9:$G$91,4,FALSE),IF(T427="TRENCH",VLOOKUP(W427,'Catalogue Aluminium'!$B$9:$G$91,2,FALSE)))))</f>
        <v>70</v>
      </c>
      <c r="AA427" s="251">
        <f>VLOOKUP(W427,'Catalogue Aluminium'!$B$9:$G$91,5,FALSE)</f>
        <v>2.44</v>
      </c>
      <c r="AB427" s="251">
        <f>VLOOKUP(W427,'Catalogue Aluminium'!$B$9:$G$91,6,FALSE)</f>
        <v>8.1500000000000003E-2</v>
      </c>
      <c r="AC427" s="572">
        <f t="shared" si="1052"/>
        <v>38</v>
      </c>
      <c r="AD427" s="572">
        <v>0</v>
      </c>
      <c r="AE427" s="294">
        <v>5</v>
      </c>
      <c r="AF427" s="294">
        <v>8</v>
      </c>
      <c r="AG427" s="294">
        <f t="shared" si="1053"/>
        <v>6</v>
      </c>
      <c r="AH427" s="253">
        <f t="shared" si="1054"/>
        <v>57</v>
      </c>
      <c r="AI427" s="250">
        <f>IF(T427="AIR",'Catalogue Aluminium'!$K$9,IF(T427="TRENCH",'Catalogue Aluminium'!$K$12,"NA"))</f>
        <v>0.89</v>
      </c>
      <c r="AJ427" s="248">
        <f>IF(T427="Air",(IF(U427="1C",'Catalogue Aluminium'!$L$9,'Catalogue Aluminium'!$M$9)),IF(T427="DUCT",(IF($U427="1C",'Catalogue Aluminium'!$L$10,'Catalogue Aluminium'!$M$10)),IF(T427="GROUND",(IF($U427="1C",'Catalogue Aluminium'!$L$11,'Catalogue Aluminium'!$M$11)),IF(T427="TRENCH",(IF($U427="1C",'Catalogue Aluminium'!$L$12,'Catalogue Aluminium'!$M$12))))))</f>
        <v>0.66</v>
      </c>
      <c r="AK427" s="250" t="str">
        <f>IF(T427="Air",'Catalogue Aluminium'!$N$9,IF(T427="GROUND",'Catalogue Aluminium'!$N$10,IF(T427="DUCT",'Catalogue Aluminium'!$N$11,IF(T427="TRENCH",'Catalogue Aluminium'!$N$12,"NA"))))</f>
        <v>NA</v>
      </c>
      <c r="AL427" s="250" t="str">
        <f>IF(T427="Air",(IF(U427="1C",'Catalogue Aluminium'!$O$9,'Catalogue Aluminium'!$P$9)),IF(T427="DUCT",(IF($U427="1C",'Catalogue Aluminium'!$O$10,'Catalogue Aluminium'!$P$10)),IF(T427="GROUND",(IF($U427="1C",'Catalogue Aluminium'!$O$11,'Catalogue Aluminium'!$P$11)),IF(T427="TRENCH",(IF($U427="1C",'Catalogue Aluminium'!$O$12,'Catalogue Aluminium'!$P$12))))))</f>
        <v>NA</v>
      </c>
      <c r="AM427" s="250" t="str">
        <f>IF(T427="AIR","NA",IF(T427="TRENCH","NA",IF(T427="DUCT",IF(U427="1C",VLOOKUP(V427,'Catalogue Aluminium'!$Q$9:$S$28,2,FALSE),VLOOKUP(V427,'Catalogue Aluminium'!$Q$9:$S$28,3)),IF(T427="GROUND",IF(U427="1C",VLOOKUP(V427,'Catalogue Aluminium'!$Q$9:$S$28,2,FALSE),VLOOKUP(V427,'Catalogue Aluminium'!$Q$9:$S$28,3))))))</f>
        <v>NA</v>
      </c>
      <c r="AN427" s="257">
        <f t="shared" si="1055"/>
        <v>0.58740000000000003</v>
      </c>
      <c r="AO427" s="256">
        <f t="shared" si="1056"/>
        <v>41.118000000000002</v>
      </c>
      <c r="AP427" s="255">
        <f t="shared" si="1057"/>
        <v>1</v>
      </c>
      <c r="AQ427" s="256" t="str">
        <f t="shared" si="1058"/>
        <v>YES</v>
      </c>
      <c r="AR427" s="257">
        <f t="shared" si="1059"/>
        <v>1.7106276298617451</v>
      </c>
      <c r="AS427" s="249" t="str">
        <f t="shared" si="1060"/>
        <v>YES</v>
      </c>
      <c r="AT427" s="257" t="str">
        <f t="shared" si="1061"/>
        <v>NA</v>
      </c>
      <c r="AU427" s="249" t="str">
        <f t="shared" si="1062"/>
        <v>NA</v>
      </c>
      <c r="AV427" s="260" t="str">
        <f t="shared" si="1063"/>
        <v>1R x 0.6/1kV x 3C x 16 Sqmm</v>
      </c>
      <c r="AW427" s="260" t="str">
        <f t="shared" si="1064"/>
        <v>1R x 0.6/1kV x 3C x 16 Sqmm</v>
      </c>
      <c r="AX427" s="249">
        <f t="shared" si="1065"/>
        <v>57</v>
      </c>
      <c r="AY427" s="261"/>
    </row>
    <row r="428" spans="1:51" ht="33" customHeight="1">
      <c r="A428" s="243">
        <f t="shared" si="1066"/>
        <v>297</v>
      </c>
      <c r="B428" s="243"/>
      <c r="C428" s="243" t="str">
        <f t="shared" si="1067"/>
        <v>CENTRAL CONTROL BUILDING HVAC DB</v>
      </c>
      <c r="D428" s="272" t="s">
        <v>761</v>
      </c>
      <c r="E428" s="320" t="s">
        <v>410</v>
      </c>
      <c r="F428" s="567"/>
      <c r="G428" s="243" t="s">
        <v>298</v>
      </c>
      <c r="H428" s="256">
        <v>1.5</v>
      </c>
      <c r="I428" s="243" t="s">
        <v>299</v>
      </c>
      <c r="J428" s="243" t="s">
        <v>313</v>
      </c>
      <c r="K428" s="255">
        <v>230</v>
      </c>
      <c r="L428" s="249">
        <v>0.84999999999999987</v>
      </c>
      <c r="M428" s="256">
        <v>0.95099999999999985</v>
      </c>
      <c r="N428" s="248">
        <f t="shared" si="1046"/>
        <v>8.0679645332279151</v>
      </c>
      <c r="O428" s="248">
        <f t="shared" si="1047"/>
        <v>0</v>
      </c>
      <c r="P428" s="249" t="str">
        <f t="shared" si="1048"/>
        <v>0.00</v>
      </c>
      <c r="Q428" s="256">
        <v>25</v>
      </c>
      <c r="R428" s="256">
        <v>0</v>
      </c>
      <c r="S428" s="256">
        <f t="shared" si="1049"/>
        <v>0</v>
      </c>
      <c r="T428" s="249" t="s">
        <v>131</v>
      </c>
      <c r="U428" s="256" t="s">
        <v>302</v>
      </c>
      <c r="V428" s="249">
        <v>4</v>
      </c>
      <c r="W428" s="249" t="str">
        <f t="shared" si="1050"/>
        <v>3C X 4</v>
      </c>
      <c r="X428" s="249" t="str">
        <f t="shared" si="1051"/>
        <v>3C X 4</v>
      </c>
      <c r="Y428" s="249" t="s">
        <v>314</v>
      </c>
      <c r="Z428" s="250">
        <f>IF(T428="AIR",VLOOKUP(W428,'Catalogue Aluminium'!$B$9:$G$91,2,FALSE),IF(T428="GROUND",VLOOKUP(W428,'Catalogue Aluminium'!$B$9:$G$91,3,FALSE),IF(T428="DUCT",VLOOKUP(W428,'Catalogue Aluminium'!$B$9:$G$91,4,FALSE),IF(T428="TRENCH",VLOOKUP(W428,'Catalogue Aluminium'!$B$9:$G$91,2,FALSE)))))</f>
        <v>38</v>
      </c>
      <c r="AA428" s="251">
        <f>VLOOKUP(W428,'Catalogue Aluminium'!$B$9:$G$91,5,FALSE)</f>
        <v>5.9</v>
      </c>
      <c r="AB428" s="251">
        <f>VLOOKUP(W428,'Catalogue Aluminium'!$B$9:$G$91,6,FALSE)</f>
        <v>9.4700000000000006E-2</v>
      </c>
      <c r="AC428" s="572">
        <f t="shared" si="1052"/>
        <v>38</v>
      </c>
      <c r="AD428" s="572">
        <v>0</v>
      </c>
      <c r="AE428" s="294">
        <v>10</v>
      </c>
      <c r="AF428" s="294">
        <v>5</v>
      </c>
      <c r="AG428" s="294">
        <f t="shared" si="1053"/>
        <v>6</v>
      </c>
      <c r="AH428" s="253">
        <f t="shared" si="1054"/>
        <v>59</v>
      </c>
      <c r="AI428" s="250">
        <f>IF(T428="AIR",'Catalogue Aluminium'!$K$9,IF(T428="TRENCH",'Catalogue Aluminium'!$K$12,"NA"))</f>
        <v>0.89</v>
      </c>
      <c r="AJ428" s="248">
        <f>IF(T428="Air",(IF(U428="1C",'Catalogue Aluminium'!$L$9,'Catalogue Aluminium'!$M$9)),IF(T428="DUCT",(IF($U428="1C",'Catalogue Aluminium'!$L$10,'Catalogue Aluminium'!$M$10)),IF(T428="GROUND",(IF($U428="1C",'Catalogue Aluminium'!$L$11,'Catalogue Aluminium'!$M$11)),IF(T428="TRENCH",(IF($U428="1C",'Catalogue Aluminium'!$L$12,'Catalogue Aluminium'!$M$12))))))</f>
        <v>0.66</v>
      </c>
      <c r="AK428" s="250" t="str">
        <f>IF(T428="Air",'Catalogue Aluminium'!$N$9,IF(T428="GROUND",'Catalogue Aluminium'!$N$10,IF(T428="DUCT",'Catalogue Aluminium'!$N$11,IF(T428="TRENCH",'Catalogue Aluminium'!$N$12,"NA"))))</f>
        <v>NA</v>
      </c>
      <c r="AL428" s="250" t="str">
        <f>IF(T428="Air",(IF(U428="1C",'Catalogue Aluminium'!$O$9,'Catalogue Aluminium'!$P$9)),IF(T428="DUCT",(IF($U428="1C",'Catalogue Aluminium'!$O$10,'Catalogue Aluminium'!$P$10)),IF(T428="GROUND",(IF($U428="1C",'Catalogue Aluminium'!$O$11,'Catalogue Aluminium'!$P$11)),IF(T428="TRENCH",(IF($U428="1C",'Catalogue Aluminium'!$O$12,'Catalogue Aluminium'!$P$12))))))</f>
        <v>NA</v>
      </c>
      <c r="AM428" s="250" t="str">
        <f>IF(T428="AIR","NA",IF(T428="TRENCH","NA",IF(T428="DUCT",IF(U428="1C",VLOOKUP(V428,'Catalogue Aluminium'!$Q$9:$S$28,2,FALSE),VLOOKUP(V428,'Catalogue Aluminium'!$Q$9:$S$28,3)),IF(T428="GROUND",IF(U428="1C",VLOOKUP(V428,'Catalogue Aluminium'!$Q$9:$S$28,2,FALSE),VLOOKUP(V428,'Catalogue Aluminium'!$Q$9:$S$28,3))))))</f>
        <v>NA</v>
      </c>
      <c r="AN428" s="257">
        <f t="shared" si="1055"/>
        <v>0.58740000000000003</v>
      </c>
      <c r="AO428" s="256">
        <f t="shared" si="1056"/>
        <v>22.321200000000001</v>
      </c>
      <c r="AP428" s="255">
        <f t="shared" si="1057"/>
        <v>1</v>
      </c>
      <c r="AQ428" s="256" t="str">
        <f t="shared" si="1058"/>
        <v>YES</v>
      </c>
      <c r="AR428" s="257">
        <f t="shared" si="1059"/>
        <v>1.8155929412338154</v>
      </c>
      <c r="AS428" s="249" t="str">
        <f t="shared" si="1060"/>
        <v>YES</v>
      </c>
      <c r="AT428" s="257" t="str">
        <f t="shared" si="1061"/>
        <v>NA</v>
      </c>
      <c r="AU428" s="249" t="str">
        <f t="shared" si="1062"/>
        <v>NA</v>
      </c>
      <c r="AV428" s="260" t="str">
        <f t="shared" si="1063"/>
        <v>1R x 0.6/1kV x 3C x 4 Sqmm</v>
      </c>
      <c r="AW428" s="260" t="str">
        <f t="shared" si="1064"/>
        <v>1R x 0.6/1kV x 3C x 4 Sqmm</v>
      </c>
      <c r="AX428" s="249">
        <f t="shared" si="1065"/>
        <v>59</v>
      </c>
      <c r="AY428" s="261"/>
    </row>
    <row r="429" spans="1:51" ht="33" customHeight="1">
      <c r="A429" s="243">
        <f t="shared" si="1066"/>
        <v>298</v>
      </c>
      <c r="B429" s="243"/>
      <c r="C429" s="243" t="str">
        <f t="shared" si="1067"/>
        <v>CENTRAL CONTROL BUILDING HVAC DB</v>
      </c>
      <c r="D429" s="272" t="s">
        <v>762</v>
      </c>
      <c r="E429" s="320" t="s">
        <v>410</v>
      </c>
      <c r="F429" s="567"/>
      <c r="G429" s="243" t="s">
        <v>298</v>
      </c>
      <c r="H429" s="421">
        <v>3.5</v>
      </c>
      <c r="I429" s="243" t="s">
        <v>299</v>
      </c>
      <c r="J429" s="243" t="s">
        <v>313</v>
      </c>
      <c r="K429" s="255">
        <v>230</v>
      </c>
      <c r="L429" s="249">
        <v>0.84999999999999987</v>
      </c>
      <c r="M429" s="256">
        <v>0.95099999999999985</v>
      </c>
      <c r="N429" s="248">
        <f t="shared" si="1046"/>
        <v>18.825250577531801</v>
      </c>
      <c r="O429" s="248">
        <f t="shared" si="1047"/>
        <v>0</v>
      </c>
      <c r="P429" s="249" t="str">
        <f t="shared" si="1048"/>
        <v>0.00</v>
      </c>
      <c r="Q429" s="256">
        <v>25</v>
      </c>
      <c r="R429" s="256">
        <v>0</v>
      </c>
      <c r="S429" s="256">
        <f t="shared" si="1049"/>
        <v>0</v>
      </c>
      <c r="T429" s="249" t="s">
        <v>131</v>
      </c>
      <c r="U429" s="256" t="s">
        <v>302</v>
      </c>
      <c r="V429" s="249">
        <v>16</v>
      </c>
      <c r="W429" s="249" t="str">
        <f t="shared" si="1050"/>
        <v>3C X 16</v>
      </c>
      <c r="X429" s="249" t="str">
        <f t="shared" si="1051"/>
        <v>3C X 16</v>
      </c>
      <c r="Y429" s="249" t="s">
        <v>314</v>
      </c>
      <c r="Z429" s="250">
        <f>IF(T429="AIR",VLOOKUP(W429,'Catalogue Aluminium'!$B$9:$G$91,2,FALSE),IF(T429="GROUND",VLOOKUP(W429,'Catalogue Aluminium'!$B$9:$G$91,3,FALSE),IF(T429="DUCT",VLOOKUP(W429,'Catalogue Aluminium'!$B$9:$G$91,4,FALSE),IF(T429="TRENCH",VLOOKUP(W429,'Catalogue Aluminium'!$B$9:$G$91,2,FALSE)))))</f>
        <v>70</v>
      </c>
      <c r="AA429" s="251">
        <f>VLOOKUP(W429,'Catalogue Aluminium'!$B$9:$G$91,5,FALSE)</f>
        <v>2.44</v>
      </c>
      <c r="AB429" s="251">
        <f>VLOOKUP(W429,'Catalogue Aluminium'!$B$9:$G$91,6,FALSE)</f>
        <v>8.1500000000000003E-2</v>
      </c>
      <c r="AC429" s="572">
        <f t="shared" si="1052"/>
        <v>38</v>
      </c>
      <c r="AD429" s="572">
        <v>0</v>
      </c>
      <c r="AE429" s="294">
        <v>5</v>
      </c>
      <c r="AF429" s="294">
        <v>8</v>
      </c>
      <c r="AG429" s="294">
        <f t="shared" si="1053"/>
        <v>6</v>
      </c>
      <c r="AH429" s="253">
        <f t="shared" si="1054"/>
        <v>57</v>
      </c>
      <c r="AI429" s="250">
        <f>IF(T429="AIR",'Catalogue Aluminium'!$K$9,IF(T429="TRENCH",'Catalogue Aluminium'!$K$12,"NA"))</f>
        <v>0.89</v>
      </c>
      <c r="AJ429" s="248">
        <f>IF(T429="Air",(IF(U429="1C",'Catalogue Aluminium'!$L$9,'Catalogue Aluminium'!$M$9)),IF(T429="DUCT",(IF($U429="1C",'Catalogue Aluminium'!$L$10,'Catalogue Aluminium'!$M$10)),IF(T429="GROUND",(IF($U429="1C",'Catalogue Aluminium'!$L$11,'Catalogue Aluminium'!$M$11)),IF(T429="TRENCH",(IF($U429="1C",'Catalogue Aluminium'!$L$12,'Catalogue Aluminium'!$M$12))))))</f>
        <v>0.66</v>
      </c>
      <c r="AK429" s="250" t="str">
        <f>IF(T429="Air",'Catalogue Aluminium'!$N$9,IF(T429="GROUND",'Catalogue Aluminium'!$N$10,IF(T429="DUCT",'Catalogue Aluminium'!$N$11,IF(T429="TRENCH",'Catalogue Aluminium'!$N$12,"NA"))))</f>
        <v>NA</v>
      </c>
      <c r="AL429" s="250" t="str">
        <f>IF(T429="Air",(IF(U429="1C",'Catalogue Aluminium'!$O$9,'Catalogue Aluminium'!$P$9)),IF(T429="DUCT",(IF($U429="1C",'Catalogue Aluminium'!$O$10,'Catalogue Aluminium'!$P$10)),IF(T429="GROUND",(IF($U429="1C",'Catalogue Aluminium'!$O$11,'Catalogue Aluminium'!$P$11)),IF(T429="TRENCH",(IF($U429="1C",'Catalogue Aluminium'!$O$12,'Catalogue Aluminium'!$P$12))))))</f>
        <v>NA</v>
      </c>
      <c r="AM429" s="250" t="str">
        <f>IF(T429="AIR","NA",IF(T429="TRENCH","NA",IF(T429="DUCT",IF(U429="1C",VLOOKUP(V429,'Catalogue Aluminium'!$Q$9:$S$28,2,FALSE),VLOOKUP(V429,'Catalogue Aluminium'!$Q$9:$S$28,3)),IF(T429="GROUND",IF(U429="1C",VLOOKUP(V429,'Catalogue Aluminium'!$Q$9:$S$28,2,FALSE),VLOOKUP(V429,'Catalogue Aluminium'!$Q$9:$S$28,3))))))</f>
        <v>NA</v>
      </c>
      <c r="AN429" s="257">
        <f t="shared" si="1055"/>
        <v>0.58740000000000003</v>
      </c>
      <c r="AO429" s="256">
        <f t="shared" si="1056"/>
        <v>41.118000000000002</v>
      </c>
      <c r="AP429" s="255">
        <f t="shared" si="1057"/>
        <v>1</v>
      </c>
      <c r="AQ429" s="256" t="str">
        <f t="shared" si="1058"/>
        <v>YES</v>
      </c>
      <c r="AR429" s="257">
        <f t="shared" si="1059"/>
        <v>1.7106276298617451</v>
      </c>
      <c r="AS429" s="249" t="str">
        <f t="shared" si="1060"/>
        <v>YES</v>
      </c>
      <c r="AT429" s="257" t="str">
        <f t="shared" si="1061"/>
        <v>NA</v>
      </c>
      <c r="AU429" s="249" t="str">
        <f t="shared" si="1062"/>
        <v>NA</v>
      </c>
      <c r="AV429" s="260" t="str">
        <f t="shared" si="1063"/>
        <v>1R x 0.6/1kV x 3C x 16 Sqmm</v>
      </c>
      <c r="AW429" s="260" t="str">
        <f t="shared" si="1064"/>
        <v>1R x 0.6/1kV x 3C x 16 Sqmm</v>
      </c>
      <c r="AX429" s="249">
        <f t="shared" si="1065"/>
        <v>57</v>
      </c>
      <c r="AY429" s="261"/>
    </row>
    <row r="430" spans="1:51" ht="33" customHeight="1">
      <c r="A430" s="243">
        <f t="shared" si="1066"/>
        <v>299</v>
      </c>
      <c r="B430" s="243"/>
      <c r="C430" s="243" t="str">
        <f t="shared" si="1067"/>
        <v>CENTRAL CONTROL BUILDING HVAC DB</v>
      </c>
      <c r="D430" s="272" t="s">
        <v>763</v>
      </c>
      <c r="E430" s="320" t="s">
        <v>410</v>
      </c>
      <c r="F430" s="567"/>
      <c r="G430" s="243" t="s">
        <v>298</v>
      </c>
      <c r="H430" s="256">
        <v>1.5</v>
      </c>
      <c r="I430" s="243" t="s">
        <v>299</v>
      </c>
      <c r="J430" s="243" t="s">
        <v>313</v>
      </c>
      <c r="K430" s="255">
        <v>230</v>
      </c>
      <c r="L430" s="249">
        <v>0.84999999999999987</v>
      </c>
      <c r="M430" s="256">
        <v>0.95099999999999985</v>
      </c>
      <c r="N430" s="248">
        <f t="shared" si="1046"/>
        <v>8.0679645332279151</v>
      </c>
      <c r="O430" s="248">
        <f t="shared" si="1047"/>
        <v>0</v>
      </c>
      <c r="P430" s="249" t="str">
        <f t="shared" si="1048"/>
        <v>0.00</v>
      </c>
      <c r="Q430" s="256">
        <v>25</v>
      </c>
      <c r="R430" s="256">
        <v>0</v>
      </c>
      <c r="S430" s="256">
        <f t="shared" si="1049"/>
        <v>0</v>
      </c>
      <c r="T430" s="249" t="s">
        <v>131</v>
      </c>
      <c r="U430" s="256" t="s">
        <v>302</v>
      </c>
      <c r="V430" s="249">
        <v>4</v>
      </c>
      <c r="W430" s="249" t="str">
        <f t="shared" si="1050"/>
        <v>3C X 4</v>
      </c>
      <c r="X430" s="249" t="str">
        <f t="shared" si="1051"/>
        <v>3C X 4</v>
      </c>
      <c r="Y430" s="249" t="s">
        <v>314</v>
      </c>
      <c r="Z430" s="250">
        <f>IF(T430="AIR",VLOOKUP(W430,'Catalogue Aluminium'!$B$9:$G$91,2,FALSE),IF(T430="GROUND",VLOOKUP(W430,'Catalogue Aluminium'!$B$9:$G$91,3,FALSE),IF(T430="DUCT",VLOOKUP(W430,'Catalogue Aluminium'!$B$9:$G$91,4,FALSE),IF(T430="TRENCH",VLOOKUP(W430,'Catalogue Aluminium'!$B$9:$G$91,2,FALSE)))))</f>
        <v>38</v>
      </c>
      <c r="AA430" s="251">
        <f>VLOOKUP(W430,'Catalogue Aluminium'!$B$9:$G$91,5,FALSE)</f>
        <v>5.9</v>
      </c>
      <c r="AB430" s="251">
        <f>VLOOKUP(W430,'Catalogue Aluminium'!$B$9:$G$91,6,FALSE)</f>
        <v>9.4700000000000006E-2</v>
      </c>
      <c r="AC430" s="572">
        <f t="shared" si="1052"/>
        <v>38</v>
      </c>
      <c r="AD430" s="572">
        <v>0</v>
      </c>
      <c r="AE430" s="294">
        <v>10</v>
      </c>
      <c r="AF430" s="294">
        <v>5</v>
      </c>
      <c r="AG430" s="294">
        <f t="shared" si="1053"/>
        <v>6</v>
      </c>
      <c r="AH430" s="253">
        <f t="shared" si="1054"/>
        <v>59</v>
      </c>
      <c r="AI430" s="250">
        <f>IF(T430="AIR",'Catalogue Aluminium'!$K$9,IF(T430="TRENCH",'Catalogue Aluminium'!$K$12,"NA"))</f>
        <v>0.89</v>
      </c>
      <c r="AJ430" s="248">
        <f>IF(T430="Air",(IF(U430="1C",'Catalogue Aluminium'!$L$9,'Catalogue Aluminium'!$M$9)),IF(T430="DUCT",(IF($U430="1C",'Catalogue Aluminium'!$L$10,'Catalogue Aluminium'!$M$10)),IF(T430="GROUND",(IF($U430="1C",'Catalogue Aluminium'!$L$11,'Catalogue Aluminium'!$M$11)),IF(T430="TRENCH",(IF($U430="1C",'Catalogue Aluminium'!$L$12,'Catalogue Aluminium'!$M$12))))))</f>
        <v>0.66</v>
      </c>
      <c r="AK430" s="250" t="str">
        <f>IF(T430="Air",'Catalogue Aluminium'!$N$9,IF(T430="GROUND",'Catalogue Aluminium'!$N$10,IF(T430="DUCT",'Catalogue Aluminium'!$N$11,IF(T430="TRENCH",'Catalogue Aluminium'!$N$12,"NA"))))</f>
        <v>NA</v>
      </c>
      <c r="AL430" s="250" t="str">
        <f>IF(T430="Air",(IF(U430="1C",'Catalogue Aluminium'!$O$9,'Catalogue Aluminium'!$P$9)),IF(T430="DUCT",(IF($U430="1C",'Catalogue Aluminium'!$O$10,'Catalogue Aluminium'!$P$10)),IF(T430="GROUND",(IF($U430="1C",'Catalogue Aluminium'!$O$11,'Catalogue Aluminium'!$P$11)),IF(T430="TRENCH",(IF($U430="1C",'Catalogue Aluminium'!$O$12,'Catalogue Aluminium'!$P$12))))))</f>
        <v>NA</v>
      </c>
      <c r="AM430" s="250" t="str">
        <f>IF(T430="AIR","NA",IF(T430="TRENCH","NA",IF(T430="DUCT",IF(U430="1C",VLOOKUP(V430,'Catalogue Aluminium'!$Q$9:$S$28,2,FALSE),VLOOKUP(V430,'Catalogue Aluminium'!$Q$9:$S$28,3)),IF(T430="GROUND",IF(U430="1C",VLOOKUP(V430,'Catalogue Aluminium'!$Q$9:$S$28,2,FALSE),VLOOKUP(V430,'Catalogue Aluminium'!$Q$9:$S$28,3))))))</f>
        <v>NA</v>
      </c>
      <c r="AN430" s="257">
        <f t="shared" si="1055"/>
        <v>0.58740000000000003</v>
      </c>
      <c r="AO430" s="256">
        <f t="shared" si="1056"/>
        <v>22.321200000000001</v>
      </c>
      <c r="AP430" s="255">
        <f t="shared" si="1057"/>
        <v>1</v>
      </c>
      <c r="AQ430" s="256" t="str">
        <f t="shared" si="1058"/>
        <v>YES</v>
      </c>
      <c r="AR430" s="257">
        <f t="shared" si="1059"/>
        <v>1.8155929412338154</v>
      </c>
      <c r="AS430" s="249" t="str">
        <f t="shared" si="1060"/>
        <v>YES</v>
      </c>
      <c r="AT430" s="257" t="str">
        <f t="shared" si="1061"/>
        <v>NA</v>
      </c>
      <c r="AU430" s="249" t="str">
        <f t="shared" si="1062"/>
        <v>NA</v>
      </c>
      <c r="AV430" s="260" t="str">
        <f t="shared" si="1063"/>
        <v>1R x 0.6/1kV x 3C x 4 Sqmm</v>
      </c>
      <c r="AW430" s="260" t="str">
        <f t="shared" si="1064"/>
        <v>1R x 0.6/1kV x 3C x 4 Sqmm</v>
      </c>
      <c r="AX430" s="249">
        <f t="shared" si="1065"/>
        <v>59</v>
      </c>
      <c r="AY430" s="261"/>
    </row>
    <row r="431" spans="1:51" ht="33" customHeight="1">
      <c r="A431" s="243">
        <f t="shared" si="1066"/>
        <v>300</v>
      </c>
      <c r="B431" s="243"/>
      <c r="C431" s="243" t="str">
        <f t="shared" si="1067"/>
        <v>CENTRAL CONTROL BUILDING HVAC DB</v>
      </c>
      <c r="D431" s="272" t="s">
        <v>764</v>
      </c>
      <c r="E431" s="320" t="s">
        <v>410</v>
      </c>
      <c r="F431" s="567"/>
      <c r="G431" s="243" t="s">
        <v>298</v>
      </c>
      <c r="H431" s="421">
        <v>3.5</v>
      </c>
      <c r="I431" s="243" t="s">
        <v>299</v>
      </c>
      <c r="J431" s="243" t="s">
        <v>313</v>
      </c>
      <c r="K431" s="255">
        <v>230</v>
      </c>
      <c r="L431" s="249">
        <v>0.84999999999999987</v>
      </c>
      <c r="M431" s="256">
        <v>0.95099999999999985</v>
      </c>
      <c r="N431" s="248">
        <f t="shared" si="1046"/>
        <v>18.825250577531801</v>
      </c>
      <c r="O431" s="248">
        <f t="shared" si="1047"/>
        <v>0</v>
      </c>
      <c r="P431" s="249" t="str">
        <f t="shared" si="1048"/>
        <v>0.00</v>
      </c>
      <c r="Q431" s="256">
        <v>25</v>
      </c>
      <c r="R431" s="256">
        <v>0</v>
      </c>
      <c r="S431" s="256">
        <f t="shared" si="1049"/>
        <v>0</v>
      </c>
      <c r="T431" s="249" t="s">
        <v>131</v>
      </c>
      <c r="U431" s="256" t="s">
        <v>302</v>
      </c>
      <c r="V431" s="249">
        <v>16</v>
      </c>
      <c r="W431" s="249" t="str">
        <f t="shared" si="1050"/>
        <v>3C X 16</v>
      </c>
      <c r="X431" s="249" t="str">
        <f t="shared" si="1051"/>
        <v>3C X 16</v>
      </c>
      <c r="Y431" s="249" t="s">
        <v>314</v>
      </c>
      <c r="Z431" s="250">
        <f>IF(T431="AIR",VLOOKUP(W431,'Catalogue Aluminium'!$B$9:$G$91,2,FALSE),IF(T431="GROUND",VLOOKUP(W431,'Catalogue Aluminium'!$B$9:$G$91,3,FALSE),IF(T431="DUCT",VLOOKUP(W431,'Catalogue Aluminium'!$B$9:$G$91,4,FALSE),IF(T431="TRENCH",VLOOKUP(W431,'Catalogue Aluminium'!$B$9:$G$91,2,FALSE)))))</f>
        <v>70</v>
      </c>
      <c r="AA431" s="251">
        <f>VLOOKUP(W431,'Catalogue Aluminium'!$B$9:$G$91,5,FALSE)</f>
        <v>2.44</v>
      </c>
      <c r="AB431" s="251">
        <f>VLOOKUP(W431,'Catalogue Aluminium'!$B$9:$G$91,6,FALSE)</f>
        <v>8.1500000000000003E-2</v>
      </c>
      <c r="AC431" s="572">
        <f t="shared" si="1052"/>
        <v>38</v>
      </c>
      <c r="AD431" s="572">
        <v>0</v>
      </c>
      <c r="AE431" s="294">
        <v>5</v>
      </c>
      <c r="AF431" s="294">
        <v>8</v>
      </c>
      <c r="AG431" s="294">
        <f t="shared" si="1053"/>
        <v>6</v>
      </c>
      <c r="AH431" s="253">
        <f t="shared" si="1054"/>
        <v>57</v>
      </c>
      <c r="AI431" s="250">
        <f>IF(T431="AIR",'Catalogue Aluminium'!$K$9,IF(T431="TRENCH",'Catalogue Aluminium'!$K$12,"NA"))</f>
        <v>0.89</v>
      </c>
      <c r="AJ431" s="248">
        <f>IF(T431="Air",(IF(U431="1C",'Catalogue Aluminium'!$L$9,'Catalogue Aluminium'!$M$9)),IF(T431="DUCT",(IF($U431="1C",'Catalogue Aluminium'!$L$10,'Catalogue Aluminium'!$M$10)),IF(T431="GROUND",(IF($U431="1C",'Catalogue Aluminium'!$L$11,'Catalogue Aluminium'!$M$11)),IF(T431="TRENCH",(IF($U431="1C",'Catalogue Aluminium'!$L$12,'Catalogue Aluminium'!$M$12))))))</f>
        <v>0.66</v>
      </c>
      <c r="AK431" s="250" t="str">
        <f>IF(T431="Air",'Catalogue Aluminium'!$N$9,IF(T431="GROUND",'Catalogue Aluminium'!$N$10,IF(T431="DUCT",'Catalogue Aluminium'!$N$11,IF(T431="TRENCH",'Catalogue Aluminium'!$N$12,"NA"))))</f>
        <v>NA</v>
      </c>
      <c r="AL431" s="250" t="str">
        <f>IF(T431="Air",(IF(U431="1C",'Catalogue Aluminium'!$O$9,'Catalogue Aluminium'!$P$9)),IF(T431="DUCT",(IF($U431="1C",'Catalogue Aluminium'!$O$10,'Catalogue Aluminium'!$P$10)),IF(T431="GROUND",(IF($U431="1C",'Catalogue Aluminium'!$O$11,'Catalogue Aluminium'!$P$11)),IF(T431="TRENCH",(IF($U431="1C",'Catalogue Aluminium'!$O$12,'Catalogue Aluminium'!$P$12))))))</f>
        <v>NA</v>
      </c>
      <c r="AM431" s="250" t="str">
        <f>IF(T431="AIR","NA",IF(T431="TRENCH","NA",IF(T431="DUCT",IF(U431="1C",VLOOKUP(V431,'Catalogue Aluminium'!$Q$9:$S$28,2,FALSE),VLOOKUP(V431,'Catalogue Aluminium'!$Q$9:$S$28,3)),IF(T431="GROUND",IF(U431="1C",VLOOKUP(V431,'Catalogue Aluminium'!$Q$9:$S$28,2,FALSE),VLOOKUP(V431,'Catalogue Aluminium'!$Q$9:$S$28,3))))))</f>
        <v>NA</v>
      </c>
      <c r="AN431" s="257">
        <f t="shared" si="1055"/>
        <v>0.58740000000000003</v>
      </c>
      <c r="AO431" s="256">
        <f t="shared" si="1056"/>
        <v>41.118000000000002</v>
      </c>
      <c r="AP431" s="255">
        <f t="shared" si="1057"/>
        <v>1</v>
      </c>
      <c r="AQ431" s="256" t="str">
        <f t="shared" si="1058"/>
        <v>YES</v>
      </c>
      <c r="AR431" s="257">
        <f t="shared" si="1059"/>
        <v>1.7106276298617451</v>
      </c>
      <c r="AS431" s="249" t="str">
        <f t="shared" si="1060"/>
        <v>YES</v>
      </c>
      <c r="AT431" s="257" t="str">
        <f t="shared" si="1061"/>
        <v>NA</v>
      </c>
      <c r="AU431" s="249" t="str">
        <f t="shared" si="1062"/>
        <v>NA</v>
      </c>
      <c r="AV431" s="260" t="str">
        <f t="shared" si="1063"/>
        <v>1R x 0.6/1kV x 3C x 16 Sqmm</v>
      </c>
      <c r="AW431" s="260" t="str">
        <f t="shared" si="1064"/>
        <v>1R x 0.6/1kV x 3C x 16 Sqmm</v>
      </c>
      <c r="AX431" s="249">
        <f t="shared" si="1065"/>
        <v>57</v>
      </c>
      <c r="AY431" s="261"/>
    </row>
    <row r="432" spans="1:51" ht="30.75" customHeight="1">
      <c r="A432" s="243">
        <f t="shared" si="1066"/>
        <v>301</v>
      </c>
      <c r="B432" s="243"/>
      <c r="C432" s="243" t="str">
        <f t="shared" si="1067"/>
        <v>CENTRAL CONTROL BUILDING HVAC DB</v>
      </c>
      <c r="D432" s="272" t="s">
        <v>765</v>
      </c>
      <c r="E432" s="320" t="s">
        <v>410</v>
      </c>
      <c r="F432" s="567"/>
      <c r="G432" s="243" t="s">
        <v>298</v>
      </c>
      <c r="H432" s="421">
        <v>3.5</v>
      </c>
      <c r="I432" s="243" t="s">
        <v>299</v>
      </c>
      <c r="J432" s="243" t="s">
        <v>313</v>
      </c>
      <c r="K432" s="255">
        <v>230</v>
      </c>
      <c r="L432" s="249">
        <v>0.84999999999999987</v>
      </c>
      <c r="M432" s="256">
        <v>0.95099999999999985</v>
      </c>
      <c r="N432" s="248">
        <f t="shared" si="1046"/>
        <v>18.825250577531801</v>
      </c>
      <c r="O432" s="248">
        <f t="shared" si="1047"/>
        <v>0</v>
      </c>
      <c r="P432" s="249" t="str">
        <f t="shared" si="1048"/>
        <v>0.00</v>
      </c>
      <c r="Q432" s="256">
        <v>25</v>
      </c>
      <c r="R432" s="256">
        <v>0</v>
      </c>
      <c r="S432" s="256">
        <f t="shared" si="1049"/>
        <v>0</v>
      </c>
      <c r="T432" s="249" t="s">
        <v>131</v>
      </c>
      <c r="U432" s="256" t="s">
        <v>302</v>
      </c>
      <c r="V432" s="249">
        <v>16</v>
      </c>
      <c r="W432" s="249" t="str">
        <f t="shared" si="1050"/>
        <v>3C X 16</v>
      </c>
      <c r="X432" s="249" t="str">
        <f t="shared" si="1051"/>
        <v>3C X 16</v>
      </c>
      <c r="Y432" s="249" t="s">
        <v>314</v>
      </c>
      <c r="Z432" s="250">
        <f>IF(T432="AIR",VLOOKUP(W432,'Catalogue Aluminium'!$B$9:$G$91,2,FALSE),IF(T432="GROUND",VLOOKUP(W432,'Catalogue Aluminium'!$B$9:$G$91,3,FALSE),IF(T432="DUCT",VLOOKUP(W432,'Catalogue Aluminium'!$B$9:$G$91,4,FALSE),IF(T432="TRENCH",VLOOKUP(W432,'Catalogue Aluminium'!$B$9:$G$91,2,FALSE)))))</f>
        <v>70</v>
      </c>
      <c r="AA432" s="251">
        <f>VLOOKUP(W432,'Catalogue Aluminium'!$B$9:$G$91,5,FALSE)</f>
        <v>2.44</v>
      </c>
      <c r="AB432" s="251">
        <f>VLOOKUP(W432,'Catalogue Aluminium'!$B$9:$G$91,6,FALSE)</f>
        <v>8.1500000000000003E-2</v>
      </c>
      <c r="AC432" s="572">
        <f t="shared" si="1052"/>
        <v>38</v>
      </c>
      <c r="AD432" s="572">
        <v>0</v>
      </c>
      <c r="AE432" s="294">
        <v>5</v>
      </c>
      <c r="AF432" s="294">
        <v>8</v>
      </c>
      <c r="AG432" s="294">
        <f t="shared" si="1053"/>
        <v>6</v>
      </c>
      <c r="AH432" s="253">
        <f t="shared" si="1054"/>
        <v>57</v>
      </c>
      <c r="AI432" s="250">
        <f>IF(T432="AIR",'Catalogue Aluminium'!$K$9,IF(T432="TRENCH",'Catalogue Aluminium'!$K$12,"NA"))</f>
        <v>0.89</v>
      </c>
      <c r="AJ432" s="248">
        <f>IF(T432="Air",(IF(U432="1C",'Catalogue Aluminium'!$L$9,'Catalogue Aluminium'!$M$9)),IF(T432="DUCT",(IF($U432="1C",'Catalogue Aluminium'!$L$10,'Catalogue Aluminium'!$M$10)),IF(T432="GROUND",(IF($U432="1C",'Catalogue Aluminium'!$L$11,'Catalogue Aluminium'!$M$11)),IF(T432="TRENCH",(IF($U432="1C",'Catalogue Aluminium'!$L$12,'Catalogue Aluminium'!$M$12))))))</f>
        <v>0.66</v>
      </c>
      <c r="AK432" s="250" t="str">
        <f>IF(T432="Air",'Catalogue Aluminium'!$N$9,IF(T432="GROUND",'Catalogue Aluminium'!$N$10,IF(T432="DUCT",'Catalogue Aluminium'!$N$11,IF(T432="TRENCH",'Catalogue Aluminium'!$N$12,"NA"))))</f>
        <v>NA</v>
      </c>
      <c r="AL432" s="250" t="str">
        <f>IF(T432="Air",(IF(U432="1C",'Catalogue Aluminium'!$O$9,'Catalogue Aluminium'!$P$9)),IF(T432="DUCT",(IF($U432="1C",'Catalogue Aluminium'!$O$10,'Catalogue Aluminium'!$P$10)),IF(T432="GROUND",(IF($U432="1C",'Catalogue Aluminium'!$O$11,'Catalogue Aluminium'!$P$11)),IF(T432="TRENCH",(IF($U432="1C",'Catalogue Aluminium'!$O$12,'Catalogue Aluminium'!$P$12))))))</f>
        <v>NA</v>
      </c>
      <c r="AM432" s="250" t="str">
        <f>IF(T432="AIR","NA",IF(T432="TRENCH","NA",IF(T432="DUCT",IF(U432="1C",VLOOKUP(V432,'Catalogue Aluminium'!$Q$9:$S$28,2,FALSE),VLOOKUP(V432,'Catalogue Aluminium'!$Q$9:$S$28,3)),IF(T432="GROUND",IF(U432="1C",VLOOKUP(V432,'Catalogue Aluminium'!$Q$9:$S$28,2,FALSE),VLOOKUP(V432,'Catalogue Aluminium'!$Q$9:$S$28,3))))))</f>
        <v>NA</v>
      </c>
      <c r="AN432" s="257">
        <f t="shared" si="1055"/>
        <v>0.58740000000000003</v>
      </c>
      <c r="AO432" s="256">
        <f t="shared" si="1056"/>
        <v>41.118000000000002</v>
      </c>
      <c r="AP432" s="255">
        <f t="shared" si="1057"/>
        <v>1</v>
      </c>
      <c r="AQ432" s="256" t="str">
        <f t="shared" si="1058"/>
        <v>YES</v>
      </c>
      <c r="AR432" s="257">
        <f t="shared" si="1059"/>
        <v>1.7106276298617451</v>
      </c>
      <c r="AS432" s="249" t="str">
        <f t="shared" si="1060"/>
        <v>YES</v>
      </c>
      <c r="AT432" s="257" t="str">
        <f t="shared" si="1061"/>
        <v>NA</v>
      </c>
      <c r="AU432" s="249" t="str">
        <f t="shared" si="1062"/>
        <v>NA</v>
      </c>
      <c r="AV432" s="260" t="str">
        <f t="shared" si="1063"/>
        <v>1R x 0.6/1kV x 3C x 16 Sqmm</v>
      </c>
      <c r="AW432" s="260" t="str">
        <f t="shared" si="1064"/>
        <v>1R x 0.6/1kV x 3C x 16 Sqmm</v>
      </c>
      <c r="AX432" s="249">
        <f t="shared" si="1065"/>
        <v>57</v>
      </c>
      <c r="AY432" s="261"/>
    </row>
    <row r="433" spans="1:51" ht="30.75" customHeight="1">
      <c r="A433" s="243">
        <f t="shared" si="1066"/>
        <v>302</v>
      </c>
      <c r="B433" s="243"/>
      <c r="C433" s="243" t="str">
        <f t="shared" si="1067"/>
        <v>CENTRAL CONTROL BUILDING HVAC DB</v>
      </c>
      <c r="D433" s="272" t="s">
        <v>766</v>
      </c>
      <c r="E433" s="320" t="s">
        <v>410</v>
      </c>
      <c r="F433" s="567"/>
      <c r="G433" s="243" t="s">
        <v>298</v>
      </c>
      <c r="H433" s="421">
        <v>3.5</v>
      </c>
      <c r="I433" s="243" t="s">
        <v>299</v>
      </c>
      <c r="J433" s="243" t="s">
        <v>313</v>
      </c>
      <c r="K433" s="255">
        <v>230</v>
      </c>
      <c r="L433" s="249">
        <v>0.84999999999999987</v>
      </c>
      <c r="M433" s="256">
        <v>0.95099999999999985</v>
      </c>
      <c r="N433" s="248">
        <f t="shared" si="1046"/>
        <v>18.825250577531801</v>
      </c>
      <c r="O433" s="248">
        <f t="shared" si="1047"/>
        <v>0</v>
      </c>
      <c r="P433" s="249" t="str">
        <f t="shared" si="1048"/>
        <v>0.00</v>
      </c>
      <c r="Q433" s="256">
        <v>25</v>
      </c>
      <c r="R433" s="256">
        <v>0</v>
      </c>
      <c r="S433" s="256">
        <f t="shared" si="1049"/>
        <v>0</v>
      </c>
      <c r="T433" s="249" t="s">
        <v>131</v>
      </c>
      <c r="U433" s="256" t="s">
        <v>302</v>
      </c>
      <c r="V433" s="249">
        <v>16</v>
      </c>
      <c r="W433" s="249" t="str">
        <f t="shared" si="1050"/>
        <v>3C X 16</v>
      </c>
      <c r="X433" s="249" t="str">
        <f t="shared" si="1051"/>
        <v>3C X 16</v>
      </c>
      <c r="Y433" s="249" t="s">
        <v>314</v>
      </c>
      <c r="Z433" s="250">
        <f>IF(T433="AIR",VLOOKUP(W433,'Catalogue Aluminium'!$B$9:$G$91,2,FALSE),IF(T433="GROUND",VLOOKUP(W433,'Catalogue Aluminium'!$B$9:$G$91,3,FALSE),IF(T433="DUCT",VLOOKUP(W433,'Catalogue Aluminium'!$B$9:$G$91,4,FALSE),IF(T433="TRENCH",VLOOKUP(W433,'Catalogue Aluminium'!$B$9:$G$91,2,FALSE)))))</f>
        <v>70</v>
      </c>
      <c r="AA433" s="251">
        <f>VLOOKUP(W433,'Catalogue Aluminium'!$B$9:$G$91,5,FALSE)</f>
        <v>2.44</v>
      </c>
      <c r="AB433" s="251">
        <f>VLOOKUP(W433,'Catalogue Aluminium'!$B$9:$G$91,6,FALSE)</f>
        <v>8.1500000000000003E-2</v>
      </c>
      <c r="AC433" s="572">
        <f t="shared" si="1052"/>
        <v>38</v>
      </c>
      <c r="AD433" s="572">
        <v>0</v>
      </c>
      <c r="AE433" s="294">
        <v>5</v>
      </c>
      <c r="AF433" s="294">
        <v>8</v>
      </c>
      <c r="AG433" s="294">
        <f t="shared" si="1053"/>
        <v>6</v>
      </c>
      <c r="AH433" s="253">
        <f t="shared" si="1054"/>
        <v>57</v>
      </c>
      <c r="AI433" s="250">
        <f>IF(T433="AIR",'Catalogue Aluminium'!$K$9,IF(T433="TRENCH",'Catalogue Aluminium'!$K$12,"NA"))</f>
        <v>0.89</v>
      </c>
      <c r="AJ433" s="248">
        <f>IF(T433="Air",(IF(U433="1C",'Catalogue Aluminium'!$L$9,'Catalogue Aluminium'!$M$9)),IF(T433="DUCT",(IF($U433="1C",'Catalogue Aluminium'!$L$10,'Catalogue Aluminium'!$M$10)),IF(T433="GROUND",(IF($U433="1C",'Catalogue Aluminium'!$L$11,'Catalogue Aluminium'!$M$11)),IF(T433="TRENCH",(IF($U433="1C",'Catalogue Aluminium'!$L$12,'Catalogue Aluminium'!$M$12))))))</f>
        <v>0.66</v>
      </c>
      <c r="AK433" s="250" t="str">
        <f>IF(T433="Air",'Catalogue Aluminium'!$N$9,IF(T433="GROUND",'Catalogue Aluminium'!$N$10,IF(T433="DUCT",'Catalogue Aluminium'!$N$11,IF(T433="TRENCH",'Catalogue Aluminium'!$N$12,"NA"))))</f>
        <v>NA</v>
      </c>
      <c r="AL433" s="250" t="str">
        <f>IF(T433="Air",(IF(U433="1C",'Catalogue Aluminium'!$O$9,'Catalogue Aluminium'!$P$9)),IF(T433="DUCT",(IF($U433="1C",'Catalogue Aluminium'!$O$10,'Catalogue Aluminium'!$P$10)),IF(T433="GROUND",(IF($U433="1C",'Catalogue Aluminium'!$O$11,'Catalogue Aluminium'!$P$11)),IF(T433="TRENCH",(IF($U433="1C",'Catalogue Aluminium'!$O$12,'Catalogue Aluminium'!$P$12))))))</f>
        <v>NA</v>
      </c>
      <c r="AM433" s="250" t="str">
        <f>IF(T433="AIR","NA",IF(T433="TRENCH","NA",IF(T433="DUCT",IF(U433="1C",VLOOKUP(V433,'Catalogue Aluminium'!$Q$9:$S$28,2,FALSE),VLOOKUP(V433,'Catalogue Aluminium'!$Q$9:$S$28,3)),IF(T433="GROUND",IF(U433="1C",VLOOKUP(V433,'Catalogue Aluminium'!$Q$9:$S$28,2,FALSE),VLOOKUP(V433,'Catalogue Aluminium'!$Q$9:$S$28,3))))))</f>
        <v>NA</v>
      </c>
      <c r="AN433" s="257">
        <f t="shared" si="1055"/>
        <v>0.58740000000000003</v>
      </c>
      <c r="AO433" s="256">
        <f t="shared" si="1056"/>
        <v>41.118000000000002</v>
      </c>
      <c r="AP433" s="255">
        <f t="shared" si="1057"/>
        <v>1</v>
      </c>
      <c r="AQ433" s="256" t="str">
        <f t="shared" si="1058"/>
        <v>YES</v>
      </c>
      <c r="AR433" s="257">
        <f t="shared" si="1059"/>
        <v>1.7106276298617451</v>
      </c>
      <c r="AS433" s="249" t="str">
        <f t="shared" si="1060"/>
        <v>YES</v>
      </c>
      <c r="AT433" s="257" t="str">
        <f t="shared" si="1061"/>
        <v>NA</v>
      </c>
      <c r="AU433" s="249" t="str">
        <f t="shared" si="1062"/>
        <v>NA</v>
      </c>
      <c r="AV433" s="260" t="str">
        <f t="shared" si="1063"/>
        <v>1R x 0.6/1kV x 3C x 16 Sqmm</v>
      </c>
      <c r="AW433" s="260" t="str">
        <f t="shared" si="1064"/>
        <v>1R x 0.6/1kV x 3C x 16 Sqmm</v>
      </c>
      <c r="AX433" s="249">
        <f t="shared" si="1065"/>
        <v>57</v>
      </c>
      <c r="AY433" s="261"/>
    </row>
    <row r="434" spans="1:51" ht="30.75" customHeight="1">
      <c r="A434" s="243">
        <f t="shared" si="1066"/>
        <v>303</v>
      </c>
      <c r="B434" s="243"/>
      <c r="C434" s="243" t="str">
        <f t="shared" si="1067"/>
        <v>CENTRAL CONTROL BUILDING HVAC DB</v>
      </c>
      <c r="D434" s="272" t="s">
        <v>767</v>
      </c>
      <c r="E434" s="320" t="s">
        <v>410</v>
      </c>
      <c r="F434" s="567"/>
      <c r="G434" s="243" t="s">
        <v>298</v>
      </c>
      <c r="H434" s="421">
        <v>3.5</v>
      </c>
      <c r="I434" s="243" t="s">
        <v>299</v>
      </c>
      <c r="J434" s="243" t="s">
        <v>313</v>
      </c>
      <c r="K434" s="255">
        <v>230</v>
      </c>
      <c r="L434" s="249">
        <v>0.84999999999999987</v>
      </c>
      <c r="M434" s="256">
        <v>0.95099999999999985</v>
      </c>
      <c r="N434" s="248">
        <f t="shared" si="1046"/>
        <v>18.825250577531801</v>
      </c>
      <c r="O434" s="248">
        <f t="shared" si="1047"/>
        <v>0</v>
      </c>
      <c r="P434" s="249" t="str">
        <f t="shared" si="1048"/>
        <v>0.00</v>
      </c>
      <c r="Q434" s="256">
        <v>25</v>
      </c>
      <c r="R434" s="256">
        <v>0</v>
      </c>
      <c r="S434" s="256">
        <f t="shared" si="1049"/>
        <v>0</v>
      </c>
      <c r="T434" s="249" t="s">
        <v>131</v>
      </c>
      <c r="U434" s="256" t="s">
        <v>302</v>
      </c>
      <c r="V434" s="249">
        <v>16</v>
      </c>
      <c r="W434" s="249" t="str">
        <f t="shared" si="1050"/>
        <v>3C X 16</v>
      </c>
      <c r="X434" s="249" t="str">
        <f t="shared" si="1051"/>
        <v>3C X 16</v>
      </c>
      <c r="Y434" s="249" t="s">
        <v>314</v>
      </c>
      <c r="Z434" s="250">
        <f>IF(T434="AIR",VLOOKUP(W434,'Catalogue Aluminium'!$B$9:$G$91,2,FALSE),IF(T434="GROUND",VLOOKUP(W434,'Catalogue Aluminium'!$B$9:$G$91,3,FALSE),IF(T434="DUCT",VLOOKUP(W434,'Catalogue Aluminium'!$B$9:$G$91,4,FALSE),IF(T434="TRENCH",VLOOKUP(W434,'Catalogue Aluminium'!$B$9:$G$91,2,FALSE)))))</f>
        <v>70</v>
      </c>
      <c r="AA434" s="251">
        <f>VLOOKUP(W434,'Catalogue Aluminium'!$B$9:$G$91,5,FALSE)</f>
        <v>2.44</v>
      </c>
      <c r="AB434" s="251">
        <f>VLOOKUP(W434,'Catalogue Aluminium'!$B$9:$G$91,6,FALSE)</f>
        <v>8.1500000000000003E-2</v>
      </c>
      <c r="AC434" s="572">
        <f t="shared" si="1052"/>
        <v>38</v>
      </c>
      <c r="AD434" s="572">
        <v>0</v>
      </c>
      <c r="AE434" s="294">
        <v>5</v>
      </c>
      <c r="AF434" s="294">
        <v>8</v>
      </c>
      <c r="AG434" s="294">
        <f t="shared" si="1053"/>
        <v>6</v>
      </c>
      <c r="AH434" s="253">
        <f t="shared" si="1054"/>
        <v>57</v>
      </c>
      <c r="AI434" s="250">
        <f>IF(T434="AIR",'Catalogue Aluminium'!$K$9,IF(T434="TRENCH",'Catalogue Aluminium'!$K$12,"NA"))</f>
        <v>0.89</v>
      </c>
      <c r="AJ434" s="248">
        <f>IF(T434="Air",(IF(U434="1C",'Catalogue Aluminium'!$L$9,'Catalogue Aluminium'!$M$9)),IF(T434="DUCT",(IF($U434="1C",'Catalogue Aluminium'!$L$10,'Catalogue Aluminium'!$M$10)),IF(T434="GROUND",(IF($U434="1C",'Catalogue Aluminium'!$L$11,'Catalogue Aluminium'!$M$11)),IF(T434="TRENCH",(IF($U434="1C",'Catalogue Aluminium'!$L$12,'Catalogue Aluminium'!$M$12))))))</f>
        <v>0.66</v>
      </c>
      <c r="AK434" s="250" t="str">
        <f>IF(T434="Air",'Catalogue Aluminium'!$N$9,IF(T434="GROUND",'Catalogue Aluminium'!$N$10,IF(T434="DUCT",'Catalogue Aluminium'!$N$11,IF(T434="TRENCH",'Catalogue Aluminium'!$N$12,"NA"))))</f>
        <v>NA</v>
      </c>
      <c r="AL434" s="250" t="str">
        <f>IF(T434="Air",(IF(U434="1C",'Catalogue Aluminium'!$O$9,'Catalogue Aluminium'!$P$9)),IF(T434="DUCT",(IF($U434="1C",'Catalogue Aluminium'!$O$10,'Catalogue Aluminium'!$P$10)),IF(T434="GROUND",(IF($U434="1C",'Catalogue Aluminium'!$O$11,'Catalogue Aluminium'!$P$11)),IF(T434="TRENCH",(IF($U434="1C",'Catalogue Aluminium'!$O$12,'Catalogue Aluminium'!$P$12))))))</f>
        <v>NA</v>
      </c>
      <c r="AM434" s="250" t="str">
        <f>IF(T434="AIR","NA",IF(T434="TRENCH","NA",IF(T434="DUCT",IF(U434="1C",VLOOKUP(V434,'Catalogue Aluminium'!$Q$9:$S$28,2,FALSE),VLOOKUP(V434,'Catalogue Aluminium'!$Q$9:$S$28,3)),IF(T434="GROUND",IF(U434="1C",VLOOKUP(V434,'Catalogue Aluminium'!$Q$9:$S$28,2,FALSE),VLOOKUP(V434,'Catalogue Aluminium'!$Q$9:$S$28,3))))))</f>
        <v>NA</v>
      </c>
      <c r="AN434" s="257">
        <f t="shared" si="1055"/>
        <v>0.58740000000000003</v>
      </c>
      <c r="AO434" s="256">
        <f t="shared" si="1056"/>
        <v>41.118000000000002</v>
      </c>
      <c r="AP434" s="255">
        <f t="shared" si="1057"/>
        <v>1</v>
      </c>
      <c r="AQ434" s="256" t="str">
        <f t="shared" si="1058"/>
        <v>YES</v>
      </c>
      <c r="AR434" s="257">
        <f t="shared" si="1059"/>
        <v>1.7106276298617451</v>
      </c>
      <c r="AS434" s="249" t="str">
        <f t="shared" si="1060"/>
        <v>YES</v>
      </c>
      <c r="AT434" s="257" t="str">
        <f t="shared" si="1061"/>
        <v>NA</v>
      </c>
      <c r="AU434" s="249" t="str">
        <f t="shared" si="1062"/>
        <v>NA</v>
      </c>
      <c r="AV434" s="260" t="str">
        <f t="shared" si="1063"/>
        <v>1R x 0.6/1kV x 3C x 16 Sqmm</v>
      </c>
      <c r="AW434" s="260" t="str">
        <f t="shared" si="1064"/>
        <v>1R x 0.6/1kV x 3C x 16 Sqmm</v>
      </c>
      <c r="AX434" s="249">
        <f t="shared" si="1065"/>
        <v>57</v>
      </c>
      <c r="AY434" s="261"/>
    </row>
    <row r="435" spans="1:51" ht="30.75" customHeight="1">
      <c r="A435" s="243">
        <f t="shared" si="1066"/>
        <v>304</v>
      </c>
      <c r="B435" s="243"/>
      <c r="C435" s="243" t="str">
        <f t="shared" si="1067"/>
        <v>CENTRAL CONTROL BUILDING HVAC DB</v>
      </c>
      <c r="D435" s="272" t="s">
        <v>767</v>
      </c>
      <c r="E435" s="320" t="s">
        <v>410</v>
      </c>
      <c r="F435" s="567"/>
      <c r="G435" s="243" t="s">
        <v>298</v>
      </c>
      <c r="H435" s="421">
        <v>3.5</v>
      </c>
      <c r="I435" s="243" t="s">
        <v>299</v>
      </c>
      <c r="J435" s="243" t="s">
        <v>313</v>
      </c>
      <c r="K435" s="255">
        <v>230</v>
      </c>
      <c r="L435" s="249">
        <v>0.84999999999999987</v>
      </c>
      <c r="M435" s="256">
        <v>0.95099999999999985</v>
      </c>
      <c r="N435" s="248">
        <f t="shared" si="1046"/>
        <v>18.825250577531801</v>
      </c>
      <c r="O435" s="248">
        <f t="shared" si="1047"/>
        <v>0</v>
      </c>
      <c r="P435" s="249" t="str">
        <f t="shared" si="1048"/>
        <v>0.00</v>
      </c>
      <c r="Q435" s="256">
        <v>25</v>
      </c>
      <c r="R435" s="256">
        <v>0</v>
      </c>
      <c r="S435" s="256">
        <f t="shared" si="1049"/>
        <v>0</v>
      </c>
      <c r="T435" s="249" t="s">
        <v>131</v>
      </c>
      <c r="U435" s="256" t="s">
        <v>302</v>
      </c>
      <c r="V435" s="249">
        <v>16</v>
      </c>
      <c r="W435" s="249" t="str">
        <f t="shared" si="1050"/>
        <v>3C X 16</v>
      </c>
      <c r="X435" s="249" t="str">
        <f t="shared" si="1051"/>
        <v>3C X 16</v>
      </c>
      <c r="Y435" s="249" t="s">
        <v>314</v>
      </c>
      <c r="Z435" s="250">
        <f>IF(T435="AIR",VLOOKUP(W435,'Catalogue Aluminium'!$B$9:$G$91,2,FALSE),IF(T435="GROUND",VLOOKUP(W435,'Catalogue Aluminium'!$B$9:$G$91,3,FALSE),IF(T435="DUCT",VLOOKUP(W435,'Catalogue Aluminium'!$B$9:$G$91,4,FALSE),IF(T435="TRENCH",VLOOKUP(W435,'Catalogue Aluminium'!$B$9:$G$91,2,FALSE)))))</f>
        <v>70</v>
      </c>
      <c r="AA435" s="251">
        <f>VLOOKUP(W435,'Catalogue Aluminium'!$B$9:$G$91,5,FALSE)</f>
        <v>2.44</v>
      </c>
      <c r="AB435" s="251">
        <f>VLOOKUP(W435,'Catalogue Aluminium'!$B$9:$G$91,6,FALSE)</f>
        <v>8.1500000000000003E-2</v>
      </c>
      <c r="AC435" s="572">
        <f t="shared" si="1052"/>
        <v>38</v>
      </c>
      <c r="AD435" s="572">
        <v>0</v>
      </c>
      <c r="AE435" s="294">
        <v>5</v>
      </c>
      <c r="AF435" s="294">
        <v>8</v>
      </c>
      <c r="AG435" s="294">
        <f t="shared" si="1053"/>
        <v>6</v>
      </c>
      <c r="AH435" s="253">
        <f t="shared" si="1054"/>
        <v>57</v>
      </c>
      <c r="AI435" s="250">
        <f>IF(T435="AIR",'Catalogue Aluminium'!$K$9,IF(T435="TRENCH",'Catalogue Aluminium'!$K$12,"NA"))</f>
        <v>0.89</v>
      </c>
      <c r="AJ435" s="248">
        <f>IF(T435="Air",(IF(U435="1C",'Catalogue Aluminium'!$L$9,'Catalogue Aluminium'!$M$9)),IF(T435="DUCT",(IF($U435="1C",'Catalogue Aluminium'!$L$10,'Catalogue Aluminium'!$M$10)),IF(T435="GROUND",(IF($U435="1C",'Catalogue Aluminium'!$L$11,'Catalogue Aluminium'!$M$11)),IF(T435="TRENCH",(IF($U435="1C",'Catalogue Aluminium'!$L$12,'Catalogue Aluminium'!$M$12))))))</f>
        <v>0.66</v>
      </c>
      <c r="AK435" s="250" t="str">
        <f>IF(T435="Air",'Catalogue Aluminium'!$N$9,IF(T435="GROUND",'Catalogue Aluminium'!$N$10,IF(T435="DUCT",'Catalogue Aluminium'!$N$11,IF(T435="TRENCH",'Catalogue Aluminium'!$N$12,"NA"))))</f>
        <v>NA</v>
      </c>
      <c r="AL435" s="250" t="str">
        <f>IF(T435="Air",(IF(U435="1C",'Catalogue Aluminium'!$O$9,'Catalogue Aluminium'!$P$9)),IF(T435="DUCT",(IF($U435="1C",'Catalogue Aluminium'!$O$10,'Catalogue Aluminium'!$P$10)),IF(T435="GROUND",(IF($U435="1C",'Catalogue Aluminium'!$O$11,'Catalogue Aluminium'!$P$11)),IF(T435="TRENCH",(IF($U435="1C",'Catalogue Aluminium'!$O$12,'Catalogue Aluminium'!$P$12))))))</f>
        <v>NA</v>
      </c>
      <c r="AM435" s="250" t="str">
        <f>IF(T435="AIR","NA",IF(T435="TRENCH","NA",IF(T435="DUCT",IF(U435="1C",VLOOKUP(V435,'Catalogue Aluminium'!$Q$9:$S$28,2,FALSE),VLOOKUP(V435,'Catalogue Aluminium'!$Q$9:$S$28,3)),IF(T435="GROUND",IF(U435="1C",VLOOKUP(V435,'Catalogue Aluminium'!$Q$9:$S$28,2,FALSE),VLOOKUP(V435,'Catalogue Aluminium'!$Q$9:$S$28,3))))))</f>
        <v>NA</v>
      </c>
      <c r="AN435" s="257">
        <f t="shared" si="1055"/>
        <v>0.58740000000000003</v>
      </c>
      <c r="AO435" s="256">
        <f t="shared" si="1056"/>
        <v>41.118000000000002</v>
      </c>
      <c r="AP435" s="255">
        <f t="shared" si="1057"/>
        <v>1</v>
      </c>
      <c r="AQ435" s="256" t="str">
        <f t="shared" si="1058"/>
        <v>YES</v>
      </c>
      <c r="AR435" s="257">
        <f t="shared" si="1059"/>
        <v>1.7106276298617451</v>
      </c>
      <c r="AS435" s="249" t="str">
        <f t="shared" si="1060"/>
        <v>YES</v>
      </c>
      <c r="AT435" s="257" t="str">
        <f t="shared" si="1061"/>
        <v>NA</v>
      </c>
      <c r="AU435" s="249" t="str">
        <f t="shared" si="1062"/>
        <v>NA</v>
      </c>
      <c r="AV435" s="260" t="str">
        <f t="shared" si="1063"/>
        <v>1R x 0.6/1kV x 3C x 16 Sqmm</v>
      </c>
      <c r="AW435" s="260" t="str">
        <f t="shared" si="1064"/>
        <v>1R x 0.6/1kV x 3C x 16 Sqmm</v>
      </c>
      <c r="AX435" s="249">
        <f t="shared" si="1065"/>
        <v>57</v>
      </c>
      <c r="AY435" s="261"/>
    </row>
    <row r="436" spans="1:51" ht="30.75" customHeight="1">
      <c r="A436" s="243">
        <f t="shared" si="1066"/>
        <v>305</v>
      </c>
      <c r="B436" s="243"/>
      <c r="C436" s="243" t="str">
        <f t="shared" si="1067"/>
        <v>CENTRAL CONTROL BUILDING HVAC DB</v>
      </c>
      <c r="D436" s="272" t="s">
        <v>768</v>
      </c>
      <c r="E436" s="320" t="s">
        <v>410</v>
      </c>
      <c r="F436" s="567"/>
      <c r="G436" s="243" t="s">
        <v>298</v>
      </c>
      <c r="H436" s="256">
        <v>3.5</v>
      </c>
      <c r="I436" s="243" t="s">
        <v>299</v>
      </c>
      <c r="J436" s="243" t="s">
        <v>313</v>
      </c>
      <c r="K436" s="255">
        <v>230</v>
      </c>
      <c r="L436" s="249">
        <v>0.84999999999999987</v>
      </c>
      <c r="M436" s="256">
        <v>0.95099999999999985</v>
      </c>
      <c r="N436" s="248">
        <f t="shared" si="1046"/>
        <v>18.825250577531801</v>
      </c>
      <c r="O436" s="248">
        <f t="shared" si="1047"/>
        <v>0</v>
      </c>
      <c r="P436" s="249" t="str">
        <f t="shared" si="1048"/>
        <v>0.00</v>
      </c>
      <c r="Q436" s="256">
        <v>25</v>
      </c>
      <c r="R436" s="256">
        <v>0</v>
      </c>
      <c r="S436" s="256">
        <f t="shared" si="1049"/>
        <v>0</v>
      </c>
      <c r="T436" s="249" t="s">
        <v>131</v>
      </c>
      <c r="U436" s="256" t="s">
        <v>302</v>
      </c>
      <c r="V436" s="249">
        <v>16</v>
      </c>
      <c r="W436" s="249" t="str">
        <f t="shared" si="1050"/>
        <v>3C X 16</v>
      </c>
      <c r="X436" s="249" t="str">
        <f t="shared" si="1051"/>
        <v>3C X 16</v>
      </c>
      <c r="Y436" s="249" t="s">
        <v>314</v>
      </c>
      <c r="Z436" s="250">
        <f>IF(T436="AIR",VLOOKUP(W436,'Catalogue Aluminium'!$B$9:$G$91,2,FALSE),IF(T436="GROUND",VLOOKUP(W436,'Catalogue Aluminium'!$B$9:$G$91,3,FALSE),IF(T436="DUCT",VLOOKUP(W436,'Catalogue Aluminium'!$B$9:$G$91,4,FALSE),IF(T436="TRENCH",VLOOKUP(W436,'Catalogue Aluminium'!$B$9:$G$91,2,FALSE)))))</f>
        <v>70</v>
      </c>
      <c r="AA436" s="251">
        <f>VLOOKUP(W436,'Catalogue Aluminium'!$B$9:$G$91,5,FALSE)</f>
        <v>2.44</v>
      </c>
      <c r="AB436" s="251">
        <f>VLOOKUP(W436,'Catalogue Aluminium'!$B$9:$G$91,6,FALSE)</f>
        <v>8.1500000000000003E-2</v>
      </c>
      <c r="AC436" s="572">
        <f t="shared" si="1052"/>
        <v>38</v>
      </c>
      <c r="AD436" s="572">
        <v>0</v>
      </c>
      <c r="AE436" s="294">
        <v>5</v>
      </c>
      <c r="AF436" s="294">
        <v>8</v>
      </c>
      <c r="AG436" s="294">
        <f t="shared" si="1053"/>
        <v>6</v>
      </c>
      <c r="AH436" s="253">
        <f t="shared" si="1054"/>
        <v>57</v>
      </c>
      <c r="AI436" s="250">
        <f>IF(T436="AIR",'Catalogue Aluminium'!$K$9,IF(T436="TRENCH",'Catalogue Aluminium'!$K$12,"NA"))</f>
        <v>0.89</v>
      </c>
      <c r="AJ436" s="248">
        <f>IF(T436="Air",(IF(U436="1C",'Catalogue Aluminium'!$L$9,'Catalogue Aluminium'!$M$9)),IF(T436="DUCT",(IF($U436="1C",'Catalogue Aluminium'!$L$10,'Catalogue Aluminium'!$M$10)),IF(T436="GROUND",(IF($U436="1C",'Catalogue Aluminium'!$L$11,'Catalogue Aluminium'!$M$11)),IF(T436="TRENCH",(IF($U436="1C",'Catalogue Aluminium'!$L$12,'Catalogue Aluminium'!$M$12))))))</f>
        <v>0.66</v>
      </c>
      <c r="AK436" s="250" t="str">
        <f>IF(T436="Air",'Catalogue Aluminium'!$N$9,IF(T436="GROUND",'Catalogue Aluminium'!$N$10,IF(T436="DUCT",'Catalogue Aluminium'!$N$11,IF(T436="TRENCH",'Catalogue Aluminium'!$N$12,"NA"))))</f>
        <v>NA</v>
      </c>
      <c r="AL436" s="250" t="str">
        <f>IF(T436="Air",(IF(U436="1C",'Catalogue Aluminium'!$O$9,'Catalogue Aluminium'!$P$9)),IF(T436="DUCT",(IF($U436="1C",'Catalogue Aluminium'!$O$10,'Catalogue Aluminium'!$P$10)),IF(T436="GROUND",(IF($U436="1C",'Catalogue Aluminium'!$O$11,'Catalogue Aluminium'!$P$11)),IF(T436="TRENCH",(IF($U436="1C",'Catalogue Aluminium'!$O$12,'Catalogue Aluminium'!$P$12))))))</f>
        <v>NA</v>
      </c>
      <c r="AM436" s="250" t="str">
        <f>IF(T436="AIR","NA",IF(T436="TRENCH","NA",IF(T436="DUCT",IF(U436="1C",VLOOKUP(V436,'Catalogue Aluminium'!$Q$9:$S$28,2,FALSE),VLOOKUP(V436,'Catalogue Aluminium'!$Q$9:$S$28,3)),IF(T436="GROUND",IF(U436="1C",VLOOKUP(V436,'Catalogue Aluminium'!$Q$9:$S$28,2,FALSE),VLOOKUP(V436,'Catalogue Aluminium'!$Q$9:$S$28,3))))))</f>
        <v>NA</v>
      </c>
      <c r="AN436" s="257">
        <f t="shared" si="1055"/>
        <v>0.58740000000000003</v>
      </c>
      <c r="AO436" s="256">
        <f t="shared" si="1056"/>
        <v>41.118000000000002</v>
      </c>
      <c r="AP436" s="255">
        <f t="shared" si="1057"/>
        <v>1</v>
      </c>
      <c r="AQ436" s="256" t="str">
        <f t="shared" si="1058"/>
        <v>YES</v>
      </c>
      <c r="AR436" s="257">
        <f t="shared" si="1059"/>
        <v>1.7106276298617451</v>
      </c>
      <c r="AS436" s="249" t="str">
        <f t="shared" si="1060"/>
        <v>YES</v>
      </c>
      <c r="AT436" s="257" t="str">
        <f t="shared" si="1061"/>
        <v>NA</v>
      </c>
      <c r="AU436" s="249" t="str">
        <f t="shared" si="1062"/>
        <v>NA</v>
      </c>
      <c r="AV436" s="260" t="str">
        <f t="shared" si="1063"/>
        <v>1R x 0.6/1kV x 3C x 16 Sqmm</v>
      </c>
      <c r="AW436" s="260" t="str">
        <f t="shared" si="1064"/>
        <v>1R x 0.6/1kV x 3C x 16 Sqmm</v>
      </c>
      <c r="AX436" s="249">
        <f t="shared" si="1065"/>
        <v>57</v>
      </c>
      <c r="AY436" s="261"/>
    </row>
    <row r="437" spans="1:51" s="75" customFormat="1" ht="30.75" hidden="1" customHeight="1">
      <c r="A437" s="262" t="s">
        <v>303</v>
      </c>
      <c r="B437" s="262"/>
      <c r="C437" s="262" t="str">
        <f t="shared" si="1067"/>
        <v>CENTRAL CONTROL BUILDING HVAC DB</v>
      </c>
      <c r="D437" s="290" t="s">
        <v>769</v>
      </c>
      <c r="E437" s="305" t="s">
        <v>410</v>
      </c>
      <c r="F437" s="305"/>
      <c r="G437" s="262" t="s">
        <v>298</v>
      </c>
      <c r="H437" s="258"/>
      <c r="I437" s="262" t="s">
        <v>299</v>
      </c>
      <c r="J437" s="262" t="s">
        <v>313</v>
      </c>
      <c r="K437" s="259">
        <v>230</v>
      </c>
      <c r="L437" s="264">
        <v>0.84999999999999987</v>
      </c>
      <c r="M437" s="258">
        <v>0.95099999999999985</v>
      </c>
      <c r="N437" s="263">
        <f t="shared" si="1046"/>
        <v>0</v>
      </c>
      <c r="O437" s="263">
        <f t="shared" si="1047"/>
        <v>0</v>
      </c>
      <c r="P437" s="264" t="str">
        <f t="shared" si="1048"/>
        <v>0.00</v>
      </c>
      <c r="Q437" s="258">
        <v>25</v>
      </c>
      <c r="R437" s="258">
        <v>0</v>
      </c>
      <c r="S437" s="258">
        <f t="shared" si="1049"/>
        <v>0</v>
      </c>
      <c r="T437" s="264" t="s">
        <v>131</v>
      </c>
      <c r="U437" s="415" t="s">
        <v>302</v>
      </c>
      <c r="V437" s="264">
        <v>4</v>
      </c>
      <c r="W437" s="264" t="str">
        <f t="shared" si="1050"/>
        <v>3C X 4</v>
      </c>
      <c r="X437" s="264" t="str">
        <f t="shared" si="1051"/>
        <v>3C X 4</v>
      </c>
      <c r="Y437" s="264" t="s">
        <v>314</v>
      </c>
      <c r="Z437" s="265">
        <f>IF(T437="AIR",VLOOKUP(W437,'Catalogue Aluminium'!$B$9:$G$91,2,FALSE),IF(T437="GROUND",VLOOKUP(W437,'Catalogue Aluminium'!$B$9:$G$91,3,FALSE),IF(T437="DUCT",VLOOKUP(W437,'Catalogue Aluminium'!$B$9:$G$91,4,FALSE),IF(T437="TRENCH",VLOOKUP(W437,'Catalogue Aluminium'!$B$9:$G$91,2,FALSE)))))</f>
        <v>38</v>
      </c>
      <c r="AA437" s="266">
        <f>VLOOKUP(W437,'Catalogue Aluminium'!$B$9:$G$91,5,FALSE)</f>
        <v>5.9</v>
      </c>
      <c r="AB437" s="266">
        <f>VLOOKUP(W437,'Catalogue Aluminium'!$B$9:$G$91,6,FALSE)</f>
        <v>9.4700000000000006E-2</v>
      </c>
      <c r="AC437" s="416">
        <f t="shared" si="1052"/>
        <v>38</v>
      </c>
      <c r="AD437" s="416">
        <v>0</v>
      </c>
      <c r="AE437" s="264">
        <v>10</v>
      </c>
      <c r="AF437" s="264">
        <v>5</v>
      </c>
      <c r="AG437" s="264">
        <f t="shared" si="1053"/>
        <v>6</v>
      </c>
      <c r="AH437" s="267"/>
      <c r="AI437" s="265">
        <f>IF(T437="AIR",'Catalogue Aluminium'!$K$9,IF(T437="TRENCH",'Catalogue Aluminium'!$K$12,"NA"))</f>
        <v>0.89</v>
      </c>
      <c r="AJ437" s="263">
        <f>IF(T437="Air",(IF(U437="1C",'Catalogue Aluminium'!$L$9,'Catalogue Aluminium'!$M$9)),IF(T437="DUCT",(IF($U437="1C",'Catalogue Aluminium'!$L$10,'Catalogue Aluminium'!$M$10)),IF(T437="GROUND",(IF($U437="1C",'Catalogue Aluminium'!$L$11,'Catalogue Aluminium'!$M$11)),IF(T437="TRENCH",(IF($U437="1C",'Catalogue Aluminium'!$L$12,'Catalogue Aluminium'!$M$12))))))</f>
        <v>0.66</v>
      </c>
      <c r="AK437" s="265" t="str">
        <f>IF(T437="Air",'Catalogue Aluminium'!$N$9,IF(T437="GROUND",'Catalogue Aluminium'!$N$10,IF(T437="DUCT",'Catalogue Aluminium'!$N$11,IF(T437="TRENCH",'Catalogue Aluminium'!$N$12,"NA"))))</f>
        <v>NA</v>
      </c>
      <c r="AL437" s="265" t="str">
        <f>IF(T437="Air",(IF(U437="1C",'Catalogue Aluminium'!$O$9,'Catalogue Aluminium'!$P$9)),IF(T437="DUCT",(IF($U437="1C",'Catalogue Aluminium'!$O$10,'Catalogue Aluminium'!$P$10)),IF(T437="GROUND",(IF($U437="1C",'Catalogue Aluminium'!$O$11,'Catalogue Aluminium'!$P$11)),IF(T437="TRENCH",(IF($U437="1C",'Catalogue Aluminium'!$O$12,'Catalogue Aluminium'!$P$12))))))</f>
        <v>NA</v>
      </c>
      <c r="AM437" s="265" t="str">
        <f>IF(T437="AIR","NA",IF(T437="TRENCH","NA",IF(T437="DUCT",IF(U437="1C",VLOOKUP(V437,'Catalogue Aluminium'!$Q$9:$S$28,2,FALSE),VLOOKUP(V437,'Catalogue Aluminium'!$Q$9:$S$28,3)),IF(T437="GROUND",IF(U437="1C",VLOOKUP(V437,'Catalogue Aluminium'!$Q$9:$S$28,2,FALSE),VLOOKUP(V437,'Catalogue Aluminium'!$Q$9:$S$28,3))))))</f>
        <v>NA</v>
      </c>
      <c r="AN437" s="268">
        <f t="shared" si="1055"/>
        <v>0.58740000000000003</v>
      </c>
      <c r="AO437" s="258">
        <f t="shared" si="1056"/>
        <v>22.321200000000001</v>
      </c>
      <c r="AP437" s="259">
        <f t="shared" si="1057"/>
        <v>0</v>
      </c>
      <c r="AQ437" s="258" t="str">
        <f t="shared" si="1058"/>
        <v>YES</v>
      </c>
      <c r="AR437" s="268" t="e">
        <f t="shared" si="1059"/>
        <v>#DIV/0!</v>
      </c>
      <c r="AS437" s="349" t="e">
        <f t="shared" si="1060"/>
        <v>#DIV/0!</v>
      </c>
      <c r="AT437" s="350" t="str">
        <f t="shared" si="1061"/>
        <v>NA</v>
      </c>
      <c r="AU437" s="264" t="str">
        <f t="shared" si="1062"/>
        <v>NA</v>
      </c>
      <c r="AV437" s="269" t="str">
        <f t="shared" si="1063"/>
        <v>0R x 0.6/1kV x 3C x 4 Sqmm</v>
      </c>
      <c r="AW437" s="269" t="str">
        <f t="shared" si="1064"/>
        <v>0R x 0.6/1kV x 3C x 4 Sqmm</v>
      </c>
      <c r="AX437" s="264"/>
      <c r="AY437" s="270"/>
    </row>
    <row r="438" spans="1:51" ht="30.75" customHeight="1">
      <c r="A438" s="243">
        <f>1+A436</f>
        <v>306</v>
      </c>
      <c r="B438" s="243"/>
      <c r="C438" s="243" t="str">
        <f t="shared" si="1067"/>
        <v>CENTRAL CONTROL BUILDING HVAC DB</v>
      </c>
      <c r="D438" s="272" t="s">
        <v>770</v>
      </c>
      <c r="E438" s="320" t="s">
        <v>410</v>
      </c>
      <c r="F438" s="567"/>
      <c r="G438" s="243" t="s">
        <v>298</v>
      </c>
      <c r="H438" s="256">
        <v>1.5</v>
      </c>
      <c r="I438" s="243" t="s">
        <v>299</v>
      </c>
      <c r="J438" s="243" t="s">
        <v>313</v>
      </c>
      <c r="K438" s="255">
        <v>230</v>
      </c>
      <c r="L438" s="249">
        <v>0.84999999999999987</v>
      </c>
      <c r="M438" s="256">
        <v>0.95099999999999985</v>
      </c>
      <c r="N438" s="248">
        <f t="shared" si="1046"/>
        <v>8.0679645332279151</v>
      </c>
      <c r="O438" s="248">
        <f t="shared" si="1047"/>
        <v>0</v>
      </c>
      <c r="P438" s="249" t="str">
        <f t="shared" si="1048"/>
        <v>0.00</v>
      </c>
      <c r="Q438" s="256">
        <v>25</v>
      </c>
      <c r="R438" s="256">
        <v>0</v>
      </c>
      <c r="S438" s="256">
        <f t="shared" si="1049"/>
        <v>0</v>
      </c>
      <c r="T438" s="249" t="s">
        <v>131</v>
      </c>
      <c r="U438" s="256" t="s">
        <v>302</v>
      </c>
      <c r="V438" s="249">
        <v>4</v>
      </c>
      <c r="W438" s="249" t="str">
        <f t="shared" si="1050"/>
        <v>3C X 4</v>
      </c>
      <c r="X438" s="249" t="str">
        <f t="shared" si="1051"/>
        <v>3C X 4</v>
      </c>
      <c r="Y438" s="249" t="s">
        <v>314</v>
      </c>
      <c r="Z438" s="250">
        <f>IF(T438="AIR",VLOOKUP(W438,'Catalogue Aluminium'!$B$9:$G$91,2,FALSE),IF(T438="GROUND",VLOOKUP(W438,'Catalogue Aluminium'!$B$9:$G$91,3,FALSE),IF(T438="DUCT",VLOOKUP(W438,'Catalogue Aluminium'!$B$9:$G$91,4,FALSE),IF(T438="TRENCH",VLOOKUP(W438,'Catalogue Aluminium'!$B$9:$G$91,2,FALSE)))))</f>
        <v>38</v>
      </c>
      <c r="AA438" s="251">
        <f>VLOOKUP(W438,'Catalogue Aluminium'!$B$9:$G$91,5,FALSE)</f>
        <v>5.9</v>
      </c>
      <c r="AB438" s="251">
        <f>VLOOKUP(W438,'Catalogue Aluminium'!$B$9:$G$91,6,FALSE)</f>
        <v>9.4700000000000006E-2</v>
      </c>
      <c r="AC438" s="572">
        <f t="shared" si="1052"/>
        <v>38</v>
      </c>
      <c r="AD438" s="572">
        <v>0</v>
      </c>
      <c r="AE438" s="294">
        <v>10</v>
      </c>
      <c r="AF438" s="294">
        <v>5</v>
      </c>
      <c r="AG438" s="294">
        <f t="shared" si="1053"/>
        <v>6</v>
      </c>
      <c r="AH438" s="253">
        <f t="shared" si="1054"/>
        <v>59</v>
      </c>
      <c r="AI438" s="250">
        <f>IF(T438="AIR",'Catalogue Aluminium'!$K$9,IF(T438="TRENCH",'Catalogue Aluminium'!$K$12,"NA"))</f>
        <v>0.89</v>
      </c>
      <c r="AJ438" s="248">
        <f>IF(T438="Air",(IF(U438="1C",'Catalogue Aluminium'!$L$9,'Catalogue Aluminium'!$M$9)),IF(T438="DUCT",(IF($U438="1C",'Catalogue Aluminium'!$L$10,'Catalogue Aluminium'!$M$10)),IF(T438="GROUND",(IF($U438="1C",'Catalogue Aluminium'!$L$11,'Catalogue Aluminium'!$M$11)),IF(T438="TRENCH",(IF($U438="1C",'Catalogue Aluminium'!$L$12,'Catalogue Aluminium'!$M$12))))))</f>
        <v>0.66</v>
      </c>
      <c r="AK438" s="250" t="str">
        <f>IF(T438="Air",'Catalogue Aluminium'!$N$9,IF(T438="GROUND",'Catalogue Aluminium'!$N$10,IF(T438="DUCT",'Catalogue Aluminium'!$N$11,IF(T438="TRENCH",'Catalogue Aluminium'!$N$12,"NA"))))</f>
        <v>NA</v>
      </c>
      <c r="AL438" s="250" t="str">
        <f>IF(T438="Air",(IF(U438="1C",'Catalogue Aluminium'!$O$9,'Catalogue Aluminium'!$P$9)),IF(T438="DUCT",(IF($U438="1C",'Catalogue Aluminium'!$O$10,'Catalogue Aluminium'!$P$10)),IF(T438="GROUND",(IF($U438="1C",'Catalogue Aluminium'!$O$11,'Catalogue Aluminium'!$P$11)),IF(T438="TRENCH",(IF($U438="1C",'Catalogue Aluminium'!$O$12,'Catalogue Aluminium'!$P$12))))))</f>
        <v>NA</v>
      </c>
      <c r="AM438" s="250" t="str">
        <f>IF(T438="AIR","NA",IF(T438="TRENCH","NA",IF(T438="DUCT",IF(U438="1C",VLOOKUP(V438,'Catalogue Aluminium'!$Q$9:$S$28,2,FALSE),VLOOKUP(V438,'Catalogue Aluminium'!$Q$9:$S$28,3)),IF(T438="GROUND",IF(U438="1C",VLOOKUP(V438,'Catalogue Aluminium'!$Q$9:$S$28,2,FALSE),VLOOKUP(V438,'Catalogue Aluminium'!$Q$9:$S$28,3))))))</f>
        <v>NA</v>
      </c>
      <c r="AN438" s="257">
        <f t="shared" si="1055"/>
        <v>0.58740000000000003</v>
      </c>
      <c r="AO438" s="256">
        <f t="shared" si="1056"/>
        <v>22.321200000000001</v>
      </c>
      <c r="AP438" s="255">
        <f t="shared" si="1057"/>
        <v>1</v>
      </c>
      <c r="AQ438" s="256" t="str">
        <f t="shared" si="1058"/>
        <v>YES</v>
      </c>
      <c r="AR438" s="257">
        <f t="shared" si="1059"/>
        <v>1.8155929412338154</v>
      </c>
      <c r="AS438" s="249" t="str">
        <f t="shared" si="1060"/>
        <v>YES</v>
      </c>
      <c r="AT438" s="257" t="str">
        <f t="shared" si="1061"/>
        <v>NA</v>
      </c>
      <c r="AU438" s="249" t="str">
        <f t="shared" si="1062"/>
        <v>NA</v>
      </c>
      <c r="AV438" s="260" t="str">
        <f t="shared" si="1063"/>
        <v>1R x 0.6/1kV x 3C x 4 Sqmm</v>
      </c>
      <c r="AW438" s="260" t="str">
        <f t="shared" si="1064"/>
        <v>1R x 0.6/1kV x 3C x 4 Sqmm</v>
      </c>
      <c r="AX438" s="249">
        <f>(IF(K438=400,(IF(U438="1C",(4*AH438*AP438),(AH438*AP438))),IF(K438=690,(IF(U438="1C",(3*AH438*AP438),(AH438*AP438))),(AH438*AP438))))</f>
        <v>59</v>
      </c>
      <c r="AY438" s="261"/>
    </row>
    <row r="439" spans="1:51" ht="30.75" customHeight="1">
      <c r="A439" s="243">
        <f t="shared" si="1066"/>
        <v>307</v>
      </c>
      <c r="B439" s="243"/>
      <c r="C439" s="243" t="str">
        <f t="shared" si="1067"/>
        <v>CENTRAL CONTROL BUILDING HVAC DB</v>
      </c>
      <c r="D439" s="272" t="s">
        <v>621</v>
      </c>
      <c r="E439" s="320" t="s">
        <v>410</v>
      </c>
      <c r="F439" s="567"/>
      <c r="G439" s="243" t="s">
        <v>298</v>
      </c>
      <c r="H439" s="421">
        <v>3.5</v>
      </c>
      <c r="I439" s="243" t="s">
        <v>299</v>
      </c>
      <c r="J439" s="243" t="s">
        <v>313</v>
      </c>
      <c r="K439" s="255">
        <v>230</v>
      </c>
      <c r="L439" s="249">
        <v>0.84999999999999987</v>
      </c>
      <c r="M439" s="256">
        <v>0.95099999999999985</v>
      </c>
      <c r="N439" s="248">
        <f t="shared" si="1046"/>
        <v>18.825250577531801</v>
      </c>
      <c r="O439" s="248">
        <f t="shared" si="1047"/>
        <v>0</v>
      </c>
      <c r="P439" s="249" t="str">
        <f t="shared" si="1048"/>
        <v>0.00</v>
      </c>
      <c r="Q439" s="256">
        <v>25</v>
      </c>
      <c r="R439" s="256">
        <v>0</v>
      </c>
      <c r="S439" s="256">
        <f t="shared" si="1049"/>
        <v>0</v>
      </c>
      <c r="T439" s="249" t="s">
        <v>131</v>
      </c>
      <c r="U439" s="256" t="s">
        <v>302</v>
      </c>
      <c r="V439" s="249">
        <v>16</v>
      </c>
      <c r="W439" s="249" t="str">
        <f t="shared" si="1050"/>
        <v>3C X 16</v>
      </c>
      <c r="X439" s="249" t="str">
        <f t="shared" si="1051"/>
        <v>3C X 16</v>
      </c>
      <c r="Y439" s="249" t="s">
        <v>314</v>
      </c>
      <c r="Z439" s="250">
        <f>IF(T439="AIR",VLOOKUP(W439,'Catalogue Aluminium'!$B$9:$G$91,2,FALSE),IF(T439="GROUND",VLOOKUP(W439,'Catalogue Aluminium'!$B$9:$G$91,3,FALSE),IF(T439="DUCT",VLOOKUP(W439,'Catalogue Aluminium'!$B$9:$G$91,4,FALSE),IF(T439="TRENCH",VLOOKUP(W439,'Catalogue Aluminium'!$B$9:$G$91,2,FALSE)))))</f>
        <v>70</v>
      </c>
      <c r="AA439" s="251">
        <f>VLOOKUP(W439,'Catalogue Aluminium'!$B$9:$G$91,5,FALSE)</f>
        <v>2.44</v>
      </c>
      <c r="AB439" s="251">
        <f>VLOOKUP(W439,'Catalogue Aluminium'!$B$9:$G$91,6,FALSE)</f>
        <v>8.1500000000000003E-2</v>
      </c>
      <c r="AC439" s="572">
        <f t="shared" si="1052"/>
        <v>38</v>
      </c>
      <c r="AD439" s="572">
        <v>0</v>
      </c>
      <c r="AE439" s="294">
        <v>5</v>
      </c>
      <c r="AF439" s="294">
        <v>8</v>
      </c>
      <c r="AG439" s="294">
        <f t="shared" si="1053"/>
        <v>6</v>
      </c>
      <c r="AH439" s="253">
        <f t="shared" si="1054"/>
        <v>57</v>
      </c>
      <c r="AI439" s="250">
        <f>IF(T439="AIR",'Catalogue Aluminium'!$K$9,IF(T439="TRENCH",'Catalogue Aluminium'!$K$12,"NA"))</f>
        <v>0.89</v>
      </c>
      <c r="AJ439" s="248">
        <f>IF(T439="Air",(IF(U439="1C",'Catalogue Aluminium'!$L$9,'Catalogue Aluminium'!$M$9)),IF(T439="DUCT",(IF($U439="1C",'Catalogue Aluminium'!$L$10,'Catalogue Aluminium'!$M$10)),IF(T439="GROUND",(IF($U439="1C",'Catalogue Aluminium'!$L$11,'Catalogue Aluminium'!$M$11)),IF(T439="TRENCH",(IF($U439="1C",'Catalogue Aluminium'!$L$12,'Catalogue Aluminium'!$M$12))))))</f>
        <v>0.66</v>
      </c>
      <c r="AK439" s="250" t="str">
        <f>IF(T439="Air",'Catalogue Aluminium'!$N$9,IF(T439="GROUND",'Catalogue Aluminium'!$N$10,IF(T439="DUCT",'Catalogue Aluminium'!$N$11,IF(T439="TRENCH",'Catalogue Aluminium'!$N$12,"NA"))))</f>
        <v>NA</v>
      </c>
      <c r="AL439" s="250" t="str">
        <f>IF(T439="Air",(IF(U439="1C",'Catalogue Aluminium'!$O$9,'Catalogue Aluminium'!$P$9)),IF(T439="DUCT",(IF($U439="1C",'Catalogue Aluminium'!$O$10,'Catalogue Aluminium'!$P$10)),IF(T439="GROUND",(IF($U439="1C",'Catalogue Aluminium'!$O$11,'Catalogue Aluminium'!$P$11)),IF(T439="TRENCH",(IF($U439="1C",'Catalogue Aluminium'!$O$12,'Catalogue Aluminium'!$P$12))))))</f>
        <v>NA</v>
      </c>
      <c r="AM439" s="250" t="str">
        <f>IF(T439="AIR","NA",IF(T439="TRENCH","NA",IF(T439="DUCT",IF(U439="1C",VLOOKUP(V439,'Catalogue Aluminium'!$Q$9:$S$28,2,FALSE),VLOOKUP(V439,'Catalogue Aluminium'!$Q$9:$S$28,3)),IF(T439="GROUND",IF(U439="1C",VLOOKUP(V439,'Catalogue Aluminium'!$Q$9:$S$28,2,FALSE),VLOOKUP(V439,'Catalogue Aluminium'!$Q$9:$S$28,3))))))</f>
        <v>NA</v>
      </c>
      <c r="AN439" s="257">
        <f t="shared" si="1055"/>
        <v>0.58740000000000003</v>
      </c>
      <c r="AO439" s="256">
        <f t="shared" si="1056"/>
        <v>41.118000000000002</v>
      </c>
      <c r="AP439" s="255">
        <f t="shared" si="1057"/>
        <v>1</v>
      </c>
      <c r="AQ439" s="256" t="str">
        <f t="shared" si="1058"/>
        <v>YES</v>
      </c>
      <c r="AR439" s="257">
        <f t="shared" si="1059"/>
        <v>1.7106276298617451</v>
      </c>
      <c r="AS439" s="249" t="str">
        <f t="shared" si="1060"/>
        <v>YES</v>
      </c>
      <c r="AT439" s="257" t="str">
        <f t="shared" si="1061"/>
        <v>NA</v>
      </c>
      <c r="AU439" s="249" t="str">
        <f t="shared" si="1062"/>
        <v>NA</v>
      </c>
      <c r="AV439" s="260" t="str">
        <f t="shared" si="1063"/>
        <v>1R x 0.6/1kV x 3C x 16 Sqmm</v>
      </c>
      <c r="AW439" s="260" t="str">
        <f t="shared" si="1064"/>
        <v>1R x 0.6/1kV x 3C x 16 Sqmm</v>
      </c>
      <c r="AX439" s="249">
        <f>(IF(K439=400,(IF(U439="1C",(4*AH439*AP439),(AH439*AP439))),IF(K439=690,(IF(U439="1C",(3*AH439*AP439),(AH439*AP439))),(AH439*AP439))))</f>
        <v>57</v>
      </c>
      <c r="AY439" s="261"/>
    </row>
    <row r="440" spans="1:51" ht="30.75" customHeight="1">
      <c r="A440" s="243">
        <f t="shared" si="1066"/>
        <v>308</v>
      </c>
      <c r="B440" s="243"/>
      <c r="C440" s="243" t="str">
        <f t="shared" si="1067"/>
        <v>CENTRAL CONTROL BUILDING HVAC DB</v>
      </c>
      <c r="D440" s="272" t="s">
        <v>622</v>
      </c>
      <c r="E440" s="320" t="s">
        <v>410</v>
      </c>
      <c r="F440" s="567"/>
      <c r="G440" s="243" t="s">
        <v>298</v>
      </c>
      <c r="H440" s="421">
        <v>3.5</v>
      </c>
      <c r="I440" s="243" t="s">
        <v>299</v>
      </c>
      <c r="J440" s="243" t="s">
        <v>313</v>
      </c>
      <c r="K440" s="255">
        <v>230</v>
      </c>
      <c r="L440" s="249">
        <v>0.84999999999999987</v>
      </c>
      <c r="M440" s="256">
        <v>0.95099999999999985</v>
      </c>
      <c r="N440" s="248">
        <f t="shared" si="1046"/>
        <v>18.825250577531801</v>
      </c>
      <c r="O440" s="248">
        <f t="shared" si="1047"/>
        <v>0</v>
      </c>
      <c r="P440" s="249" t="str">
        <f t="shared" si="1048"/>
        <v>0.00</v>
      </c>
      <c r="Q440" s="256">
        <v>25</v>
      </c>
      <c r="R440" s="256">
        <v>0</v>
      </c>
      <c r="S440" s="256">
        <f t="shared" si="1049"/>
        <v>0</v>
      </c>
      <c r="T440" s="249" t="s">
        <v>131</v>
      </c>
      <c r="U440" s="256" t="s">
        <v>302</v>
      </c>
      <c r="V440" s="249">
        <v>16</v>
      </c>
      <c r="W440" s="249" t="str">
        <f t="shared" si="1050"/>
        <v>3C X 16</v>
      </c>
      <c r="X440" s="249" t="str">
        <f t="shared" si="1051"/>
        <v>3C X 16</v>
      </c>
      <c r="Y440" s="249" t="s">
        <v>314</v>
      </c>
      <c r="Z440" s="250">
        <f>IF(T440="AIR",VLOOKUP(W440,'Catalogue Aluminium'!$B$9:$G$91,2,FALSE),IF(T440="GROUND",VLOOKUP(W440,'Catalogue Aluminium'!$B$9:$G$91,3,FALSE),IF(T440="DUCT",VLOOKUP(W440,'Catalogue Aluminium'!$B$9:$G$91,4,FALSE),IF(T440="TRENCH",VLOOKUP(W440,'Catalogue Aluminium'!$B$9:$G$91,2,FALSE)))))</f>
        <v>70</v>
      </c>
      <c r="AA440" s="251">
        <f>VLOOKUP(W440,'Catalogue Aluminium'!$B$9:$G$91,5,FALSE)</f>
        <v>2.44</v>
      </c>
      <c r="AB440" s="251">
        <f>VLOOKUP(W440,'Catalogue Aluminium'!$B$9:$G$91,6,FALSE)</f>
        <v>8.1500000000000003E-2</v>
      </c>
      <c r="AC440" s="572">
        <f t="shared" si="1052"/>
        <v>38</v>
      </c>
      <c r="AD440" s="572">
        <v>0</v>
      </c>
      <c r="AE440" s="294">
        <v>5</v>
      </c>
      <c r="AF440" s="294">
        <v>8</v>
      </c>
      <c r="AG440" s="294">
        <f t="shared" si="1053"/>
        <v>6</v>
      </c>
      <c r="AH440" s="253">
        <f t="shared" si="1054"/>
        <v>57</v>
      </c>
      <c r="AI440" s="250">
        <f>IF(T440="AIR",'Catalogue Aluminium'!$K$9,IF(T440="TRENCH",'Catalogue Aluminium'!$K$12,"NA"))</f>
        <v>0.89</v>
      </c>
      <c r="AJ440" s="248">
        <f>IF(T440="Air",(IF(U440="1C",'Catalogue Aluminium'!$L$9,'Catalogue Aluminium'!$M$9)),IF(T440="DUCT",(IF($U440="1C",'Catalogue Aluminium'!$L$10,'Catalogue Aluminium'!$M$10)),IF(T440="GROUND",(IF($U440="1C",'Catalogue Aluminium'!$L$11,'Catalogue Aluminium'!$M$11)),IF(T440="TRENCH",(IF($U440="1C",'Catalogue Aluminium'!$L$12,'Catalogue Aluminium'!$M$12))))))</f>
        <v>0.66</v>
      </c>
      <c r="AK440" s="250" t="str">
        <f>IF(T440="Air",'Catalogue Aluminium'!$N$9,IF(T440="GROUND",'Catalogue Aluminium'!$N$10,IF(T440="DUCT",'Catalogue Aluminium'!$N$11,IF(T440="TRENCH",'Catalogue Aluminium'!$N$12,"NA"))))</f>
        <v>NA</v>
      </c>
      <c r="AL440" s="250" t="str">
        <f>IF(T440="Air",(IF(U440="1C",'Catalogue Aluminium'!$O$9,'Catalogue Aluminium'!$P$9)),IF(T440="DUCT",(IF($U440="1C",'Catalogue Aluminium'!$O$10,'Catalogue Aluminium'!$P$10)),IF(T440="GROUND",(IF($U440="1C",'Catalogue Aluminium'!$O$11,'Catalogue Aluminium'!$P$11)),IF(T440="TRENCH",(IF($U440="1C",'Catalogue Aluminium'!$O$12,'Catalogue Aluminium'!$P$12))))))</f>
        <v>NA</v>
      </c>
      <c r="AM440" s="250" t="str">
        <f>IF(T440="AIR","NA",IF(T440="TRENCH","NA",IF(T440="DUCT",IF(U440="1C",VLOOKUP(V440,'Catalogue Aluminium'!$Q$9:$S$28,2,FALSE),VLOOKUP(V440,'Catalogue Aluminium'!$Q$9:$S$28,3)),IF(T440="GROUND",IF(U440="1C",VLOOKUP(V440,'Catalogue Aluminium'!$Q$9:$S$28,2,FALSE),VLOOKUP(V440,'Catalogue Aluminium'!$Q$9:$S$28,3))))))</f>
        <v>NA</v>
      </c>
      <c r="AN440" s="257">
        <f t="shared" si="1055"/>
        <v>0.58740000000000003</v>
      </c>
      <c r="AO440" s="256">
        <f t="shared" si="1056"/>
        <v>41.118000000000002</v>
      </c>
      <c r="AP440" s="255">
        <f t="shared" si="1057"/>
        <v>1</v>
      </c>
      <c r="AQ440" s="256" t="str">
        <f t="shared" si="1058"/>
        <v>YES</v>
      </c>
      <c r="AR440" s="257">
        <f t="shared" si="1059"/>
        <v>1.7106276298617451</v>
      </c>
      <c r="AS440" s="249" t="str">
        <f t="shared" si="1060"/>
        <v>YES</v>
      </c>
      <c r="AT440" s="257" t="str">
        <f t="shared" si="1061"/>
        <v>NA</v>
      </c>
      <c r="AU440" s="249" t="str">
        <f t="shared" si="1062"/>
        <v>NA</v>
      </c>
      <c r="AV440" s="260" t="str">
        <f t="shared" si="1063"/>
        <v>1R x 0.6/1kV x 3C x 16 Sqmm</v>
      </c>
      <c r="AW440" s="260" t="str">
        <f t="shared" si="1064"/>
        <v>1R x 0.6/1kV x 3C x 16 Sqmm</v>
      </c>
      <c r="AX440" s="249">
        <f>(IF(K440=400,(IF(U440="1C",(4*AH440*AP440),(AH440*AP440))),IF(K440=690,(IF(U440="1C",(3*AH440*AP440),(AH440*AP440))),(AH440*AP440))))</f>
        <v>57</v>
      </c>
      <c r="AY440" s="261"/>
    </row>
    <row r="441" spans="1:51" ht="30.75" customHeight="1">
      <c r="A441" s="243">
        <f t="shared" si="1066"/>
        <v>309</v>
      </c>
      <c r="B441" s="243"/>
      <c r="C441" s="243" t="str">
        <f t="shared" si="1067"/>
        <v>CENTRAL CONTROL BUILDING HVAC DB</v>
      </c>
      <c r="D441" s="272" t="s">
        <v>623</v>
      </c>
      <c r="E441" s="320" t="s">
        <v>410</v>
      </c>
      <c r="F441" s="567"/>
      <c r="G441" s="243" t="s">
        <v>298</v>
      </c>
      <c r="H441" s="421">
        <v>3.5</v>
      </c>
      <c r="I441" s="243" t="s">
        <v>299</v>
      </c>
      <c r="J441" s="243" t="s">
        <v>313</v>
      </c>
      <c r="K441" s="255">
        <v>230</v>
      </c>
      <c r="L441" s="249">
        <v>0.84999999999999987</v>
      </c>
      <c r="M441" s="256">
        <v>0.95099999999999985</v>
      </c>
      <c r="N441" s="248">
        <f t="shared" si="1046"/>
        <v>18.825250577531801</v>
      </c>
      <c r="O441" s="248">
        <f t="shared" si="1047"/>
        <v>0</v>
      </c>
      <c r="P441" s="249" t="str">
        <f t="shared" si="1048"/>
        <v>0.00</v>
      </c>
      <c r="Q441" s="256">
        <v>25</v>
      </c>
      <c r="R441" s="256">
        <v>0</v>
      </c>
      <c r="S441" s="256">
        <f t="shared" si="1049"/>
        <v>0</v>
      </c>
      <c r="T441" s="249" t="s">
        <v>131</v>
      </c>
      <c r="U441" s="256" t="s">
        <v>302</v>
      </c>
      <c r="V441" s="249">
        <v>16</v>
      </c>
      <c r="W441" s="249" t="str">
        <f t="shared" si="1050"/>
        <v>3C X 16</v>
      </c>
      <c r="X441" s="249" t="str">
        <f t="shared" si="1051"/>
        <v>3C X 16</v>
      </c>
      <c r="Y441" s="249" t="s">
        <v>314</v>
      </c>
      <c r="Z441" s="250">
        <f>IF(T441="AIR",VLOOKUP(W441,'Catalogue Aluminium'!$B$9:$G$91,2,FALSE),IF(T441="GROUND",VLOOKUP(W441,'Catalogue Aluminium'!$B$9:$G$91,3,FALSE),IF(T441="DUCT",VLOOKUP(W441,'Catalogue Aluminium'!$B$9:$G$91,4,FALSE),IF(T441="TRENCH",VLOOKUP(W441,'Catalogue Aluminium'!$B$9:$G$91,2,FALSE)))))</f>
        <v>70</v>
      </c>
      <c r="AA441" s="251">
        <f>VLOOKUP(W441,'Catalogue Aluminium'!$B$9:$G$91,5,FALSE)</f>
        <v>2.44</v>
      </c>
      <c r="AB441" s="251">
        <f>VLOOKUP(W441,'Catalogue Aluminium'!$B$9:$G$91,6,FALSE)</f>
        <v>8.1500000000000003E-2</v>
      </c>
      <c r="AC441" s="572">
        <f t="shared" si="1052"/>
        <v>38</v>
      </c>
      <c r="AD441" s="572">
        <v>0</v>
      </c>
      <c r="AE441" s="294">
        <v>5</v>
      </c>
      <c r="AF441" s="294">
        <v>8</v>
      </c>
      <c r="AG441" s="294">
        <f t="shared" si="1053"/>
        <v>6</v>
      </c>
      <c r="AH441" s="253">
        <f t="shared" si="1054"/>
        <v>57</v>
      </c>
      <c r="AI441" s="250">
        <f>IF(T441="AIR",'Catalogue Aluminium'!$K$9,IF(T441="TRENCH",'Catalogue Aluminium'!$K$12,"NA"))</f>
        <v>0.89</v>
      </c>
      <c r="AJ441" s="248">
        <f>IF(T441="Air",(IF(U441="1C",'Catalogue Aluminium'!$L$9,'Catalogue Aluminium'!$M$9)),IF(T441="DUCT",(IF($U441="1C",'Catalogue Aluminium'!$L$10,'Catalogue Aluminium'!$M$10)),IF(T441="GROUND",(IF($U441="1C",'Catalogue Aluminium'!$L$11,'Catalogue Aluminium'!$M$11)),IF(T441="TRENCH",(IF($U441="1C",'Catalogue Aluminium'!$L$12,'Catalogue Aluminium'!$M$12))))))</f>
        <v>0.66</v>
      </c>
      <c r="AK441" s="250" t="str">
        <f>IF(T441="Air",'Catalogue Aluminium'!$N$9,IF(T441="GROUND",'Catalogue Aluminium'!$N$10,IF(T441="DUCT",'Catalogue Aluminium'!$N$11,IF(T441="TRENCH",'Catalogue Aluminium'!$N$12,"NA"))))</f>
        <v>NA</v>
      </c>
      <c r="AL441" s="250" t="str">
        <f>IF(T441="Air",(IF(U441="1C",'Catalogue Aluminium'!$O$9,'Catalogue Aluminium'!$P$9)),IF(T441="DUCT",(IF($U441="1C",'Catalogue Aluminium'!$O$10,'Catalogue Aluminium'!$P$10)),IF(T441="GROUND",(IF($U441="1C",'Catalogue Aluminium'!$O$11,'Catalogue Aluminium'!$P$11)),IF(T441="TRENCH",(IF($U441="1C",'Catalogue Aluminium'!$O$12,'Catalogue Aluminium'!$P$12))))))</f>
        <v>NA</v>
      </c>
      <c r="AM441" s="250" t="str">
        <f>IF(T441="AIR","NA",IF(T441="TRENCH","NA",IF(T441="DUCT",IF(U441="1C",VLOOKUP(V441,'Catalogue Aluminium'!$Q$9:$S$28,2,FALSE),VLOOKUP(V441,'Catalogue Aluminium'!$Q$9:$S$28,3)),IF(T441="GROUND",IF(U441="1C",VLOOKUP(V441,'Catalogue Aluminium'!$Q$9:$S$28,2,FALSE),VLOOKUP(V441,'Catalogue Aluminium'!$Q$9:$S$28,3))))))</f>
        <v>NA</v>
      </c>
      <c r="AN441" s="257">
        <f t="shared" si="1055"/>
        <v>0.58740000000000003</v>
      </c>
      <c r="AO441" s="256">
        <f t="shared" si="1056"/>
        <v>41.118000000000002</v>
      </c>
      <c r="AP441" s="255">
        <f t="shared" si="1057"/>
        <v>1</v>
      </c>
      <c r="AQ441" s="256" t="str">
        <f t="shared" si="1058"/>
        <v>YES</v>
      </c>
      <c r="AR441" s="257">
        <f t="shared" si="1059"/>
        <v>1.7106276298617451</v>
      </c>
      <c r="AS441" s="249" t="str">
        <f t="shared" si="1060"/>
        <v>YES</v>
      </c>
      <c r="AT441" s="257" t="str">
        <f t="shared" si="1061"/>
        <v>NA</v>
      </c>
      <c r="AU441" s="249" t="str">
        <f t="shared" si="1062"/>
        <v>NA</v>
      </c>
      <c r="AV441" s="260" t="str">
        <f t="shared" si="1063"/>
        <v>1R x 0.6/1kV x 3C x 16 Sqmm</v>
      </c>
      <c r="AW441" s="260" t="str">
        <f t="shared" si="1064"/>
        <v>1R x 0.6/1kV x 3C x 16 Sqmm</v>
      </c>
      <c r="AX441" s="249">
        <f>(IF(K441=400,(IF(U441="1C",(4*AH441*AP441),(AH441*AP441))),IF(K441=690,(IF(U441="1C",(3*AH441*AP441),(AH441*AP441))),(AH441*AP441))))</f>
        <v>57</v>
      </c>
      <c r="AY441" s="261"/>
    </row>
    <row r="442" spans="1:51" ht="30.75" customHeight="1">
      <c r="A442" s="243">
        <f t="shared" si="1066"/>
        <v>310</v>
      </c>
      <c r="B442" s="243"/>
      <c r="C442" s="243" t="str">
        <f t="shared" si="1067"/>
        <v>CENTRAL CONTROL BUILDING HVAC DB</v>
      </c>
      <c r="D442" s="272" t="s">
        <v>624</v>
      </c>
      <c r="E442" s="320" t="s">
        <v>410</v>
      </c>
      <c r="F442" s="567"/>
      <c r="G442" s="243" t="s">
        <v>298</v>
      </c>
      <c r="H442" s="421">
        <v>3.5</v>
      </c>
      <c r="I442" s="243" t="s">
        <v>299</v>
      </c>
      <c r="J442" s="243" t="s">
        <v>313</v>
      </c>
      <c r="K442" s="255">
        <v>230</v>
      </c>
      <c r="L442" s="249">
        <v>0.84999999999999987</v>
      </c>
      <c r="M442" s="256">
        <v>0.95099999999999985</v>
      </c>
      <c r="N442" s="248">
        <f t="shared" si="1046"/>
        <v>18.825250577531801</v>
      </c>
      <c r="O442" s="248">
        <f t="shared" si="1047"/>
        <v>0</v>
      </c>
      <c r="P442" s="249" t="str">
        <f t="shared" si="1048"/>
        <v>0.00</v>
      </c>
      <c r="Q442" s="256">
        <v>25</v>
      </c>
      <c r="R442" s="256">
        <v>0</v>
      </c>
      <c r="S442" s="256">
        <f t="shared" si="1049"/>
        <v>0</v>
      </c>
      <c r="T442" s="249" t="s">
        <v>131</v>
      </c>
      <c r="U442" s="256" t="s">
        <v>302</v>
      </c>
      <c r="V442" s="249">
        <v>16</v>
      </c>
      <c r="W442" s="249" t="str">
        <f t="shared" si="1050"/>
        <v>3C X 16</v>
      </c>
      <c r="X442" s="249" t="str">
        <f t="shared" si="1051"/>
        <v>3C X 16</v>
      </c>
      <c r="Y442" s="249" t="s">
        <v>314</v>
      </c>
      <c r="Z442" s="250">
        <f>IF(T442="AIR",VLOOKUP(W442,'Catalogue Aluminium'!$B$9:$G$91,2,FALSE),IF(T442="GROUND",VLOOKUP(W442,'Catalogue Aluminium'!$B$9:$G$91,3,FALSE),IF(T442="DUCT",VLOOKUP(W442,'Catalogue Aluminium'!$B$9:$G$91,4,FALSE),IF(T442="TRENCH",VLOOKUP(W442,'Catalogue Aluminium'!$B$9:$G$91,2,FALSE)))))</f>
        <v>70</v>
      </c>
      <c r="AA442" s="251">
        <f>VLOOKUP(W442,'Catalogue Aluminium'!$B$9:$G$91,5,FALSE)</f>
        <v>2.44</v>
      </c>
      <c r="AB442" s="251">
        <f>VLOOKUP(W442,'Catalogue Aluminium'!$B$9:$G$91,6,FALSE)</f>
        <v>8.1500000000000003E-2</v>
      </c>
      <c r="AC442" s="572">
        <f t="shared" si="1052"/>
        <v>38</v>
      </c>
      <c r="AD442" s="572">
        <v>0</v>
      </c>
      <c r="AE442" s="294">
        <v>5</v>
      </c>
      <c r="AF442" s="294">
        <v>8</v>
      </c>
      <c r="AG442" s="294">
        <f t="shared" si="1053"/>
        <v>6</v>
      </c>
      <c r="AH442" s="253">
        <f t="shared" si="1054"/>
        <v>57</v>
      </c>
      <c r="AI442" s="250">
        <f>IF(T442="AIR",'Catalogue Aluminium'!$K$9,IF(T442="TRENCH",'Catalogue Aluminium'!$K$12,"NA"))</f>
        <v>0.89</v>
      </c>
      <c r="AJ442" s="248">
        <f>IF(T442="Air",(IF(U442="1C",'Catalogue Aluminium'!$L$9,'Catalogue Aluminium'!$M$9)),IF(T442="DUCT",(IF($U442="1C",'Catalogue Aluminium'!$L$10,'Catalogue Aluminium'!$M$10)),IF(T442="GROUND",(IF($U442="1C",'Catalogue Aluminium'!$L$11,'Catalogue Aluminium'!$M$11)),IF(T442="TRENCH",(IF($U442="1C",'Catalogue Aluminium'!$L$12,'Catalogue Aluminium'!$M$12))))))</f>
        <v>0.66</v>
      </c>
      <c r="AK442" s="250" t="str">
        <f>IF(T442="Air",'Catalogue Aluminium'!$N$9,IF(T442="GROUND",'Catalogue Aluminium'!$N$10,IF(T442="DUCT",'Catalogue Aluminium'!$N$11,IF(T442="TRENCH",'Catalogue Aluminium'!$N$12,"NA"))))</f>
        <v>NA</v>
      </c>
      <c r="AL442" s="250" t="str">
        <f>IF(T442="Air",(IF(U442="1C",'Catalogue Aluminium'!$O$9,'Catalogue Aluminium'!$P$9)),IF(T442="DUCT",(IF($U442="1C",'Catalogue Aluminium'!$O$10,'Catalogue Aluminium'!$P$10)),IF(T442="GROUND",(IF($U442="1C",'Catalogue Aluminium'!$O$11,'Catalogue Aluminium'!$P$11)),IF(T442="TRENCH",(IF($U442="1C",'Catalogue Aluminium'!$O$12,'Catalogue Aluminium'!$P$12))))))</f>
        <v>NA</v>
      </c>
      <c r="AM442" s="250" t="str">
        <f>IF(T442="AIR","NA",IF(T442="TRENCH","NA",IF(T442="DUCT",IF(U442="1C",VLOOKUP(V442,'Catalogue Aluminium'!$Q$9:$S$28,2,FALSE),VLOOKUP(V442,'Catalogue Aluminium'!$Q$9:$S$28,3)),IF(T442="GROUND",IF(U442="1C",VLOOKUP(V442,'Catalogue Aluminium'!$Q$9:$S$28,2,FALSE),VLOOKUP(V442,'Catalogue Aluminium'!$Q$9:$S$28,3))))))</f>
        <v>NA</v>
      </c>
      <c r="AN442" s="257">
        <f t="shared" si="1055"/>
        <v>0.58740000000000003</v>
      </c>
      <c r="AO442" s="256">
        <f t="shared" si="1056"/>
        <v>41.118000000000002</v>
      </c>
      <c r="AP442" s="255">
        <f t="shared" si="1057"/>
        <v>1</v>
      </c>
      <c r="AQ442" s="256" t="str">
        <f t="shared" si="1058"/>
        <v>YES</v>
      </c>
      <c r="AR442" s="257">
        <f t="shared" si="1059"/>
        <v>1.7106276298617451</v>
      </c>
      <c r="AS442" s="249" t="str">
        <f t="shared" si="1060"/>
        <v>YES</v>
      </c>
      <c r="AT442" s="257" t="str">
        <f t="shared" si="1061"/>
        <v>NA</v>
      </c>
      <c r="AU442" s="249" t="str">
        <f t="shared" si="1062"/>
        <v>NA</v>
      </c>
      <c r="AV442" s="260" t="str">
        <f t="shared" si="1063"/>
        <v>1R x 0.6/1kV x 3C x 16 Sqmm</v>
      </c>
      <c r="AW442" s="260" t="str">
        <f t="shared" si="1064"/>
        <v>1R x 0.6/1kV x 3C x 16 Sqmm</v>
      </c>
      <c r="AX442" s="249">
        <f>(IF(K442=400,(IF(U442="1C",(4*AH442*AP442),(AH442*AP442))),IF(K442=690,(IF(U442="1C",(3*AH442*AP442),(AH442*AP442))),(AH442*AP442))))</f>
        <v>57</v>
      </c>
      <c r="AY442" s="261"/>
    </row>
    <row r="443" spans="1:51" ht="19.5" customHeight="1">
      <c r="A443" s="243">
        <f t="shared" si="1066"/>
        <v>311</v>
      </c>
      <c r="B443" s="243" t="s">
        <v>607</v>
      </c>
      <c r="C443" s="243" t="str">
        <f>$C$347</f>
        <v>PDB-1</v>
      </c>
      <c r="D443" s="272" t="s">
        <v>771</v>
      </c>
      <c r="E443" s="320" t="s">
        <v>410</v>
      </c>
      <c r="F443" s="567"/>
      <c r="G443" s="246" t="s">
        <v>306</v>
      </c>
      <c r="H443" s="304">
        <v>31.073684210526316</v>
      </c>
      <c r="I443" s="243" t="s">
        <v>299</v>
      </c>
      <c r="J443" s="243" t="s">
        <v>300</v>
      </c>
      <c r="K443" s="255">
        <v>400</v>
      </c>
      <c r="L443" s="249">
        <v>0.84999999999999987</v>
      </c>
      <c r="M443" s="256">
        <v>0.95099999999999985</v>
      </c>
      <c r="N443" s="248">
        <f t="shared" si="1046"/>
        <v>55.486256629395335</v>
      </c>
      <c r="O443" s="292"/>
      <c r="P443" s="293"/>
      <c r="Q443" s="293"/>
      <c r="R443" s="293"/>
      <c r="S443" s="293"/>
      <c r="T443" s="293"/>
      <c r="U443" s="293"/>
      <c r="V443" s="293"/>
      <c r="W443" s="293"/>
      <c r="X443" s="293"/>
      <c r="Y443" s="293"/>
      <c r="Z443" s="293"/>
      <c r="AA443" s="293"/>
      <c r="AB443" s="293"/>
      <c r="AC443" s="606"/>
      <c r="AD443" s="606"/>
      <c r="AE443" s="606"/>
      <c r="AF443" s="606"/>
      <c r="AG443" s="606"/>
      <c r="AH443" s="293"/>
      <c r="AI443" s="293"/>
      <c r="AJ443" s="293"/>
      <c r="AK443" s="293"/>
      <c r="AL443" s="293"/>
      <c r="AM443" s="293"/>
      <c r="AN443" s="293"/>
      <c r="AO443" s="293"/>
      <c r="AP443" s="293"/>
      <c r="AQ443" s="293"/>
      <c r="AR443" s="293"/>
      <c r="AS443" s="293"/>
      <c r="AT443" s="293"/>
      <c r="AU443" s="293"/>
      <c r="AV443" s="293"/>
      <c r="AW443" s="293"/>
      <c r="AX443" s="293"/>
      <c r="AY443" s="293"/>
    </row>
    <row r="444" spans="1:51">
      <c r="A444" s="243"/>
      <c r="B444" s="243"/>
      <c r="C444" s="243"/>
      <c r="D444" s="272"/>
      <c r="E444" s="351"/>
      <c r="F444" s="410"/>
      <c r="G444" s="243"/>
      <c r="H444" s="256"/>
      <c r="I444" s="243"/>
      <c r="J444" s="243"/>
      <c r="K444" s="255"/>
      <c r="L444" s="249"/>
      <c r="M444" s="256"/>
      <c r="N444" s="248"/>
      <c r="O444" s="248"/>
      <c r="P444" s="249"/>
      <c r="Q444" s="256"/>
      <c r="R444" s="256"/>
      <c r="S444" s="256"/>
      <c r="T444" s="249"/>
      <c r="U444" s="256"/>
      <c r="V444" s="249"/>
      <c r="W444" s="249"/>
      <c r="X444" s="249"/>
      <c r="Y444" s="249"/>
      <c r="Z444" s="250"/>
      <c r="AA444" s="251"/>
      <c r="AB444" s="251"/>
      <c r="AC444" s="323"/>
      <c r="AD444" s="323"/>
      <c r="AE444" s="323"/>
      <c r="AF444" s="323"/>
      <c r="AG444" s="323"/>
      <c r="AH444" s="253"/>
      <c r="AI444" s="250"/>
      <c r="AJ444" s="248"/>
      <c r="AK444" s="250"/>
      <c r="AL444" s="250"/>
      <c r="AM444" s="250"/>
      <c r="AN444" s="257"/>
      <c r="AO444" s="256"/>
      <c r="AP444" s="255"/>
      <c r="AQ444" s="256"/>
      <c r="AR444" s="257"/>
      <c r="AS444" s="249"/>
      <c r="AT444" s="257"/>
      <c r="AU444" s="257"/>
      <c r="AV444" s="260"/>
      <c r="AW444" s="260"/>
      <c r="AX444" s="249"/>
      <c r="AY444" s="261"/>
    </row>
    <row r="445" spans="1:51">
      <c r="A445" s="243"/>
      <c r="B445" s="243"/>
      <c r="C445" s="243"/>
      <c r="D445" s="272"/>
      <c r="E445" s="351"/>
      <c r="F445" s="410"/>
      <c r="G445" s="243"/>
      <c r="H445" s="256"/>
      <c r="I445" s="243"/>
      <c r="J445" s="243"/>
      <c r="K445" s="255"/>
      <c r="L445" s="249"/>
      <c r="M445" s="256"/>
      <c r="N445" s="248"/>
      <c r="O445" s="248"/>
      <c r="P445" s="249"/>
      <c r="Q445" s="256"/>
      <c r="R445" s="256"/>
      <c r="S445" s="256"/>
      <c r="T445" s="249"/>
      <c r="U445" s="256"/>
      <c r="V445" s="249"/>
      <c r="W445" s="249"/>
      <c r="X445" s="249"/>
      <c r="Y445" s="249"/>
      <c r="Z445" s="250"/>
      <c r="AA445" s="251"/>
      <c r="AB445" s="251"/>
      <c r="AC445" s="323"/>
      <c r="AD445" s="323"/>
      <c r="AE445" s="323"/>
      <c r="AF445" s="323"/>
      <c r="AG445" s="323"/>
      <c r="AH445" s="253"/>
      <c r="AI445" s="250"/>
      <c r="AJ445" s="248"/>
      <c r="AK445" s="250"/>
      <c r="AL445" s="250"/>
      <c r="AM445" s="250"/>
      <c r="AN445" s="257"/>
      <c r="AO445" s="256"/>
      <c r="AP445" s="255"/>
      <c r="AQ445" s="256"/>
      <c r="AR445" s="257"/>
      <c r="AS445" s="249"/>
      <c r="AT445" s="257"/>
      <c r="AU445" s="257"/>
      <c r="AV445" s="260"/>
      <c r="AW445" s="260"/>
      <c r="AX445" s="249"/>
      <c r="AY445" s="261"/>
    </row>
    <row r="446" spans="1:51">
      <c r="A446" s="243"/>
      <c r="B446" s="243"/>
      <c r="C446" s="243"/>
      <c r="D446" s="272"/>
      <c r="E446" s="351"/>
      <c r="F446" s="410"/>
      <c r="G446" s="243"/>
      <c r="H446" s="256"/>
      <c r="I446" s="243"/>
      <c r="J446" s="243"/>
      <c r="K446" s="255"/>
      <c r="L446" s="249"/>
      <c r="M446" s="256"/>
      <c r="N446" s="248"/>
      <c r="O446" s="248"/>
      <c r="P446" s="249"/>
      <c r="Q446" s="256"/>
      <c r="R446" s="256"/>
      <c r="S446" s="256"/>
      <c r="T446" s="249"/>
      <c r="U446" s="256"/>
      <c r="V446" s="249"/>
      <c r="W446" s="249"/>
      <c r="X446" s="249"/>
      <c r="Y446" s="249"/>
      <c r="Z446" s="250"/>
      <c r="AA446" s="251"/>
      <c r="AB446" s="251"/>
      <c r="AC446" s="323"/>
      <c r="AD446" s="323"/>
      <c r="AE446" s="323"/>
      <c r="AF446" s="323"/>
      <c r="AG446" s="323"/>
      <c r="AH446" s="253"/>
      <c r="AI446" s="250"/>
      <c r="AJ446" s="248"/>
      <c r="AK446" s="250"/>
      <c r="AL446" s="250"/>
      <c r="AM446" s="250"/>
      <c r="AN446" s="257"/>
      <c r="AO446" s="256"/>
      <c r="AP446" s="255"/>
      <c r="AQ446" s="256"/>
      <c r="AR446" s="257"/>
      <c r="AS446" s="249"/>
      <c r="AT446" s="257"/>
      <c r="AU446" s="257"/>
      <c r="AV446" s="260"/>
      <c r="AW446" s="260"/>
      <c r="AX446" s="249"/>
      <c r="AY446" s="261"/>
    </row>
    <row r="447" spans="1:51" s="69" customFormat="1" ht="14.25" customHeight="1">
      <c r="A447" s="285"/>
      <c r="B447" s="285"/>
      <c r="C447" s="285"/>
      <c r="D447" s="244"/>
      <c r="E447" s="417"/>
      <c r="F447" s="411"/>
      <c r="G447" s="285"/>
      <c r="H447" s="294"/>
      <c r="I447" s="285"/>
      <c r="J447" s="285"/>
      <c r="K447" s="294"/>
      <c r="L447" s="294"/>
      <c r="M447" s="294"/>
      <c r="N447" s="294"/>
      <c r="O447" s="287"/>
      <c r="P447" s="294"/>
      <c r="Q447" s="304"/>
      <c r="R447" s="304"/>
      <c r="S447" s="304"/>
      <c r="T447" s="294"/>
      <c r="U447" s="304"/>
      <c r="V447" s="294"/>
      <c r="W447" s="294"/>
      <c r="X447" s="294"/>
      <c r="Y447" s="294"/>
      <c r="Z447" s="288"/>
      <c r="AA447" s="295"/>
      <c r="AB447" s="295"/>
      <c r="AC447" s="295"/>
      <c r="AD447" s="295"/>
      <c r="AE447" s="295"/>
      <c r="AF447" s="295"/>
      <c r="AG447" s="295"/>
      <c r="AH447" s="296"/>
      <c r="AI447" s="288"/>
      <c r="AJ447" s="287"/>
      <c r="AK447" s="288"/>
      <c r="AL447" s="288"/>
      <c r="AM447" s="288"/>
      <c r="AN447" s="312"/>
      <c r="AO447" s="304"/>
      <c r="AP447" s="309"/>
      <c r="AQ447" s="304"/>
      <c r="AR447" s="312"/>
      <c r="AS447" s="294"/>
      <c r="AT447" s="312"/>
      <c r="AU447" s="312"/>
      <c r="AV447" s="353"/>
      <c r="AW447" s="353"/>
      <c r="AX447" s="294"/>
      <c r="AY447" s="294"/>
    </row>
    <row r="448" spans="1:51" ht="14.25" customHeight="1">
      <c r="A448" s="298"/>
      <c r="B448" s="298"/>
      <c r="C448" s="298"/>
      <c r="D448" s="418"/>
      <c r="E448" s="419"/>
      <c r="F448" s="420"/>
      <c r="G448" s="298"/>
      <c r="H448" s="301"/>
      <c r="I448" s="301"/>
      <c r="J448" s="301"/>
      <c r="K448" s="301"/>
      <c r="L448" s="301"/>
      <c r="M448" s="301"/>
      <c r="N448" s="301"/>
      <c r="O448" s="299"/>
      <c r="P448" s="301"/>
      <c r="Q448" s="421"/>
      <c r="R448" s="421"/>
      <c r="S448" s="421"/>
      <c r="T448" s="301"/>
      <c r="U448" s="421"/>
      <c r="V448" s="301"/>
      <c r="W448" s="301"/>
      <c r="X448" s="301"/>
      <c r="Y448" s="301"/>
      <c r="Z448" s="300"/>
      <c r="AA448" s="302"/>
      <c r="AB448" s="302"/>
      <c r="AC448" s="295"/>
      <c r="AD448" s="295"/>
      <c r="AE448" s="295"/>
      <c r="AF448" s="295"/>
      <c r="AG448" s="295"/>
      <c r="AH448" s="563">
        <f>SUM(AH6:AH447)</f>
        <v>74524.5</v>
      </c>
      <c r="AI448" s="300"/>
      <c r="AJ448" s="299"/>
      <c r="AK448" s="300"/>
      <c r="AL448" s="300"/>
      <c r="AM448" s="300"/>
      <c r="AN448" s="422"/>
      <c r="AO448" s="421"/>
      <c r="AP448" s="423"/>
      <c r="AQ448" s="421"/>
      <c r="AR448" s="422"/>
      <c r="AS448" s="301"/>
      <c r="AT448" s="422"/>
      <c r="AU448" s="422"/>
      <c r="AV448" s="424"/>
      <c r="AW448" s="424"/>
      <c r="AX448" s="301" t="e">
        <f>SUM(AX6:AX447)</f>
        <v>#N/A</v>
      </c>
      <c r="AY448" s="301"/>
    </row>
    <row r="449" spans="14:51" ht="14.25" customHeight="1">
      <c r="N449" s="58"/>
    </row>
    <row r="450" spans="14:51" ht="25" customHeight="1">
      <c r="N450" s="58"/>
      <c r="AV450" s="35"/>
      <c r="AW450" s="35"/>
      <c r="AX450" s="35"/>
      <c r="AY450" s="35"/>
    </row>
    <row r="451" spans="14:51" ht="25" customHeight="1">
      <c r="N451" s="58"/>
      <c r="AV451" s="35"/>
      <c r="AW451" s="35"/>
      <c r="AX451" s="35"/>
      <c r="AY451" s="35"/>
    </row>
    <row r="452" spans="14:51">
      <c r="N452" s="58"/>
      <c r="AV452" s="35"/>
      <c r="AW452" s="35"/>
      <c r="AX452" s="35"/>
      <c r="AY452" s="35"/>
    </row>
    <row r="453" spans="14:51">
      <c r="N453" s="58"/>
      <c r="AV453" s="35"/>
      <c r="AW453" s="35"/>
      <c r="AX453" s="35"/>
      <c r="AY453" s="35"/>
    </row>
    <row r="454" spans="14:51">
      <c r="N454" s="58"/>
      <c r="AV454" s="35"/>
      <c r="AW454" s="35"/>
      <c r="AX454" s="35"/>
      <c r="AY454" s="35"/>
    </row>
    <row r="455" spans="14:51">
      <c r="N455" s="58"/>
      <c r="AV455" s="35"/>
      <c r="AW455" s="35"/>
      <c r="AX455" s="35"/>
      <c r="AY455" s="35"/>
    </row>
    <row r="456" spans="14:51">
      <c r="N456" s="58"/>
      <c r="AV456" s="35"/>
      <c r="AW456" s="35"/>
      <c r="AX456" s="35"/>
      <c r="AY456" s="35"/>
    </row>
    <row r="457" spans="14:51">
      <c r="N457" s="58"/>
      <c r="AV457" s="35"/>
      <c r="AW457" s="35"/>
      <c r="AX457" s="35"/>
      <c r="AY457" s="35"/>
    </row>
    <row r="458" spans="14:51">
      <c r="N458" s="58"/>
      <c r="AV458" s="35"/>
      <c r="AW458" s="35"/>
      <c r="AX458" s="35"/>
      <c r="AY458" s="35"/>
    </row>
    <row r="459" spans="14:51">
      <c r="N459" s="58"/>
      <c r="AV459" s="35"/>
      <c r="AW459" s="35"/>
      <c r="AX459" s="35"/>
      <c r="AY459" s="35"/>
    </row>
    <row r="460" spans="14:51">
      <c r="N460" s="58"/>
      <c r="AV460" s="35"/>
      <c r="AW460" s="35"/>
      <c r="AX460" s="35"/>
      <c r="AY460" s="35"/>
    </row>
    <row r="461" spans="14:51">
      <c r="N461" s="58"/>
      <c r="AV461" s="35"/>
      <c r="AW461" s="35"/>
      <c r="AX461" s="35"/>
      <c r="AY461" s="35"/>
    </row>
    <row r="462" spans="14:51">
      <c r="N462" s="58"/>
      <c r="AV462" s="35"/>
      <c r="AW462" s="35"/>
      <c r="AX462" s="35"/>
      <c r="AY462" s="35"/>
    </row>
    <row r="463" spans="14:51">
      <c r="N463" s="58"/>
      <c r="AV463" s="35"/>
      <c r="AW463" s="35"/>
      <c r="AX463" s="35"/>
      <c r="AY463" s="35"/>
    </row>
    <row r="464" spans="14:51">
      <c r="N464" s="58"/>
      <c r="AV464" s="35"/>
      <c r="AW464" s="35"/>
      <c r="AX464" s="35"/>
      <c r="AY464" s="35"/>
    </row>
    <row r="465" spans="14:51">
      <c r="N465" s="58"/>
      <c r="AV465" s="35"/>
      <c r="AW465" s="35"/>
      <c r="AX465" s="35"/>
      <c r="AY465" s="35"/>
    </row>
    <row r="466" spans="14:51">
      <c r="N466" s="58"/>
    </row>
    <row r="467" spans="14:51">
      <c r="N467" s="58"/>
    </row>
    <row r="468" spans="14:51">
      <c r="N468" s="58"/>
    </row>
    <row r="469" spans="14:51">
      <c r="N469" s="58"/>
    </row>
    <row r="470" spans="14:51">
      <c r="N470" s="58"/>
    </row>
    <row r="471" spans="14:51">
      <c r="N471" s="58"/>
    </row>
    <row r="472" spans="14:51">
      <c r="N472" s="58"/>
    </row>
    <row r="473" spans="14:51">
      <c r="N473" s="58"/>
    </row>
    <row r="474" spans="14:51">
      <c r="N474" s="58"/>
    </row>
    <row r="475" spans="14:51">
      <c r="N475" s="58"/>
    </row>
    <row r="476" spans="14:51">
      <c r="N476" s="58"/>
    </row>
    <row r="477" spans="14:51">
      <c r="N477" s="58"/>
    </row>
    <row r="478" spans="14:51">
      <c r="N478" s="58"/>
    </row>
    <row r="479" spans="14:51">
      <c r="N479" s="58"/>
    </row>
    <row r="480" spans="14:51">
      <c r="N480" s="58"/>
    </row>
    <row r="481" spans="14:14">
      <c r="N481" s="58"/>
    </row>
    <row r="482" spans="14:14">
      <c r="N482" s="58"/>
    </row>
    <row r="483" spans="14:14">
      <c r="N483" s="58"/>
    </row>
    <row r="484" spans="14:14">
      <c r="N484" s="58"/>
    </row>
    <row r="485" spans="14:14">
      <c r="N485" s="58"/>
    </row>
    <row r="486" spans="14:14">
      <c r="N486" s="58"/>
    </row>
    <row r="487" spans="14:14">
      <c r="N487" s="58"/>
    </row>
    <row r="488" spans="14:14">
      <c r="N488" s="58"/>
    </row>
    <row r="489" spans="14:14">
      <c r="N489" s="58"/>
    </row>
    <row r="490" spans="14:14">
      <c r="N490" s="58"/>
    </row>
    <row r="491" spans="14:14">
      <c r="N491" s="58"/>
    </row>
    <row r="492" spans="14:14">
      <c r="N492" s="58"/>
    </row>
    <row r="493" spans="14:14">
      <c r="N493" s="58"/>
    </row>
    <row r="494" spans="14:14">
      <c r="N494" s="58"/>
    </row>
    <row r="495" spans="14:14">
      <c r="N495" s="58"/>
    </row>
    <row r="496" spans="14:14">
      <c r="N496" s="58"/>
    </row>
    <row r="497" spans="14:14">
      <c r="N497" s="58"/>
    </row>
    <row r="498" spans="14:14">
      <c r="N498" s="58"/>
    </row>
    <row r="499" spans="14:14">
      <c r="N499" s="58"/>
    </row>
    <row r="500" spans="14:14">
      <c r="N500" s="58"/>
    </row>
    <row r="501" spans="14:14">
      <c r="N501" s="58"/>
    </row>
    <row r="502" spans="14:14">
      <c r="N502" s="58"/>
    </row>
    <row r="503" spans="14:14">
      <c r="N503" s="58"/>
    </row>
    <row r="504" spans="14:14">
      <c r="N504" s="58"/>
    </row>
    <row r="505" spans="14:14">
      <c r="N505" s="58"/>
    </row>
    <row r="506" spans="14:14">
      <c r="N506" s="58"/>
    </row>
    <row r="507" spans="14:14">
      <c r="N507" s="58"/>
    </row>
    <row r="508" spans="14:14">
      <c r="N508" s="58"/>
    </row>
    <row r="509" spans="14:14">
      <c r="N509" s="58"/>
    </row>
    <row r="510" spans="14:14">
      <c r="N510" s="58"/>
    </row>
    <row r="511" spans="14:14">
      <c r="N511" s="58"/>
    </row>
    <row r="512" spans="14:14">
      <c r="N512" s="58"/>
    </row>
    <row r="513" spans="14:14">
      <c r="N513" s="58"/>
    </row>
    <row r="514" spans="14:14">
      <c r="N514" s="58"/>
    </row>
    <row r="515" spans="14:14">
      <c r="N515" s="58"/>
    </row>
    <row r="516" spans="14:14">
      <c r="N516" s="58"/>
    </row>
    <row r="517" spans="14:14">
      <c r="N517" s="58"/>
    </row>
    <row r="518" spans="14:14">
      <c r="N518" s="58"/>
    </row>
    <row r="519" spans="14:14">
      <c r="N519" s="58"/>
    </row>
    <row r="520" spans="14:14">
      <c r="N520" s="58"/>
    </row>
    <row r="521" spans="14:14">
      <c r="N521" s="58"/>
    </row>
    <row r="522" spans="14:14">
      <c r="N522" s="58"/>
    </row>
    <row r="523" spans="14:14">
      <c r="N523" s="58"/>
    </row>
    <row r="524" spans="14:14">
      <c r="N524" s="58"/>
    </row>
    <row r="525" spans="14:14">
      <c r="N525" s="58"/>
    </row>
    <row r="526" spans="14:14">
      <c r="N526" s="58"/>
    </row>
    <row r="527" spans="14:14">
      <c r="N527" s="58"/>
    </row>
    <row r="528" spans="14:14">
      <c r="N528" s="58"/>
    </row>
    <row r="529" spans="14:14">
      <c r="N529" s="58"/>
    </row>
    <row r="530" spans="14:14">
      <c r="N530" s="58"/>
    </row>
    <row r="531" spans="14:14">
      <c r="N531" s="58"/>
    </row>
    <row r="532" spans="14:14">
      <c r="N532" s="58"/>
    </row>
    <row r="533" spans="14:14">
      <c r="N533" s="58"/>
    </row>
    <row r="534" spans="14:14">
      <c r="N534" s="58"/>
    </row>
    <row r="535" spans="14:14">
      <c r="N535" s="58"/>
    </row>
    <row r="536" spans="14:14">
      <c r="N536" s="58"/>
    </row>
    <row r="537" spans="14:14">
      <c r="N537" s="58"/>
    </row>
    <row r="538" spans="14:14">
      <c r="N538" s="58"/>
    </row>
    <row r="539" spans="14:14">
      <c r="N539" s="58"/>
    </row>
    <row r="540" spans="14:14">
      <c r="N540" s="58"/>
    </row>
    <row r="541" spans="14:14">
      <c r="N541" s="58"/>
    </row>
    <row r="542" spans="14:14">
      <c r="N542" s="58"/>
    </row>
    <row r="543" spans="14:14">
      <c r="N543" s="58"/>
    </row>
    <row r="544" spans="14:14">
      <c r="N544" s="58"/>
    </row>
    <row r="545" spans="14:14">
      <c r="N545" s="58"/>
    </row>
    <row r="546" spans="14:14">
      <c r="N546" s="58"/>
    </row>
    <row r="547" spans="14:14">
      <c r="N547" s="58"/>
    </row>
    <row r="548" spans="14:14">
      <c r="N548" s="58"/>
    </row>
    <row r="549" spans="14:14">
      <c r="N549" s="58"/>
    </row>
    <row r="550" spans="14:14">
      <c r="N550" s="58"/>
    </row>
    <row r="551" spans="14:14">
      <c r="N551" s="58"/>
    </row>
    <row r="552" spans="14:14">
      <c r="N552" s="58"/>
    </row>
    <row r="553" spans="14:14">
      <c r="N553" s="58"/>
    </row>
    <row r="554" spans="14:14">
      <c r="N554" s="58"/>
    </row>
    <row r="555" spans="14:14">
      <c r="N555" s="58"/>
    </row>
    <row r="556" spans="14:14">
      <c r="N556" s="58"/>
    </row>
    <row r="557" spans="14:14">
      <c r="N557" s="58"/>
    </row>
    <row r="558" spans="14:14">
      <c r="N558" s="58"/>
    </row>
    <row r="559" spans="14:14">
      <c r="N559" s="58"/>
    </row>
    <row r="560" spans="14:14">
      <c r="N560" s="58"/>
    </row>
    <row r="561" spans="14:14">
      <c r="N561" s="58"/>
    </row>
    <row r="562" spans="14:14">
      <c r="N562" s="58"/>
    </row>
    <row r="563" spans="14:14">
      <c r="N563" s="58"/>
    </row>
    <row r="564" spans="14:14">
      <c r="N564" s="58"/>
    </row>
    <row r="565" spans="14:14">
      <c r="N565" s="58"/>
    </row>
    <row r="566" spans="14:14">
      <c r="N566" s="58"/>
    </row>
    <row r="567" spans="14:14">
      <c r="N567" s="58"/>
    </row>
    <row r="568" spans="14:14">
      <c r="N568" s="58"/>
    </row>
    <row r="569" spans="14:14">
      <c r="N569" s="58"/>
    </row>
    <row r="570" spans="14:14">
      <c r="N570" s="58"/>
    </row>
    <row r="571" spans="14:14">
      <c r="N571" s="58"/>
    </row>
    <row r="572" spans="14:14">
      <c r="N572" s="58"/>
    </row>
    <row r="573" spans="14:14">
      <c r="N573" s="58"/>
    </row>
    <row r="574" spans="14:14">
      <c r="N574" s="58"/>
    </row>
  </sheetData>
  <protectedRanges>
    <protectedRange sqref="D280:D282" name="Range1_6_2"/>
    <protectedRange sqref="G285:G289" name="Range1_3_1_1_1"/>
    <protectedRange sqref="G165:G166" name="Range1_2_4_10"/>
    <protectedRange sqref="G167:G185" name="Range1_2_4_11"/>
    <protectedRange sqref="G186 G190 G207 G215 G246 G279" name="Range1_2_5_15"/>
    <protectedRange sqref="G187:G188" name="Range1_2_5_16"/>
    <protectedRange sqref="G189" name="Range1_2_5_17"/>
    <protectedRange sqref="G191:G194" name="Range1_3_1_1_1_53"/>
    <protectedRange sqref="G200:G206" name="Range1_1_2_1_35"/>
    <protectedRange sqref="G195:G199" name="Range1_3_1_1_1_54"/>
    <protectedRange sqref="G208:G210" name="Range1_1_2_1_37"/>
    <protectedRange sqref="G211:G213" name="Range1_3_1_1_1_55"/>
    <protectedRange sqref="G216:G217" name="Range1_1_2_1_38"/>
    <protectedRange sqref="G218:G226 G214 G110 G113:G125 G127:G139" name="Range1_3_1_1_1_57"/>
    <protectedRange sqref="G227:G228" name="Range1_1_2_1_39"/>
    <protectedRange sqref="G229:G245" name="Range1_3_1_1_1_58"/>
    <protectedRange sqref="G248" name="Range1_1_2_1_40"/>
    <protectedRange sqref="G247" name="Range1_3_1_1_1_59"/>
    <protectedRange sqref="G249:G256" name="Range1_1_1_17"/>
    <protectedRange sqref="G258" name="Range1_1_2_1_41"/>
    <protectedRange sqref="G257" name="Range1_3_1_1_1_60"/>
    <protectedRange sqref="G259:G278" name="Range1_1_1_18"/>
    <protectedRange sqref="G280:G284" name="Range1_1_2_1_2"/>
    <protectedRange sqref="D347:D348" name="Range1_6"/>
    <protectedRange sqref="H11:H13 H31:H33 H16:H22" name="Range1_1_2_1_2_3"/>
    <protectedRange sqref="H23 H25 H27" name="Range1_2_5"/>
    <protectedRange sqref="H30 H34:H36" name="Range1_6_3"/>
    <protectedRange sqref="H24 H26 H28 H47 H49 H192 H194 H250 H252 H296 H300 H309 H313 H153 H155 H168 H203 H205 H170 H174 H172 H304" name="Range1_2_5_1"/>
  </protectedRanges>
  <autoFilter ref="A5:AY446" xr:uid="{EFB33586-BE0F-4F76-9F0C-2204AFCB2C79}">
    <filterColumn colId="0">
      <filters blank="1">
        <filter val="1"/>
        <filter val="10"/>
        <filter val="100"/>
        <filter val="101"/>
        <filter val="102"/>
        <filter val="103"/>
        <filter val="104"/>
        <filter val="105"/>
        <filter val="106"/>
        <filter val="107"/>
        <filter val="108"/>
        <filter val="109"/>
        <filter val="11"/>
        <filter val="110"/>
        <filter val="111"/>
        <filter val="112"/>
        <filter val="113"/>
        <filter val="114"/>
        <filter val="115"/>
        <filter val="116"/>
        <filter val="117"/>
        <filter val="118"/>
        <filter val="119"/>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3"/>
        <filter val="144"/>
        <filter val="145"/>
        <filter val="146"/>
        <filter val="147"/>
        <filter val="148"/>
        <filter val="149"/>
        <filter val="15"/>
        <filter val="150"/>
        <filter val="151"/>
        <filter val="152"/>
        <filter val="153"/>
        <filter val="154"/>
        <filter val="155"/>
        <filter val="156"/>
        <filter val="157"/>
        <filter val="158"/>
        <filter val="159"/>
        <filter val="16"/>
        <filter val="160"/>
        <filter val="161"/>
        <filter val="162"/>
        <filter val="163"/>
        <filter val="164"/>
        <filter val="165"/>
        <filter val="166"/>
        <filter val="167"/>
        <filter val="168"/>
        <filter val="169"/>
        <filter val="17"/>
        <filter val="170"/>
        <filter val="171"/>
        <filter val="172"/>
        <filter val="173"/>
        <filter val="174"/>
        <filter val="175"/>
        <filter val="176"/>
        <filter val="177"/>
        <filter val="178"/>
        <filter val="179"/>
        <filter val="18"/>
        <filter val="180"/>
        <filter val="181"/>
        <filter val="182"/>
        <filter val="183"/>
        <filter val="184"/>
        <filter val="185"/>
        <filter val="186"/>
        <filter val="187"/>
        <filter val="188"/>
        <filter val="189"/>
        <filter val="19"/>
        <filter val="190"/>
        <filter val="191"/>
        <filter val="192"/>
        <filter val="193"/>
        <filter val="194"/>
        <filter val="195"/>
        <filter val="196"/>
        <filter val="197"/>
        <filter val="198"/>
        <filter val="199"/>
        <filter val="2"/>
        <filter val="20"/>
        <filter val="200"/>
        <filter val="201"/>
        <filter val="202"/>
        <filter val="203"/>
        <filter val="204"/>
        <filter val="205"/>
        <filter val="206"/>
        <filter val="207"/>
        <filter val="208"/>
        <filter val="209"/>
        <filter val="21"/>
        <filter val="210"/>
        <filter val="211"/>
        <filter val="212"/>
        <filter val="213"/>
        <filter val="214"/>
        <filter val="215"/>
        <filter val="216"/>
        <filter val="217"/>
        <filter val="218"/>
        <filter val="219"/>
        <filter val="22"/>
        <filter val="220"/>
        <filter val="221"/>
        <filter val="222"/>
        <filter val="223"/>
        <filter val="224"/>
        <filter val="225"/>
        <filter val="226"/>
        <filter val="227"/>
        <filter val="228"/>
        <filter val="229"/>
        <filter val="23"/>
        <filter val="230"/>
        <filter val="231"/>
        <filter val="232"/>
        <filter val="233"/>
        <filter val="234"/>
        <filter val="235"/>
        <filter val="236"/>
        <filter val="237"/>
        <filter val="238"/>
        <filter val="239"/>
        <filter val="24"/>
        <filter val="240"/>
        <filter val="241"/>
        <filter val="242"/>
        <filter val="243"/>
        <filter val="244"/>
        <filter val="245"/>
        <filter val="246"/>
        <filter val="247"/>
        <filter val="248"/>
        <filter val="249"/>
        <filter val="25"/>
        <filter val="250"/>
        <filter val="251"/>
        <filter val="252"/>
        <filter val="253"/>
        <filter val="254"/>
        <filter val="255"/>
        <filter val="256"/>
        <filter val="257"/>
        <filter val="258"/>
        <filter val="259"/>
        <filter val="26"/>
        <filter val="260"/>
        <filter val="261"/>
        <filter val="262"/>
        <filter val="263"/>
        <filter val="264"/>
        <filter val="265"/>
        <filter val="266"/>
        <filter val="267"/>
        <filter val="268"/>
        <filter val="269"/>
        <filter val="27"/>
        <filter val="270"/>
        <filter val="271"/>
        <filter val="272"/>
        <filter val="273"/>
        <filter val="274"/>
        <filter val="275"/>
        <filter val="276"/>
        <filter val="277"/>
        <filter val="278"/>
        <filter val="279"/>
        <filter val="28"/>
        <filter val="280"/>
        <filter val="281"/>
        <filter val="282"/>
        <filter val="283"/>
        <filter val="284"/>
        <filter val="285"/>
        <filter val="286"/>
        <filter val="287"/>
        <filter val="288"/>
        <filter val="289"/>
        <filter val="29"/>
        <filter val="290"/>
        <filter val="291"/>
        <filter val="292"/>
        <filter val="293"/>
        <filter val="294"/>
        <filter val="295"/>
        <filter val="296"/>
        <filter val="297"/>
        <filter val="298"/>
        <filter val="299"/>
        <filter val="3"/>
        <filter val="30"/>
        <filter val="300"/>
        <filter val="301"/>
        <filter val="302"/>
        <filter val="303"/>
        <filter val="304"/>
        <filter val="305"/>
        <filter val="306"/>
        <filter val="307"/>
        <filter val="308"/>
        <filter val="309"/>
        <filter val="31"/>
        <filter val="310"/>
        <filter val="311"/>
        <filter val="312"/>
        <filter val="32"/>
        <filter val="33"/>
        <filter val="34"/>
        <filter val="35"/>
        <filter val="36"/>
        <filter val="37"/>
        <filter val="38"/>
        <filter val="39"/>
        <filter val="4"/>
        <filter val="40"/>
        <filter val="41"/>
        <filter val="42"/>
        <filter val="43"/>
        <filter val="44"/>
        <filter val="45"/>
        <filter val="46"/>
        <filter val="47"/>
        <filter val="48"/>
        <filter val="49"/>
        <filter val="5"/>
        <filter val="50"/>
        <filter val="51"/>
        <filter val="52"/>
        <filter val="53"/>
        <filter val="54"/>
        <filter val="55"/>
        <filter val="56"/>
        <filter val="57"/>
        <filter val="58"/>
        <filter val="59"/>
        <filter val="6"/>
        <filter val="60"/>
        <filter val="61"/>
        <filter val="62"/>
        <filter val="63"/>
        <filter val="64"/>
        <filter val="65"/>
        <filter val="66"/>
        <filter val="67"/>
        <filter val="68"/>
        <filter val="69"/>
        <filter val="7"/>
        <filter val="70"/>
        <filter val="71"/>
        <filter val="72"/>
        <filter val="73"/>
        <filter val="74"/>
        <filter val="75"/>
        <filter val="76"/>
        <filter val="77"/>
        <filter val="78"/>
        <filter val="79"/>
        <filter val="8"/>
        <filter val="80"/>
        <filter val="81"/>
        <filter val="82"/>
        <filter val="83"/>
        <filter val="84"/>
        <filter val="85"/>
        <filter val="86"/>
        <filter val="87"/>
        <filter val="88"/>
        <filter val="89"/>
        <filter val="9"/>
        <filter val="90"/>
        <filter val="91"/>
        <filter val="92"/>
        <filter val="93"/>
        <filter val="94"/>
        <filter val="95"/>
        <filter val="96"/>
        <filter val="97"/>
        <filter val="98"/>
        <filter val="99"/>
      </filters>
    </filterColumn>
  </autoFilter>
  <mergeCells count="18">
    <mergeCell ref="O159:AY159"/>
    <mergeCell ref="O160:AY160"/>
    <mergeCell ref="O290:AY290"/>
    <mergeCell ref="O291:AY291"/>
    <mergeCell ref="O292:AY292"/>
    <mergeCell ref="AR3:AS3"/>
    <mergeCell ref="AT3:AU3"/>
    <mergeCell ref="AV3:AX3"/>
    <mergeCell ref="A1:K1"/>
    <mergeCell ref="L1:AS1"/>
    <mergeCell ref="AT1:AV1"/>
    <mergeCell ref="A2:AY2"/>
    <mergeCell ref="A3:A4"/>
    <mergeCell ref="D3:P3"/>
    <mergeCell ref="Q3:S3"/>
    <mergeCell ref="T3:AH3"/>
    <mergeCell ref="AI3:AN3"/>
    <mergeCell ref="AO3:AQ3"/>
  </mergeCells>
  <conditionalFormatting sqref="D6:D161 D164:D447">
    <cfRule type="cellIs" dxfId="24" priority="72" operator="equal">
      <formula>"Total"</formula>
    </cfRule>
  </conditionalFormatting>
  <conditionalFormatting sqref="AQ6:AQ158 AS6:AS158 AU7:AU36 AU38:AU42 AQ161:AQ289 AS161:AS289 AU278 AQ293:AQ348 AS293:AS348 AU295:AU345 AQ351:AQ367 AS351:AS367 AQ370:AQ382 AS370:AS382 AU371:AU382 AQ385:AQ392 AS385:AS392 AU386:AU392 AQ394:AQ404 AS394:AS404 AU395:AU404 AQ406:AQ414 AS406:AS414 AQ417:AQ442 AS417:AS442 AS444:AS446 AQ444:AQ447">
    <cfRule type="containsText" dxfId="23" priority="41" operator="containsText" text="NO">
      <formula>NOT(ISERROR(SEARCH("NO",AQ6)))</formula>
    </cfRule>
  </conditionalFormatting>
  <conditionalFormatting sqref="AU44:AU57">
    <cfRule type="containsText" dxfId="22" priority="37" operator="containsText" text="NO">
      <formula>NOT(ISERROR(SEARCH("NO",AU44)))</formula>
    </cfRule>
  </conditionalFormatting>
  <conditionalFormatting sqref="AU59:AU81 AU83:AU93">
    <cfRule type="containsText" dxfId="21" priority="36" operator="containsText" text="NO">
      <formula>NOT(ISERROR(SEARCH("NO",AU59)))</formula>
    </cfRule>
  </conditionalFormatting>
  <conditionalFormatting sqref="AU95:AU106">
    <cfRule type="containsText" dxfId="20" priority="35" operator="containsText" text="NO">
      <formula>NOT(ISERROR(SEARCH("NO",AU95)))</formula>
    </cfRule>
  </conditionalFormatting>
  <conditionalFormatting sqref="AU108:AU125">
    <cfRule type="containsText" dxfId="19" priority="12" operator="containsText" text="NO">
      <formula>NOT(ISERROR(SEARCH("NO",AU108)))</formula>
    </cfRule>
  </conditionalFormatting>
  <conditionalFormatting sqref="AU127:AU139">
    <cfRule type="containsText" dxfId="18" priority="11" operator="containsText" text="NO">
      <formula>NOT(ISERROR(SEARCH("NO",AU127)))</formula>
    </cfRule>
  </conditionalFormatting>
  <conditionalFormatting sqref="AU141:AU158">
    <cfRule type="containsText" dxfId="17" priority="2" operator="containsText" text="NO">
      <formula>NOT(ISERROR(SEARCH("NO",AU141)))</formula>
    </cfRule>
  </conditionalFormatting>
  <conditionalFormatting sqref="AU162:AU163">
    <cfRule type="containsText" dxfId="16" priority="3" operator="containsText" text="NO">
      <formula>NOT(ISERROR(SEARCH("NO",AU162)))</formula>
    </cfRule>
  </conditionalFormatting>
  <conditionalFormatting sqref="AU165:AU174">
    <cfRule type="containsText" dxfId="15" priority="9" operator="containsText" text="NO">
      <formula>NOT(ISERROR(SEARCH("NO",AU165)))</formula>
    </cfRule>
  </conditionalFormatting>
  <conditionalFormatting sqref="AU176:AU180">
    <cfRule type="containsText" dxfId="14" priority="8" operator="containsText" text="NO">
      <formula>NOT(ISERROR(SEARCH("NO",AU176)))</formula>
    </cfRule>
  </conditionalFormatting>
  <conditionalFormatting sqref="AU182">
    <cfRule type="containsText" dxfId="13" priority="7" operator="containsText" text="NO">
      <formula>NOT(ISERROR(SEARCH("NO",AU182)))</formula>
    </cfRule>
  </conditionalFormatting>
  <conditionalFormatting sqref="AU184:AU185">
    <cfRule type="containsText" dxfId="12" priority="6" operator="containsText" text="NO">
      <formula>NOT(ISERROR(SEARCH("NO",AU184)))</formula>
    </cfRule>
  </conditionalFormatting>
  <conditionalFormatting sqref="AU187:AU189">
    <cfRule type="containsText" dxfId="11" priority="31" operator="containsText" text="NO">
      <formula>NOT(ISERROR(SEARCH("NO",AU187)))</formula>
    </cfRule>
  </conditionalFormatting>
  <conditionalFormatting sqref="AU191:AU200 AU202:AU206">
    <cfRule type="containsText" dxfId="10" priority="29" operator="containsText" text="NO">
      <formula>NOT(ISERROR(SEARCH("NO",AU191)))</formula>
    </cfRule>
  </conditionalFormatting>
  <conditionalFormatting sqref="AU208:AU214">
    <cfRule type="containsText" dxfId="9" priority="28" operator="containsText" text="NO">
      <formula>NOT(ISERROR(SEARCH("NO",AU208)))</formula>
    </cfRule>
  </conditionalFormatting>
  <conditionalFormatting sqref="AU216:AU245">
    <cfRule type="containsText" dxfId="8" priority="5" operator="containsText" text="NO">
      <formula>NOT(ISERROR(SEARCH("NO",AU216)))</formula>
    </cfRule>
  </conditionalFormatting>
  <conditionalFormatting sqref="AU247:AU274 AU276">
    <cfRule type="containsText" dxfId="7" priority="4" operator="containsText" text="NO">
      <formula>NOT(ISERROR(SEARCH("NO",AU247)))</formula>
    </cfRule>
  </conditionalFormatting>
  <conditionalFormatting sqref="AU280:AU289">
    <cfRule type="containsText" dxfId="6" priority="20" operator="containsText" text="NO">
      <formula>NOT(ISERROR(SEARCH("NO",AU280)))</formula>
    </cfRule>
  </conditionalFormatting>
  <conditionalFormatting sqref="AU347:AU348">
    <cfRule type="containsText" dxfId="5" priority="19" operator="containsText" text="NO">
      <formula>NOT(ISERROR(SEARCH("NO",AU347)))</formula>
    </cfRule>
  </conditionalFormatting>
  <conditionalFormatting sqref="AU352:AU367">
    <cfRule type="containsText" dxfId="4" priority="18" operator="containsText" text="NO">
      <formula>NOT(ISERROR(SEARCH("NO",AU352)))</formula>
    </cfRule>
  </conditionalFormatting>
  <conditionalFormatting sqref="AU407:AU414">
    <cfRule type="containsText" dxfId="3" priority="16" operator="containsText" text="NO">
      <formula>NOT(ISERROR(SEARCH("NO",AU407)))</formula>
    </cfRule>
  </conditionalFormatting>
  <conditionalFormatting sqref="AU418:AU442">
    <cfRule type="containsText" dxfId="2" priority="15" operator="containsText" text="NO">
      <formula>NOT(ISERROR(SEARCH("NO",AU418)))</formula>
    </cfRule>
  </conditionalFormatting>
  <dataValidations count="11">
    <dataValidation type="list" allowBlank="1" showInputMessage="1" showErrorMessage="1" sqref="G448" xr:uid="{B6785305-66FF-4B8A-8112-ACC04660AD99}">
      <formula1>"F,M,I"</formula1>
    </dataValidation>
    <dataValidation type="list" allowBlank="1" showInputMessage="1" showErrorMessage="1" sqref="V6 V447:V448" xr:uid="{70F06B78-CD32-4988-839F-61D370BD4864}">
      <formula1>"2.5,4,6,10,16,25,35,50,70,95,120,150,185,240,300,400,500,630"</formula1>
    </dataValidation>
    <dataValidation type="list" allowBlank="1" showInputMessage="1" showErrorMessage="1" sqref="V444:V446 V385:V392 V351:V367 V293:V348 V394:V404 V406:V414 V370:V382 V7:V158 V161:V289 V417:V442" xr:uid="{3C29520D-2DBE-4E11-8633-3A22C5B8D4F2}">
      <formula1>"4,6,10,16,25,35,50,70,95,120,150,185,240,300,400,500,630,800,1000"</formula1>
    </dataValidation>
    <dataValidation type="list" allowBlank="1" showInputMessage="1" showErrorMessage="1" sqref="T351:T367 T406:T414 T417:T442 T444:T447 T370:T382 T385:T392 T394:T404 T161:T289 T6:T158 T293:T348" xr:uid="{CA5DC3D2-DA74-44B6-9314-F4DDA6B2F056}">
      <formula1>"AIR,DUCT,GROUND,TRENCH"</formula1>
    </dataValidation>
    <dataValidation type="list" allowBlank="1" showInputMessage="1" showErrorMessage="1" sqref="U444:U448 U351:U367 U406:U414 U394:U404 U293:U348 U370:U382 U385:U392 U6:U158 U161:U289 U417:U442" xr:uid="{B10CF802-CAA9-4276-9A88-D560DF162075}">
      <formula1>"1C,2C,3C,3.5C,4C,5C"</formula1>
    </dataValidation>
    <dataValidation type="list" allowBlank="1" showInputMessage="1" showErrorMessage="1" sqref="G447 G6" xr:uid="{E3F8D135-20F8-47F8-A510-705AE369BFAD}">
      <formula1>"I,P,M"</formula1>
    </dataValidation>
    <dataValidation type="list" allowBlank="1" showInputMessage="1" showErrorMessage="1" sqref="G444:G446" xr:uid="{B0A293BF-A306-461D-94CA-F2E5C29343FD}">
      <formula1>"INCOMER,MOTOR,POWER"</formula1>
    </dataValidation>
    <dataValidation type="list" allowBlank="1" showInputMessage="1" showErrorMessage="1" sqref="K6:K448" xr:uid="{2A20C873-B7F8-4EA1-A336-EFD920CEB0C7}">
      <formula1>"24,110,125,230,400,690,6600,33000"</formula1>
    </dataValidation>
    <dataValidation type="list" allowBlank="1" showInputMessage="1" showErrorMessage="1" sqref="J6:J448" xr:uid="{7DB1ACF5-089F-4B3A-AC81-96DCB7AFB33B}">
      <formula1>"3Ph,1Ph"</formula1>
    </dataValidation>
    <dataValidation type="list" allowBlank="1" showInputMessage="1" showErrorMessage="1" sqref="I6:I448" xr:uid="{B27B37A3-6330-4103-8691-E444F07E731E}">
      <formula1>"kVA,kW"</formula1>
    </dataValidation>
    <dataValidation type="list" allowBlank="1" showInputMessage="1" showErrorMessage="1" sqref="G7:G443" xr:uid="{FA59794E-38B6-40C6-A5C1-BFA6C7352CAD}">
      <formula1>"INCOMER,MOTOR,POWER,VFD"</formula1>
    </dataValidation>
  </dataValidations>
  <printOptions horizontalCentered="1"/>
  <pageMargins left="0" right="0" top="0.47244094488188998" bottom="0.511811023622047" header="0.511811023622047" footer="0.511811023622047"/>
  <pageSetup paperSize="8" scale="32" fitToHeight="0" orientation="landscape" r:id="rId1"/>
  <headerFooter alignWithMargins="0"/>
  <ignoredErrors>
    <ignoredError sqref="AC8:AC17 AC187:AC189 AC38:AC42 AC195:AC196 AC209:AC214 AC198:AC200 AS398 AC96:AC100 AC86:AC90 AD87 AC115:AG116 AC23:AD23 AD379:AD380 AC121:AO122 AC117:AC119 AF117:AG119 AC69:AC80 AC216:AD235 AC25:AD25 AC34:AD35 AC27:AD27 AX147:AX151 AG153:AH155 AC128:AC135 AG47:AH50 AC50:AC54 AC62:AD68 AC166 AG205:AY207 AG250:AH252 AC257:AD261 AC283:AC285 AG24:AH27 AC18:AD20 AC29:AD30 AC84 AC120:AG120 AI120:AO120 AI115:AO116 AI117:AO119 AC102:AC105 AC32 AG28:AH28 AC15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1A18-A343-4382-AE6C-50DB07C33C6E}">
  <sheetPr codeName="Sheet9">
    <tabColor rgb="FFFFFF00"/>
    <pageSetUpPr fitToPage="1"/>
  </sheetPr>
  <dimension ref="A1:BA46"/>
  <sheetViews>
    <sheetView view="pageBreakPreview" zoomScale="70" zoomScaleNormal="70" zoomScaleSheetLayoutView="70" zoomScalePageLayoutView="70" workbookViewId="0">
      <pane xSplit="8" ySplit="5" topLeftCell="P12" activePane="bottomRight" state="frozen"/>
      <selection pane="topRight" activeCell="AZ7" activeCellId="1" sqref="AZ17:AZ18 AZ7:AZ10"/>
      <selection pane="bottomLeft" activeCell="AZ7" activeCellId="1" sqref="AZ17:AZ18 AZ7:AZ10"/>
      <selection pane="bottomRight" activeCell="Y15" sqref="Y15"/>
    </sheetView>
  </sheetViews>
  <sheetFormatPr defaultColWidth="9.1796875" defaultRowHeight="12.5"/>
  <cols>
    <col min="1" max="1" width="11.54296875" style="36" customWidth="1"/>
    <col min="2" max="2" width="35.26953125" style="40" customWidth="1"/>
    <col min="3" max="3" width="12.54296875" style="40" bestFit="1" customWidth="1"/>
    <col min="4" max="4" width="15.1796875" style="40" hidden="1" customWidth="1"/>
    <col min="5" max="5" width="9" style="40" hidden="1" customWidth="1"/>
    <col min="6" max="6" width="8.54296875" style="36" bestFit="1" customWidth="1"/>
    <col min="7" max="7" width="9.26953125" style="36" bestFit="1" customWidth="1"/>
    <col min="8" max="8" width="9.81640625" style="36" bestFit="1" customWidth="1"/>
    <col min="9" max="9" width="10" style="36" customWidth="1"/>
    <col min="10" max="10" width="9" style="36" customWidth="1"/>
    <col min="11" max="11" width="9.26953125" style="36" customWidth="1"/>
    <col min="12" max="12" width="9.81640625" style="36" customWidth="1"/>
    <col min="13" max="13" width="10" style="36" customWidth="1"/>
    <col min="14" max="14" width="11.453125" style="36" customWidth="1"/>
    <col min="15" max="15" width="12" style="36" customWidth="1"/>
    <col min="16" max="16" width="12.26953125" style="36" customWidth="1"/>
    <col min="17" max="17" width="11.54296875" style="36" customWidth="1"/>
    <col min="18" max="18" width="14.26953125" style="36" customWidth="1"/>
    <col min="19" max="20" width="8.26953125" style="36" customWidth="1"/>
    <col min="21" max="21" width="9" style="36" customWidth="1"/>
    <col min="22" max="22" width="8.54296875" style="36" bestFit="1" customWidth="1"/>
    <col min="23" max="23" width="8.54296875" style="36" hidden="1" customWidth="1"/>
    <col min="24" max="24" width="8.54296875" style="36" customWidth="1"/>
    <col min="25" max="25" width="9.81640625" style="36" customWidth="1"/>
    <col min="26" max="26" width="11.54296875" style="36" customWidth="1"/>
    <col min="27" max="30" width="12.54296875" style="36" customWidth="1"/>
    <col min="31" max="31" width="10" style="36" customWidth="1"/>
    <col min="32" max="32" width="13.1796875" style="36" hidden="1" customWidth="1"/>
    <col min="33" max="33" width="10.54296875" style="36" hidden="1" customWidth="1"/>
    <col min="34" max="34" width="13.26953125" style="36" hidden="1" customWidth="1"/>
    <col min="35" max="35" width="8.81640625" style="36" hidden="1" customWidth="1"/>
    <col min="36" max="36" width="12.26953125" style="36" hidden="1" customWidth="1"/>
    <col min="37" max="37" width="16" style="36" customWidth="1"/>
    <col min="38" max="38" width="11.453125" style="36" customWidth="1"/>
    <col min="39" max="39" width="7.1796875" style="37" customWidth="1"/>
    <col min="40" max="40" width="10.26953125" style="36" customWidth="1"/>
    <col min="41" max="41" width="14.7265625" style="36" customWidth="1"/>
    <col min="42" max="42" width="17" style="36" customWidth="1"/>
    <col min="43" max="43" width="11.26953125" style="62" hidden="1" customWidth="1"/>
    <col min="44" max="44" width="12.7265625" style="62" hidden="1" customWidth="1"/>
    <col min="45" max="45" width="14" style="36" customWidth="1"/>
    <col min="46" max="46" width="17.1796875" style="36" customWidth="1"/>
    <col min="47" max="47" width="34.54296875" style="36" customWidth="1"/>
    <col min="48" max="49" width="9.26953125" style="36" customWidth="1"/>
    <col min="50" max="50" width="13.26953125" style="36" customWidth="1"/>
    <col min="51" max="51" width="21.81640625" style="36" hidden="1" customWidth="1"/>
    <col min="52" max="52" width="16.1796875" style="36" hidden="1" customWidth="1"/>
    <col min="53" max="53" width="23.81640625" style="36" customWidth="1"/>
    <col min="54" max="54" width="12.453125" style="36" customWidth="1"/>
    <col min="55" max="16384" width="9.1796875" style="36"/>
  </cols>
  <sheetData>
    <row r="1" spans="1:53" s="33" customFormat="1" ht="24.75" customHeight="1">
      <c r="A1" s="682"/>
      <c r="B1" s="682"/>
      <c r="C1" s="682"/>
      <c r="D1" s="682"/>
      <c r="E1" s="682"/>
      <c r="F1" s="682"/>
      <c r="G1" s="682"/>
      <c r="H1" s="682"/>
      <c r="I1" s="682"/>
      <c r="J1" s="682"/>
      <c r="K1" s="683"/>
      <c r="L1" s="683"/>
      <c r="M1" s="683"/>
      <c r="N1" s="683"/>
      <c r="O1" s="683"/>
      <c r="P1" s="683"/>
      <c r="Q1" s="683"/>
      <c r="R1" s="683"/>
      <c r="S1" s="683"/>
      <c r="T1" s="683"/>
      <c r="U1" s="683"/>
      <c r="V1" s="683"/>
      <c r="W1" s="683"/>
      <c r="X1" s="683"/>
      <c r="Y1" s="683"/>
      <c r="Z1" s="683"/>
      <c r="AA1" s="683"/>
      <c r="AB1" s="683"/>
      <c r="AC1" s="683"/>
      <c r="AD1" s="683"/>
      <c r="AE1" s="683"/>
      <c r="AF1" s="683"/>
      <c r="AG1" s="683"/>
      <c r="AH1" s="683"/>
      <c r="AI1" s="683"/>
      <c r="AJ1" s="683"/>
      <c r="AK1" s="683"/>
      <c r="AL1" s="683"/>
      <c r="AM1" s="683"/>
      <c r="AN1" s="683"/>
      <c r="AO1" s="683"/>
      <c r="AP1" s="683"/>
      <c r="AQ1" s="61"/>
      <c r="AR1" s="61"/>
      <c r="AS1" s="682"/>
      <c r="AT1" s="682"/>
      <c r="AU1" s="682"/>
    </row>
    <row r="2" spans="1:53" s="33" customFormat="1" ht="24.75" customHeight="1">
      <c r="A2" s="672" t="s">
        <v>308</v>
      </c>
      <c r="B2" s="672"/>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672"/>
      <c r="AN2" s="672"/>
      <c r="AO2" s="672"/>
      <c r="AP2" s="672"/>
      <c r="AQ2" s="672"/>
      <c r="AR2" s="672"/>
      <c r="AS2" s="672"/>
      <c r="AT2" s="672"/>
      <c r="AU2" s="672"/>
      <c r="AV2" s="672"/>
      <c r="AW2" s="672"/>
      <c r="AX2" s="672"/>
    </row>
    <row r="3" spans="1:53" s="11" customFormat="1" ht="25.5" customHeight="1">
      <c r="A3" s="675" t="s">
        <v>236</v>
      </c>
      <c r="B3" s="677" t="s">
        <v>237</v>
      </c>
      <c r="C3" s="677"/>
      <c r="D3" s="677"/>
      <c r="E3" s="677"/>
      <c r="F3" s="677"/>
      <c r="G3" s="677"/>
      <c r="H3" s="677"/>
      <c r="I3" s="677"/>
      <c r="J3" s="677"/>
      <c r="K3" s="677"/>
      <c r="L3" s="677"/>
      <c r="M3" s="677"/>
      <c r="N3" s="677"/>
      <c r="O3" s="677"/>
      <c r="P3" s="667" t="s">
        <v>238</v>
      </c>
      <c r="Q3" s="667"/>
      <c r="R3" s="667"/>
      <c r="S3" s="667" t="s">
        <v>239</v>
      </c>
      <c r="T3" s="667"/>
      <c r="U3" s="667"/>
      <c r="V3" s="667"/>
      <c r="W3" s="667"/>
      <c r="X3" s="667"/>
      <c r="Y3" s="667"/>
      <c r="Z3" s="667"/>
      <c r="AA3" s="667"/>
      <c r="AB3" s="667"/>
      <c r="AC3" s="667"/>
      <c r="AD3" s="667"/>
      <c r="AE3" s="667"/>
      <c r="AF3" s="667" t="s">
        <v>240</v>
      </c>
      <c r="AG3" s="667"/>
      <c r="AH3" s="667"/>
      <c r="AI3" s="667"/>
      <c r="AJ3" s="667"/>
      <c r="AK3" s="667"/>
      <c r="AL3" s="667" t="s">
        <v>241</v>
      </c>
      <c r="AM3" s="667"/>
      <c r="AN3" s="667"/>
      <c r="AO3" s="667" t="s">
        <v>242</v>
      </c>
      <c r="AP3" s="667"/>
      <c r="AQ3" s="667"/>
      <c r="AR3" s="667"/>
      <c r="AS3" s="667" t="s">
        <v>243</v>
      </c>
      <c r="AT3" s="667"/>
      <c r="AU3" s="667" t="s">
        <v>244</v>
      </c>
      <c r="AV3" s="667"/>
      <c r="AW3" s="238"/>
      <c r="AX3" s="238"/>
    </row>
    <row r="4" spans="1:53" s="11" customFormat="1" ht="91">
      <c r="A4" s="675"/>
      <c r="B4" s="238" t="s">
        <v>247</v>
      </c>
      <c r="C4" s="238" t="s">
        <v>772</v>
      </c>
      <c r="D4" s="238" t="s">
        <v>248</v>
      </c>
      <c r="E4" s="238" t="s">
        <v>773</v>
      </c>
      <c r="F4" s="238" t="s">
        <v>249</v>
      </c>
      <c r="G4" s="238" t="s">
        <v>250</v>
      </c>
      <c r="H4" s="238" t="s">
        <v>251</v>
      </c>
      <c r="I4" s="238" t="s">
        <v>252</v>
      </c>
      <c r="J4" s="238" t="s">
        <v>253</v>
      </c>
      <c r="K4" s="238" t="s">
        <v>254</v>
      </c>
      <c r="L4" s="238" t="s">
        <v>255</v>
      </c>
      <c r="M4" s="238" t="s">
        <v>256</v>
      </c>
      <c r="N4" s="238" t="s">
        <v>257</v>
      </c>
      <c r="O4" s="238" t="s">
        <v>258</v>
      </c>
      <c r="P4" s="238" t="s">
        <v>259</v>
      </c>
      <c r="Q4" s="238" t="s">
        <v>260</v>
      </c>
      <c r="R4" s="238" t="s">
        <v>261</v>
      </c>
      <c r="S4" s="238" t="s">
        <v>262</v>
      </c>
      <c r="T4" s="238" t="s">
        <v>263</v>
      </c>
      <c r="U4" s="238" t="s">
        <v>264</v>
      </c>
      <c r="V4" s="238" t="s">
        <v>265</v>
      </c>
      <c r="W4" s="238" t="s">
        <v>266</v>
      </c>
      <c r="X4" s="238" t="s">
        <v>267</v>
      </c>
      <c r="Y4" s="238" t="s">
        <v>268</v>
      </c>
      <c r="Z4" s="238" t="s">
        <v>269</v>
      </c>
      <c r="AA4" s="238" t="s">
        <v>270</v>
      </c>
      <c r="AB4" s="238" t="s">
        <v>271</v>
      </c>
      <c r="AC4" s="238" t="s">
        <v>272</v>
      </c>
      <c r="AD4" s="238" t="s">
        <v>274</v>
      </c>
      <c r="AE4" s="238" t="s">
        <v>309</v>
      </c>
      <c r="AF4" s="238" t="s">
        <v>276</v>
      </c>
      <c r="AG4" s="238" t="s">
        <v>277</v>
      </c>
      <c r="AH4" s="238" t="s">
        <v>278</v>
      </c>
      <c r="AI4" s="238" t="s">
        <v>279</v>
      </c>
      <c r="AJ4" s="238" t="s">
        <v>280</v>
      </c>
      <c r="AK4" s="238" t="s">
        <v>281</v>
      </c>
      <c r="AL4" s="238" t="s">
        <v>282</v>
      </c>
      <c r="AM4" s="238" t="s">
        <v>283</v>
      </c>
      <c r="AN4" s="238" t="s">
        <v>284</v>
      </c>
      <c r="AO4" s="238" t="s">
        <v>285</v>
      </c>
      <c r="AP4" s="238" t="s">
        <v>286</v>
      </c>
      <c r="AQ4" s="238" t="s">
        <v>287</v>
      </c>
      <c r="AR4" s="238" t="s">
        <v>288</v>
      </c>
      <c r="AS4" s="238" t="s">
        <v>289</v>
      </c>
      <c r="AT4" s="238" t="s">
        <v>290</v>
      </c>
      <c r="AU4" s="238" t="s">
        <v>291</v>
      </c>
      <c r="AV4" s="238" t="s">
        <v>293</v>
      </c>
      <c r="AW4" s="238" t="s">
        <v>294</v>
      </c>
      <c r="AX4" s="238" t="s">
        <v>292</v>
      </c>
      <c r="AY4" s="425" t="s">
        <v>342</v>
      </c>
      <c r="AZ4" s="243" t="s">
        <v>343</v>
      </c>
    </row>
    <row r="5" spans="1:53" s="59" customFormat="1" ht="14">
      <c r="A5" s="236"/>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t="s">
        <v>28</v>
      </c>
      <c r="AM5" s="426"/>
      <c r="AN5" s="236"/>
      <c r="AO5" s="236"/>
      <c r="AP5" s="236"/>
      <c r="AQ5" s="240"/>
      <c r="AR5" s="240" t="s">
        <v>296</v>
      </c>
      <c r="AS5" s="236"/>
      <c r="AT5" s="236"/>
      <c r="AU5" s="236"/>
      <c r="AV5" s="236"/>
      <c r="AW5" s="241"/>
      <c r="AX5" s="236"/>
    </row>
    <row r="6" spans="1:53" s="34" customFormat="1" ht="26.25" customHeight="1">
      <c r="A6" s="316"/>
      <c r="B6" s="317" t="s">
        <v>774</v>
      </c>
      <c r="C6" s="316"/>
      <c r="D6" s="316"/>
      <c r="E6" s="316"/>
      <c r="F6" s="318"/>
      <c r="G6" s="281"/>
      <c r="H6" s="273"/>
      <c r="I6" s="273"/>
      <c r="J6" s="273"/>
      <c r="K6" s="316"/>
      <c r="L6" s="316"/>
      <c r="M6" s="316"/>
      <c r="N6" s="316"/>
      <c r="O6" s="316"/>
      <c r="P6" s="316"/>
      <c r="Q6" s="316"/>
      <c r="R6" s="316"/>
      <c r="S6" s="316"/>
      <c r="T6" s="316"/>
      <c r="U6" s="316"/>
      <c r="V6" s="316"/>
      <c r="W6" s="316"/>
      <c r="X6" s="316"/>
      <c r="Y6" s="316"/>
      <c r="Z6" s="316"/>
      <c r="AA6" s="316"/>
      <c r="AB6" s="316"/>
      <c r="AC6" s="316"/>
      <c r="AD6" s="316"/>
      <c r="AE6" s="316"/>
      <c r="AF6" s="316"/>
      <c r="AG6" s="316"/>
      <c r="AH6" s="316"/>
      <c r="AI6" s="316"/>
      <c r="AJ6" s="316"/>
      <c r="AK6" s="316"/>
      <c r="AL6" s="316"/>
      <c r="AM6" s="427"/>
      <c r="AN6" s="316"/>
      <c r="AO6" s="316"/>
      <c r="AP6" s="316"/>
      <c r="AQ6" s="319"/>
      <c r="AR6" s="319"/>
      <c r="AS6" s="316"/>
      <c r="AT6" s="316"/>
      <c r="AU6" s="316"/>
      <c r="AV6" s="316"/>
      <c r="AW6" s="428"/>
      <c r="AX6" s="316"/>
      <c r="AY6" s="39"/>
    </row>
    <row r="7" spans="1:53" ht="35.15" customHeight="1">
      <c r="A7" s="243">
        <f t="shared" ref="A7" si="0">A5+1</f>
        <v>1</v>
      </c>
      <c r="B7" s="272" t="s">
        <v>775</v>
      </c>
      <c r="C7" s="243" t="s">
        <v>776</v>
      </c>
      <c r="D7" s="313"/>
      <c r="E7" s="313"/>
      <c r="F7" s="246" t="s">
        <v>51</v>
      </c>
      <c r="G7" s="256">
        <v>12500</v>
      </c>
      <c r="H7" s="243" t="s">
        <v>319</v>
      </c>
      <c r="I7" s="243" t="s">
        <v>777</v>
      </c>
      <c r="J7" s="247">
        <v>6600</v>
      </c>
      <c r="K7" s="248">
        <v>0.85</v>
      </c>
      <c r="L7" s="248">
        <v>0.95</v>
      </c>
      <c r="M7" s="248">
        <f t="shared" ref="M7:M27" si="1">IF(H7="kVA",IF(I7="3Phase",(G7*1000/(1.732*L7*J7)),(G7*1000/(L7*J7))),IF(H7="kW",IF(I7="3Phase",(G7*1000/(1.732*L7*J7*K7)),(G7*1000/(L7*J7*K7)))))</f>
        <v>1151.0510477327057</v>
      </c>
      <c r="N7" s="248">
        <f t="shared" ref="N7:N27" si="2">IF(F7="M",IF(G7&gt;=600,6*M7,IF(G7&lt;600,6*M7)),0)</f>
        <v>0</v>
      </c>
      <c r="O7" s="250" t="str">
        <f t="shared" ref="O7:O12" si="3">IF(F7="M",0.2,"0.00")</f>
        <v>0.00</v>
      </c>
      <c r="P7" s="248">
        <v>40</v>
      </c>
      <c r="Q7" s="248">
        <v>1</v>
      </c>
      <c r="R7" s="248">
        <f t="shared" ref="R7:R12" si="4">(P7*1000*SQRT(Q7)/143)</f>
        <v>279.72027972027973</v>
      </c>
      <c r="S7" s="250" t="s">
        <v>131</v>
      </c>
      <c r="T7" s="248" t="s">
        <v>302</v>
      </c>
      <c r="U7" s="250">
        <v>185</v>
      </c>
      <c r="V7" s="249" t="str">
        <f t="shared" ref="V7:V12" si="5">CONCATENATE(T7," X ",U7)</f>
        <v>3C X 185</v>
      </c>
      <c r="W7" s="249"/>
      <c r="X7" s="249" t="s">
        <v>778</v>
      </c>
      <c r="Y7" s="429" t="e">
        <f>IF(S7="AIR",VLOOKUP(V7,'Catalogue Aluminium'!#REF!,2,FALSE),IF(S7="GROUND",VLOOKUP(V7,'Catalogue Aluminium'!#REF!,3,FALSE),IF(S7="DUCT",VLOOKUP(V7,'Catalogue Aluminium'!#REF!,4,FALSE),IF(S7="TRENCH",VLOOKUP(V7,'Catalogue Aluminium'!#REF!,2,FALSE)))))</f>
        <v>#REF!</v>
      </c>
      <c r="Z7" s="430" t="e">
        <f>VLOOKUP(V7,'Catalogue Aluminium'!#REF!,5,FALSE)</f>
        <v>#REF!</v>
      </c>
      <c r="AA7" s="430" t="e">
        <f>VLOOKUP(V7,'Catalogue Aluminium'!#REF!,6,FALSE)</f>
        <v>#REF!</v>
      </c>
      <c r="AB7" s="252">
        <f>30+15</f>
        <v>45</v>
      </c>
      <c r="AC7" s="252">
        <f>(12+15+32+45+26+16)+20</f>
        <v>166</v>
      </c>
      <c r="AD7" s="252">
        <v>15</v>
      </c>
      <c r="AE7" s="253">
        <f t="shared" ref="AE7" si="6">SUM(AB7:AD7)</f>
        <v>226</v>
      </c>
      <c r="AF7" s="429" t="e">
        <f>IF(S7="AIR",'Catalogue Aluminium'!#REF!,IF(S7="TRENCH",'Catalogue Aluminium'!#REF!,"NA"))</f>
        <v>#REF!</v>
      </c>
      <c r="AG7" s="431" t="e">
        <f>IF(S7="Air",(IF(T7="1C",'Catalogue Aluminium'!#REF!,'Catalogue Aluminium'!#REF!)),IF(S7="DUCT",(IF($T7="1C",'Catalogue Aluminium'!#REF!,'Catalogue Aluminium'!#REF!)),IF(S7="GROUND",(IF($T7="1C",'Catalogue Aluminium'!#REF!,'Catalogue Aluminium'!#REF!)),IF(S7="TRENCH",(IF($T7="1C",'Catalogue Aluminium'!#REF!,'Catalogue Aluminium'!#REF!))))))</f>
        <v>#REF!</v>
      </c>
      <c r="AH7" s="429" t="e">
        <f>IF(S7="Air",'Catalogue Aluminium'!#REF!,IF(S7="GROUND",'Catalogue Aluminium'!#REF!,IF(S7="DUCT",'Catalogue Aluminium'!#REF!,IF(S7="TRENCH",'Catalogue Aluminium'!#REF!,"NA"))))</f>
        <v>#REF!</v>
      </c>
      <c r="AI7" s="429" t="e">
        <f>IF(S7="Air",(IF(T7="1C",'Catalogue Aluminium'!#REF!,'Catalogue Aluminium'!#REF!)),IF(S7="DUCT",(IF($T7="1C",'Catalogue Aluminium'!#REF!,'Catalogue Aluminium'!#REF!)),IF(S7="GROUND",(IF($T7="1C",'Catalogue Aluminium'!#REF!,'Catalogue Aluminium'!#REF!)),IF(S7="TRENCH",(IF($T7="1C",'Catalogue Aluminium'!#REF!,'Catalogue Aluminium'!#REF!))))))</f>
        <v>#REF!</v>
      </c>
      <c r="AJ7" s="429" t="str">
        <f>IF(S7="AIR","NA",IF(S7="TRENCH","NA",IF(S7="DUCT",IF(T7="1C",VLOOKUP(U7,'Catalogue Aluminium'!#REF!,2,FALSE),VLOOKUP(U7,'Catalogue Aluminium'!#REF!,3)),IF(S7="GROUND",IF(T7="1C",VLOOKUP(U7,'Catalogue Aluminium'!#REF!,2,FALSE),VLOOKUP(U7,'Catalogue Aluminium'!#REF!,3))))))</f>
        <v>NA</v>
      </c>
      <c r="AK7" s="254" t="e">
        <f t="shared" ref="AK7:AK12" si="7">IF(S7="AIR",AF7*AG7,IF(S7="TRENCH",AF7*AG7,IF(S7="DUCT",AG7*AH7*AI7*AJ7,IF(S7="GROUND",AG7*AH7*AI7*AJ7))))</f>
        <v>#REF!</v>
      </c>
      <c r="AL7" s="248" t="e">
        <f t="shared" ref="AL7:AL12" si="8">Y7*AK7</f>
        <v>#REF!</v>
      </c>
      <c r="AM7" s="432" t="e">
        <f>CEILING(((M7)/AL7),1)</f>
        <v>#REF!</v>
      </c>
      <c r="AN7" s="256" t="e">
        <f>IF(AL7*AM7&gt;=M7,"YES","NO")</f>
        <v>#REF!</v>
      </c>
      <c r="AO7" s="433" t="e">
        <f t="shared" ref="AO7:AO31" si="9">SQRT(3)*AE7*M7*((Z7*K7)+(AA7*SIN(ACOS(K7))))*100/(AM7*J7*1000)</f>
        <v>#REF!</v>
      </c>
      <c r="AP7" s="434" t="e">
        <f t="shared" ref="AP7:AP31" si="10">IF(F7="I",(IF(AO7&lt;=2,"YES","NO")),IF(F7="P",(IF(AO7&lt;=2,"YES","NO")),IF(F7="M",(IF(AO7&lt;=3,"YES","NO")))))</f>
        <v>#REF!</v>
      </c>
      <c r="AQ7" s="435" t="e">
        <f t="shared" ref="AQ7:AQ31" si="11">M7*((Z7*K7) + (AA7*SIN(ACOS(K7))))</f>
        <v>#REF!</v>
      </c>
      <c r="AR7" s="436" t="e">
        <f t="shared" ref="AR7:AR31" si="12">(5*1000*AM7*J7*10)/(AQ7)</f>
        <v>#REF!</v>
      </c>
      <c r="AS7" s="433" t="str">
        <f t="shared" ref="AS7:AS31" si="13">IF(F7="M",(SQRT(3)*AE7*N7*((Z7*K7)+(AA7*SIN(ACOS(K7))))*100/(AM7*J7*1000)),"NA")</f>
        <v>NA</v>
      </c>
      <c r="AT7" s="433" t="str">
        <f t="shared" ref="AT7:AT31" si="14">IF(F7="M",IF(AS7&lt;=10,"YES","NO"),"NA")</f>
        <v>NA</v>
      </c>
      <c r="AU7" s="257" t="e">
        <f t="shared" ref="AU7:AU12" si="15">IF(T7="1C",CONCATENATE(AM7,"R x ",X7,"kV x ",T7," x ",U7," Sqmm/Phase"),CONCATENATE(AM7,"R x ",0.6,"/1kV x ",T7," x ",U7," Sqmm"))</f>
        <v>#REF!</v>
      </c>
      <c r="AV7" s="249" t="e">
        <f>IF(T7="1C",(3*AE7*AM7),(AE7*AM7))</f>
        <v>#REF!</v>
      </c>
      <c r="AW7" s="261" t="e">
        <f>AM7*2</f>
        <v>#REF!</v>
      </c>
      <c r="AX7" s="254"/>
      <c r="AY7" s="437">
        <v>63</v>
      </c>
      <c r="AZ7" s="250" t="e">
        <f>AM7*AY7</f>
        <v>#REF!</v>
      </c>
      <c r="BA7" s="681" t="e">
        <f>SUM(AZ7:AZ10)</f>
        <v>#REF!</v>
      </c>
    </row>
    <row r="8" spans="1:53" ht="35.15" customHeight="1">
      <c r="A8" s="243" t="s">
        <v>779</v>
      </c>
      <c r="B8" s="272" t="s">
        <v>780</v>
      </c>
      <c r="C8" s="243" t="s">
        <v>776</v>
      </c>
      <c r="D8" s="313"/>
      <c r="E8" s="313"/>
      <c r="F8" s="246" t="s">
        <v>51</v>
      </c>
      <c r="G8" s="256"/>
      <c r="H8" s="243" t="s">
        <v>319</v>
      </c>
      <c r="I8" s="243" t="s">
        <v>781</v>
      </c>
      <c r="J8" s="247">
        <v>6600</v>
      </c>
      <c r="K8" s="248">
        <v>0.85</v>
      </c>
      <c r="L8" s="248">
        <v>0.95</v>
      </c>
      <c r="M8" s="248">
        <v>400</v>
      </c>
      <c r="N8" s="248">
        <f t="shared" ref="N8" si="16">IF(F8="M",IF(G8&gt;=600,6*M8,IF(G8&lt;600,6*M8)),0)</f>
        <v>0</v>
      </c>
      <c r="O8" s="250" t="str">
        <f t="shared" ref="O8" si="17">IF(F8="M",0.2,"0.00")</f>
        <v>0.00</v>
      </c>
      <c r="P8" s="438">
        <v>0.3</v>
      </c>
      <c r="Q8" s="248">
        <v>10</v>
      </c>
      <c r="R8" s="248">
        <f t="shared" ref="R8" si="18">(P8*1000*SQRT(Q8)/143)</f>
        <v>6.6341489374161808</v>
      </c>
      <c r="S8" s="250" t="s">
        <v>131</v>
      </c>
      <c r="T8" s="248" t="s">
        <v>305</v>
      </c>
      <c r="U8" s="250">
        <v>185</v>
      </c>
      <c r="V8" s="249" t="str">
        <f t="shared" ref="V8" si="19">CONCATENATE(T8," X ",U8)</f>
        <v>1C X 185</v>
      </c>
      <c r="W8" s="249"/>
      <c r="X8" s="249" t="s">
        <v>778</v>
      </c>
      <c r="Y8" s="429" t="e">
        <f>IF(S8="AIR",VLOOKUP(V8,'Catalogue Aluminium'!#REF!,2,FALSE),IF(S8="GROUND",VLOOKUP(V8,'Catalogue Aluminium'!#REF!,3,FALSE),IF(S8="DUCT",VLOOKUP(V8,'Catalogue Aluminium'!#REF!,4,FALSE),IF(S8="TRENCH",VLOOKUP(V8,'Catalogue Aluminium'!#REF!,2,FALSE)))))</f>
        <v>#REF!</v>
      </c>
      <c r="Z8" s="430" t="e">
        <f>VLOOKUP(V8,'Catalogue Aluminium'!#REF!,5,FALSE)</f>
        <v>#REF!</v>
      </c>
      <c r="AA8" s="430" t="e">
        <f>VLOOKUP(V8,'Catalogue Aluminium'!#REF!,6,FALSE)</f>
        <v>#REF!</v>
      </c>
      <c r="AB8" s="252">
        <v>15</v>
      </c>
      <c r="AC8" s="252">
        <v>0</v>
      </c>
      <c r="AD8" s="252">
        <v>5</v>
      </c>
      <c r="AE8" s="253">
        <f t="shared" ref="AE8" si="20">SUM(AB8:AD8)</f>
        <v>20</v>
      </c>
      <c r="AF8" s="429" t="e">
        <f>IF(S8="AIR",'Catalogue Aluminium'!#REF!,IF(S8="TRENCH",'Catalogue Aluminium'!#REF!,"NA"))</f>
        <v>#REF!</v>
      </c>
      <c r="AG8" s="431" t="e">
        <f>IF(S8="Air",(IF(T8="1C",'Catalogue Aluminium'!#REF!,'Catalogue Aluminium'!#REF!)),IF(S8="DUCT",(IF($T8="1C",'Catalogue Aluminium'!#REF!,'Catalogue Aluminium'!#REF!)),IF(S8="GROUND",(IF($T8="1C",'Catalogue Aluminium'!#REF!,'Catalogue Aluminium'!#REF!)),IF(S8="TRENCH",(IF($T8="1C",'Catalogue Aluminium'!#REF!,'Catalogue Aluminium'!#REF!))))))</f>
        <v>#REF!</v>
      </c>
      <c r="AH8" s="429" t="e">
        <f>IF(S8="Air",'Catalogue Aluminium'!#REF!,IF(S8="GROUND",'Catalogue Aluminium'!#REF!,IF(S8="DUCT",'Catalogue Aluminium'!#REF!,IF(S8="TRENCH",'Catalogue Aluminium'!#REF!,"NA"))))</f>
        <v>#REF!</v>
      </c>
      <c r="AI8" s="429" t="e">
        <f>IF(S8="Air",(IF(T8="1C",'Catalogue Aluminium'!#REF!,'Catalogue Aluminium'!#REF!)),IF(S8="DUCT",(IF($T8="1C",'Catalogue Aluminium'!#REF!,'Catalogue Aluminium'!#REF!)),IF(S8="GROUND",(IF($T8="1C",'Catalogue Aluminium'!#REF!,'Catalogue Aluminium'!#REF!)),IF(S8="TRENCH",(IF($T8="1C",'Catalogue Aluminium'!#REF!,'Catalogue Aluminium'!#REF!))))))</f>
        <v>#REF!</v>
      </c>
      <c r="AJ8" s="429" t="str">
        <f>IF(S8="AIR","NA",IF(S8="TRENCH","NA",IF(S8="DUCT",IF(T8="1C",VLOOKUP(U8,'Catalogue Aluminium'!#REF!,2,FALSE),VLOOKUP(U8,'Catalogue Aluminium'!#REF!,3)),IF(S8="GROUND",IF(T8="1C",VLOOKUP(U8,'Catalogue Aluminium'!#REF!,2,FALSE),VLOOKUP(U8,'Catalogue Aluminium'!#REF!,3))))))</f>
        <v>NA</v>
      </c>
      <c r="AK8" s="254" t="e">
        <f t="shared" ref="AK8" si="21">IF(S8="AIR",AF8*AG8,IF(S8="TRENCH",AF8*AG8,IF(S8="DUCT",AG8*AH8*AI8*AJ8,IF(S8="GROUND",AG8*AH8*AI8*AJ8))))</f>
        <v>#REF!</v>
      </c>
      <c r="AL8" s="248" t="e">
        <f t="shared" ref="AL8" si="22">Y8*AK8</f>
        <v>#REF!</v>
      </c>
      <c r="AM8" s="432" t="e">
        <f>CEILING(((M8)/AL8),1)</f>
        <v>#REF!</v>
      </c>
      <c r="AN8" s="256" t="e">
        <f>IF(AL8*AM8&gt;=M8,"YES","NO")</f>
        <v>#REF!</v>
      </c>
      <c r="AO8" s="433" t="e">
        <f t="shared" ref="AO8" si="23">SQRT(3)*AE8*M8*((Z8*K8)+(AA8*SIN(ACOS(K8))))*100/(AM8*J8*1000)</f>
        <v>#REF!</v>
      </c>
      <c r="AP8" s="434" t="e">
        <f t="shared" ref="AP8" si="24">IF(F8="I",(IF(AO8&lt;=2,"YES","NO")),IF(F8="P",(IF(AO8&lt;=2,"YES","NO")),IF(F8="M",(IF(AO8&lt;=3,"YES","NO")))))</f>
        <v>#REF!</v>
      </c>
      <c r="AQ8" s="435" t="e">
        <f t="shared" ref="AQ8" si="25">M8*((Z8*K8) + (AA8*SIN(ACOS(K8))))</f>
        <v>#REF!</v>
      </c>
      <c r="AR8" s="436" t="e">
        <f t="shared" ref="AR8" si="26">(5*1000*AM8*J8*10)/(AQ8)</f>
        <v>#REF!</v>
      </c>
      <c r="AS8" s="433" t="str">
        <f t="shared" ref="AS8" si="27">IF(F8="M",(SQRT(3)*AE8*N8*((Z8*K8)+(AA8*SIN(ACOS(K8))))*100/(AM8*J8*1000)),"NA")</f>
        <v>NA</v>
      </c>
      <c r="AT8" s="433" t="str">
        <f t="shared" ref="AT8" si="28">IF(F8="M",IF(AS8&lt;=10,"YES","NO"),"NA")</f>
        <v>NA</v>
      </c>
      <c r="AU8" s="257" t="e">
        <f t="shared" si="15"/>
        <v>#REF!</v>
      </c>
      <c r="AV8" s="249" t="e">
        <f>AE8*AM8</f>
        <v>#REF!</v>
      </c>
      <c r="AW8" s="261" t="e">
        <f t="shared" ref="AW8:AW31" si="29">AM8*2</f>
        <v>#REF!</v>
      </c>
      <c r="AX8" s="254"/>
      <c r="AY8" s="437">
        <v>63</v>
      </c>
      <c r="AZ8" s="250" t="e">
        <f>AY8*AM8</f>
        <v>#REF!</v>
      </c>
      <c r="BA8" s="681"/>
    </row>
    <row r="9" spans="1:53" ht="35.15" customHeight="1">
      <c r="A9" s="243">
        <f>A7+1</f>
        <v>2</v>
      </c>
      <c r="B9" s="272" t="s">
        <v>782</v>
      </c>
      <c r="C9" s="243" t="s">
        <v>776</v>
      </c>
      <c r="D9" s="313"/>
      <c r="E9" s="313"/>
      <c r="F9" s="246" t="s">
        <v>51</v>
      </c>
      <c r="G9" s="256">
        <v>12500</v>
      </c>
      <c r="H9" s="243" t="s">
        <v>319</v>
      </c>
      <c r="I9" s="243" t="s">
        <v>777</v>
      </c>
      <c r="J9" s="247">
        <v>6600</v>
      </c>
      <c r="K9" s="248">
        <v>0.85</v>
      </c>
      <c r="L9" s="248">
        <v>0.95</v>
      </c>
      <c r="M9" s="248">
        <f t="shared" si="1"/>
        <v>1151.0510477327057</v>
      </c>
      <c r="N9" s="248">
        <f t="shared" si="2"/>
        <v>0</v>
      </c>
      <c r="O9" s="250" t="str">
        <f t="shared" si="3"/>
        <v>0.00</v>
      </c>
      <c r="P9" s="248">
        <v>40</v>
      </c>
      <c r="Q9" s="248">
        <v>1</v>
      </c>
      <c r="R9" s="248">
        <f t="shared" si="4"/>
        <v>279.72027972027973</v>
      </c>
      <c r="S9" s="250" t="s">
        <v>131</v>
      </c>
      <c r="T9" s="248" t="s">
        <v>302</v>
      </c>
      <c r="U9" s="250">
        <v>185</v>
      </c>
      <c r="V9" s="249" t="str">
        <f t="shared" si="5"/>
        <v>3C X 185</v>
      </c>
      <c r="W9" s="249"/>
      <c r="X9" s="249" t="s">
        <v>778</v>
      </c>
      <c r="Y9" s="429" t="e">
        <f>IF(S9="AIR",VLOOKUP(V9,'Catalogue Aluminium'!#REF!,2,FALSE),IF(S9="GROUND",VLOOKUP(V9,'Catalogue Aluminium'!#REF!,3,FALSE),IF(S9="DUCT",VLOOKUP(V9,'Catalogue Aluminium'!#REF!,4,FALSE),IF(S9="TRENCH",VLOOKUP(V9,'Catalogue Aluminium'!#REF!,2,FALSE)))))</f>
        <v>#REF!</v>
      </c>
      <c r="Z9" s="430" t="e">
        <f>VLOOKUP(V9,'Catalogue Aluminium'!#REF!,5,FALSE)</f>
        <v>#REF!</v>
      </c>
      <c r="AA9" s="430" t="e">
        <f>VLOOKUP(V9,'Catalogue Aluminium'!#REF!,6,FALSE)</f>
        <v>#REF!</v>
      </c>
      <c r="AB9" s="252">
        <f>30+15</f>
        <v>45</v>
      </c>
      <c r="AC9" s="252">
        <f>(12+15+32+45+40+26+16)+20</f>
        <v>206</v>
      </c>
      <c r="AD9" s="252">
        <v>15</v>
      </c>
      <c r="AE9" s="253">
        <f t="shared" ref="AE9" si="30">SUM(AB9:AD9)</f>
        <v>266</v>
      </c>
      <c r="AF9" s="429" t="e">
        <f>IF(S9="AIR",'Catalogue Aluminium'!#REF!,IF(S9="TRENCH",'Catalogue Aluminium'!#REF!,"NA"))</f>
        <v>#REF!</v>
      </c>
      <c r="AG9" s="431" t="e">
        <f>IF(S9="Air",(IF(T9="1C",'Catalogue Aluminium'!#REF!,'Catalogue Aluminium'!#REF!)),IF(S9="DUCT",(IF($T9="1C",'Catalogue Aluminium'!#REF!,'Catalogue Aluminium'!#REF!)),IF(S9="GROUND",(IF($T9="1C",'Catalogue Aluminium'!#REF!,'Catalogue Aluminium'!#REF!)),IF(S9="TRENCH",(IF($T9="1C",'Catalogue Aluminium'!#REF!,'Catalogue Aluminium'!#REF!))))))</f>
        <v>#REF!</v>
      </c>
      <c r="AH9" s="429" t="e">
        <f>IF(S9="Air",'Catalogue Aluminium'!#REF!,IF(S9="GROUND",'Catalogue Aluminium'!#REF!,IF(S9="DUCT",'Catalogue Aluminium'!#REF!,IF(S9="TRENCH",'Catalogue Aluminium'!#REF!,"NA"))))</f>
        <v>#REF!</v>
      </c>
      <c r="AI9" s="429" t="e">
        <f>IF(S9="Air",(IF(T9="1C",'Catalogue Aluminium'!#REF!,'Catalogue Aluminium'!#REF!)),IF(S9="DUCT",(IF($T9="1C",'Catalogue Aluminium'!#REF!,'Catalogue Aluminium'!#REF!)),IF(S9="GROUND",(IF($T9="1C",'Catalogue Aluminium'!#REF!,'Catalogue Aluminium'!#REF!)),IF(S9="TRENCH",(IF($T9="1C",'Catalogue Aluminium'!#REF!,'Catalogue Aluminium'!#REF!))))))</f>
        <v>#REF!</v>
      </c>
      <c r="AJ9" s="429" t="str">
        <f>IF(S9="AIR","NA",IF(S9="TRENCH","NA",IF(S9="DUCT",IF(T9="1C",VLOOKUP(U9,'Catalogue Aluminium'!#REF!,2,FALSE),VLOOKUP(U9,'Catalogue Aluminium'!#REF!,3)),IF(S9="GROUND",IF(T9="1C",VLOOKUP(U9,'Catalogue Aluminium'!#REF!,2,FALSE),VLOOKUP(U9,'Catalogue Aluminium'!#REF!,3))))))</f>
        <v>NA</v>
      </c>
      <c r="AK9" s="254" t="e">
        <f t="shared" si="7"/>
        <v>#REF!</v>
      </c>
      <c r="AL9" s="248" t="e">
        <f t="shared" si="8"/>
        <v>#REF!</v>
      </c>
      <c r="AM9" s="432" t="e">
        <f>CEILING(((M9)/AL9),1)</f>
        <v>#REF!</v>
      </c>
      <c r="AN9" s="256" t="e">
        <f t="shared" ref="AN9:AN12" si="31">IF(AL9*AM9&gt;=M9,"YES","NO")</f>
        <v>#REF!</v>
      </c>
      <c r="AO9" s="433" t="e">
        <f t="shared" si="9"/>
        <v>#REF!</v>
      </c>
      <c r="AP9" s="434" t="e">
        <f t="shared" si="10"/>
        <v>#REF!</v>
      </c>
      <c r="AQ9" s="435" t="e">
        <f t="shared" si="11"/>
        <v>#REF!</v>
      </c>
      <c r="AR9" s="436" t="e">
        <f t="shared" si="12"/>
        <v>#REF!</v>
      </c>
      <c r="AS9" s="433" t="str">
        <f t="shared" si="13"/>
        <v>NA</v>
      </c>
      <c r="AT9" s="433" t="str">
        <f t="shared" si="14"/>
        <v>NA</v>
      </c>
      <c r="AU9" s="257" t="e">
        <f t="shared" si="15"/>
        <v>#REF!</v>
      </c>
      <c r="AV9" s="249" t="e">
        <f t="shared" ref="AV9:AV31" si="32">IF(T9="1C",(3*AE9*AM9),(AE9*AM9))</f>
        <v>#REF!</v>
      </c>
      <c r="AW9" s="261" t="e">
        <f t="shared" si="29"/>
        <v>#REF!</v>
      </c>
      <c r="AX9" s="254"/>
      <c r="AY9" s="437">
        <v>63</v>
      </c>
      <c r="AZ9" s="250" t="e">
        <f>AY9*AM9</f>
        <v>#REF!</v>
      </c>
      <c r="BA9" s="681"/>
    </row>
    <row r="10" spans="1:53" ht="35.15" customHeight="1">
      <c r="A10" s="243" t="s">
        <v>783</v>
      </c>
      <c r="B10" s="272" t="s">
        <v>784</v>
      </c>
      <c r="C10" s="243" t="s">
        <v>776</v>
      </c>
      <c r="D10" s="313"/>
      <c r="E10" s="313"/>
      <c r="F10" s="246" t="s">
        <v>51</v>
      </c>
      <c r="G10" s="256"/>
      <c r="H10" s="243" t="s">
        <v>319</v>
      </c>
      <c r="I10" s="243" t="s">
        <v>781</v>
      </c>
      <c r="J10" s="247">
        <v>6600</v>
      </c>
      <c r="K10" s="248">
        <v>0.85</v>
      </c>
      <c r="L10" s="248">
        <v>0.95</v>
      </c>
      <c r="M10" s="248">
        <v>400</v>
      </c>
      <c r="N10" s="248">
        <f t="shared" ref="N10" si="33">IF(F10="M",IF(G10&gt;=600,6*M10,IF(G10&lt;600,6*M10)),0)</f>
        <v>0</v>
      </c>
      <c r="O10" s="250" t="str">
        <f t="shared" ref="O10" si="34">IF(F10="M",0.2,"0.00")</f>
        <v>0.00</v>
      </c>
      <c r="P10" s="438">
        <v>0.3</v>
      </c>
      <c r="Q10" s="248">
        <v>10</v>
      </c>
      <c r="R10" s="248">
        <f t="shared" ref="R10" si="35">(P10*1000*SQRT(Q10)/143)</f>
        <v>6.6341489374161808</v>
      </c>
      <c r="S10" s="250" t="s">
        <v>131</v>
      </c>
      <c r="T10" s="248" t="s">
        <v>305</v>
      </c>
      <c r="U10" s="250">
        <v>185</v>
      </c>
      <c r="V10" s="249" t="str">
        <f t="shared" ref="V10" si="36">CONCATENATE(T10," X ",U10)</f>
        <v>1C X 185</v>
      </c>
      <c r="W10" s="249"/>
      <c r="X10" s="249" t="s">
        <v>778</v>
      </c>
      <c r="Y10" s="429" t="e">
        <f>IF(S10="AIR",VLOOKUP(V10,'Catalogue Aluminium'!#REF!,2,FALSE),IF(S10="GROUND",VLOOKUP(V10,'Catalogue Aluminium'!#REF!,3,FALSE),IF(S10="DUCT",VLOOKUP(V10,'Catalogue Aluminium'!#REF!,4,FALSE),IF(S10="TRENCH",VLOOKUP(V10,'Catalogue Aluminium'!#REF!,2,FALSE)))))</f>
        <v>#REF!</v>
      </c>
      <c r="Z10" s="430" t="e">
        <f>VLOOKUP(V10,'Catalogue Aluminium'!#REF!,5,FALSE)</f>
        <v>#REF!</v>
      </c>
      <c r="AA10" s="430" t="e">
        <f>VLOOKUP(V10,'Catalogue Aluminium'!#REF!,6,FALSE)</f>
        <v>#REF!</v>
      </c>
      <c r="AB10" s="252">
        <v>15</v>
      </c>
      <c r="AC10" s="252">
        <v>0</v>
      </c>
      <c r="AD10" s="252">
        <v>5</v>
      </c>
      <c r="AE10" s="253">
        <f t="shared" ref="AE10" si="37">SUM(AB10:AD10)</f>
        <v>20</v>
      </c>
      <c r="AF10" s="429" t="e">
        <f>IF(S10="AIR",'Catalogue Aluminium'!#REF!,IF(S10="TRENCH",'Catalogue Aluminium'!#REF!,"NA"))</f>
        <v>#REF!</v>
      </c>
      <c r="AG10" s="431" t="e">
        <f>IF(S10="Air",(IF(T10="1C",'Catalogue Aluminium'!#REF!,'Catalogue Aluminium'!#REF!)),IF(S10="DUCT",(IF($T10="1C",'Catalogue Aluminium'!#REF!,'Catalogue Aluminium'!#REF!)),IF(S10="GROUND",(IF($T10="1C",'Catalogue Aluminium'!#REF!,'Catalogue Aluminium'!#REF!)),IF(S10="TRENCH",(IF($T10="1C",'Catalogue Aluminium'!#REF!,'Catalogue Aluminium'!#REF!))))))</f>
        <v>#REF!</v>
      </c>
      <c r="AH10" s="429" t="e">
        <f>IF(S10="Air",'Catalogue Aluminium'!#REF!,IF(S10="GROUND",'Catalogue Aluminium'!#REF!,IF(S10="DUCT",'Catalogue Aluminium'!#REF!,IF(S10="TRENCH",'Catalogue Aluminium'!#REF!,"NA"))))</f>
        <v>#REF!</v>
      </c>
      <c r="AI10" s="429" t="e">
        <f>IF(S10="Air",(IF(T10="1C",'Catalogue Aluminium'!#REF!,'Catalogue Aluminium'!#REF!)),IF(S10="DUCT",(IF($T10="1C",'Catalogue Aluminium'!#REF!,'Catalogue Aluminium'!#REF!)),IF(S10="GROUND",(IF($T10="1C",'Catalogue Aluminium'!#REF!,'Catalogue Aluminium'!#REF!)),IF(S10="TRENCH",(IF($T10="1C",'Catalogue Aluminium'!#REF!,'Catalogue Aluminium'!#REF!))))))</f>
        <v>#REF!</v>
      </c>
      <c r="AJ10" s="429" t="str">
        <f>IF(S10="AIR","NA",IF(S10="TRENCH","NA",IF(S10="DUCT",IF(T10="1C",VLOOKUP(U10,'Catalogue Aluminium'!#REF!,2,FALSE),VLOOKUP(U10,'Catalogue Aluminium'!#REF!,3)),IF(S10="GROUND",IF(T10="1C",VLOOKUP(U10,'Catalogue Aluminium'!#REF!,2,FALSE),VLOOKUP(U10,'Catalogue Aluminium'!#REF!,3))))))</f>
        <v>NA</v>
      </c>
      <c r="AK10" s="254" t="e">
        <f t="shared" ref="AK10" si="38">IF(S10="AIR",AF10*AG10,IF(S10="TRENCH",AF10*AG10,IF(S10="DUCT",AG10*AH10*AI10*AJ10,IF(S10="GROUND",AG10*AH10*AI10*AJ10))))</f>
        <v>#REF!</v>
      </c>
      <c r="AL10" s="248" t="e">
        <f t="shared" ref="AL10" si="39">Y10*AK10</f>
        <v>#REF!</v>
      </c>
      <c r="AM10" s="432" t="e">
        <f>CEILING(((M10)/AL10),1)</f>
        <v>#REF!</v>
      </c>
      <c r="AN10" s="256" t="e">
        <f t="shared" ref="AN10" si="40">IF(AL10*AM10&gt;=M10,"YES","NO")</f>
        <v>#REF!</v>
      </c>
      <c r="AO10" s="433" t="e">
        <f t="shared" ref="AO10" si="41">SQRT(3)*AE10*M10*((Z10*K10)+(AA10*SIN(ACOS(K10))))*100/(AM10*J10*1000)</f>
        <v>#REF!</v>
      </c>
      <c r="AP10" s="434" t="e">
        <f t="shared" ref="AP10" si="42">IF(F10="I",(IF(AO10&lt;=2,"YES","NO")),IF(F10="P",(IF(AO10&lt;=2,"YES","NO")),IF(F10="M",(IF(AO10&lt;=3,"YES","NO")))))</f>
        <v>#REF!</v>
      </c>
      <c r="AQ10" s="435" t="e">
        <f t="shared" ref="AQ10" si="43">M10*((Z10*K10) + (AA10*SIN(ACOS(K10))))</f>
        <v>#REF!</v>
      </c>
      <c r="AR10" s="436" t="e">
        <f t="shared" ref="AR10" si="44">(5*1000*AM10*J10*10)/(AQ10)</f>
        <v>#REF!</v>
      </c>
      <c r="AS10" s="433" t="str">
        <f t="shared" ref="AS10" si="45">IF(F10="M",(SQRT(3)*AE10*N10*((Z10*K10)+(AA10*SIN(ACOS(K10))))*100/(AM10*J10*1000)),"NA")</f>
        <v>NA</v>
      </c>
      <c r="AT10" s="433" t="str">
        <f t="shared" ref="AT10" si="46">IF(F10="M",IF(AS10&lt;=10,"YES","NO"),"NA")</f>
        <v>NA</v>
      </c>
      <c r="AU10" s="257" t="e">
        <f t="shared" si="15"/>
        <v>#REF!</v>
      </c>
      <c r="AV10" s="249" t="e">
        <f>AE10*AM10</f>
        <v>#REF!</v>
      </c>
      <c r="AW10" s="261" t="e">
        <f t="shared" si="29"/>
        <v>#REF!</v>
      </c>
      <c r="AX10" s="254"/>
      <c r="AY10" s="437">
        <v>63</v>
      </c>
      <c r="AZ10" s="250" t="e">
        <f>AY10*AM10</f>
        <v>#REF!</v>
      </c>
      <c r="BA10" s="681"/>
    </row>
    <row r="11" spans="1:53" ht="35.15" customHeight="1">
      <c r="A11" s="243">
        <f>A9+1</f>
        <v>3</v>
      </c>
      <c r="B11" s="272" t="s">
        <v>785</v>
      </c>
      <c r="C11" s="243" t="s">
        <v>776</v>
      </c>
      <c r="D11" s="313"/>
      <c r="E11" s="313"/>
      <c r="F11" s="246" t="s">
        <v>51</v>
      </c>
      <c r="G11" s="256">
        <v>2000</v>
      </c>
      <c r="H11" s="243" t="s">
        <v>319</v>
      </c>
      <c r="I11" s="243" t="s">
        <v>777</v>
      </c>
      <c r="J11" s="247">
        <v>6600</v>
      </c>
      <c r="K11" s="248">
        <v>0.85</v>
      </c>
      <c r="L11" s="248">
        <v>0.95</v>
      </c>
      <c r="M11" s="248">
        <f t="shared" si="1"/>
        <v>184.16816763723293</v>
      </c>
      <c r="N11" s="248">
        <f t="shared" si="2"/>
        <v>0</v>
      </c>
      <c r="O11" s="250" t="str">
        <f t="shared" si="3"/>
        <v>0.00</v>
      </c>
      <c r="P11" s="248">
        <v>40</v>
      </c>
      <c r="Q11" s="248">
        <v>1</v>
      </c>
      <c r="R11" s="248">
        <f t="shared" si="4"/>
        <v>279.72027972027973</v>
      </c>
      <c r="S11" s="250" t="s">
        <v>131</v>
      </c>
      <c r="T11" s="248" t="s">
        <v>302</v>
      </c>
      <c r="U11" s="250">
        <v>150</v>
      </c>
      <c r="V11" s="249" t="str">
        <f t="shared" si="5"/>
        <v>3C X 150</v>
      </c>
      <c r="W11" s="249"/>
      <c r="X11" s="249" t="s">
        <v>778</v>
      </c>
      <c r="Y11" s="429" t="e">
        <f>IF(S11="AIR",VLOOKUP(V11,'Catalogue Aluminium'!#REF!,2,FALSE),IF(S11="GROUND",VLOOKUP(V11,'Catalogue Aluminium'!#REF!,3,FALSE),IF(S11="DUCT",VLOOKUP(V11,'Catalogue Aluminium'!#REF!,4,FALSE),IF(S11="TRENCH",VLOOKUP(V11,'Catalogue Aluminium'!#REF!,2,FALSE)))))</f>
        <v>#REF!</v>
      </c>
      <c r="Z11" s="430" t="e">
        <f>VLOOKUP(V11,'Catalogue Aluminium'!#REF!,5,FALSE)</f>
        <v>#REF!</v>
      </c>
      <c r="AA11" s="430" t="e">
        <f>VLOOKUP(V11,'Catalogue Aluminium'!#REF!,6,FALSE)</f>
        <v>#REF!</v>
      </c>
      <c r="AB11" s="252">
        <f t="shared" ref="AB11:AB14" si="47">30+15</f>
        <v>45</v>
      </c>
      <c r="AC11" s="252">
        <f>(12+15+40+58+40)+20</f>
        <v>185</v>
      </c>
      <c r="AD11" s="252">
        <v>15</v>
      </c>
      <c r="AE11" s="253">
        <f t="shared" ref="AE11:AE25" si="48">SUM(AB11:AD11)</f>
        <v>245</v>
      </c>
      <c r="AF11" s="429" t="e">
        <f>IF(S11="AIR",'Catalogue Aluminium'!#REF!,IF(S11="TRENCH",'Catalogue Aluminium'!#REF!,"NA"))</f>
        <v>#REF!</v>
      </c>
      <c r="AG11" s="431" t="e">
        <f>IF(S11="Air",(IF(T11="1C",'Catalogue Aluminium'!#REF!,'Catalogue Aluminium'!#REF!)),IF(S11="DUCT",(IF($T11="1C",'Catalogue Aluminium'!#REF!,'Catalogue Aluminium'!#REF!)),IF(S11="GROUND",(IF($T11="1C",'Catalogue Aluminium'!#REF!,'Catalogue Aluminium'!#REF!)),IF(S11="TRENCH",(IF($T11="1C",'Catalogue Aluminium'!#REF!,'Catalogue Aluminium'!#REF!))))))</f>
        <v>#REF!</v>
      </c>
      <c r="AH11" s="429" t="e">
        <f>IF(S11="Air",'Catalogue Aluminium'!#REF!,IF(S11="GROUND",'Catalogue Aluminium'!#REF!,IF(S11="DUCT",'Catalogue Aluminium'!#REF!,IF(S11="TRENCH",'Catalogue Aluminium'!#REF!,"NA"))))</f>
        <v>#REF!</v>
      </c>
      <c r="AI11" s="429" t="e">
        <f>IF(S11="Air",(IF(T11="1C",'Catalogue Aluminium'!#REF!,'Catalogue Aluminium'!#REF!)),IF(S11="DUCT",(IF($T11="1C",'Catalogue Aluminium'!#REF!,'Catalogue Aluminium'!#REF!)),IF(S11="GROUND",(IF($T11="1C",'Catalogue Aluminium'!#REF!,'Catalogue Aluminium'!#REF!)),IF(S11="TRENCH",(IF($T11="1C",'Catalogue Aluminium'!#REF!,'Catalogue Aluminium'!#REF!))))))</f>
        <v>#REF!</v>
      </c>
      <c r="AJ11" s="429" t="str">
        <f>IF(S11="AIR","NA",IF(S11="TRENCH","NA",IF(S11="DUCT",IF(T11="1C",VLOOKUP(U11,'Catalogue Aluminium'!#REF!,2,FALSE),VLOOKUP(U11,'Catalogue Aluminium'!#REF!,3)),IF(S11="GROUND",IF(T11="1C",VLOOKUP(U11,'Catalogue Aluminium'!#REF!,2,FALSE),VLOOKUP(U11,'Catalogue Aluminium'!#REF!,3))))))</f>
        <v>NA</v>
      </c>
      <c r="AK11" s="254" t="e">
        <f t="shared" si="7"/>
        <v>#REF!</v>
      </c>
      <c r="AL11" s="248" t="e">
        <f t="shared" si="8"/>
        <v>#REF!</v>
      </c>
      <c r="AM11" s="432">
        <v>2</v>
      </c>
      <c r="AN11" s="256" t="e">
        <f t="shared" si="31"/>
        <v>#REF!</v>
      </c>
      <c r="AO11" s="433" t="e">
        <f t="shared" si="9"/>
        <v>#REF!</v>
      </c>
      <c r="AP11" s="434" t="e">
        <f t="shared" si="10"/>
        <v>#REF!</v>
      </c>
      <c r="AQ11" s="435" t="e">
        <f t="shared" si="11"/>
        <v>#REF!</v>
      </c>
      <c r="AR11" s="436" t="e">
        <f t="shared" si="12"/>
        <v>#REF!</v>
      </c>
      <c r="AS11" s="433" t="str">
        <f t="shared" si="13"/>
        <v>NA</v>
      </c>
      <c r="AT11" s="433" t="str">
        <f t="shared" si="14"/>
        <v>NA</v>
      </c>
      <c r="AU11" s="257" t="str">
        <f t="shared" si="15"/>
        <v>2R x 0.6/1kV x 3C x 150 Sqmm</v>
      </c>
      <c r="AV11" s="249">
        <f t="shared" si="32"/>
        <v>490</v>
      </c>
      <c r="AW11" s="261">
        <f t="shared" si="29"/>
        <v>4</v>
      </c>
      <c r="AX11" s="254"/>
      <c r="AY11" s="437">
        <v>58</v>
      </c>
      <c r="AZ11" s="250">
        <f>AY11*AM11</f>
        <v>116</v>
      </c>
    </row>
    <row r="12" spans="1:53" ht="35.15" customHeight="1">
      <c r="A12" s="243">
        <f t="shared" ref="A12:A30" si="49">A11+1</f>
        <v>4</v>
      </c>
      <c r="B12" s="272" t="s">
        <v>786</v>
      </c>
      <c r="C12" s="243" t="s">
        <v>776</v>
      </c>
      <c r="D12" s="313"/>
      <c r="E12" s="313"/>
      <c r="F12" s="246" t="s">
        <v>51</v>
      </c>
      <c r="G12" s="256">
        <v>2000</v>
      </c>
      <c r="H12" s="243" t="s">
        <v>319</v>
      </c>
      <c r="I12" s="243" t="s">
        <v>777</v>
      </c>
      <c r="J12" s="247">
        <v>6600</v>
      </c>
      <c r="K12" s="248">
        <v>0.85</v>
      </c>
      <c r="L12" s="248">
        <v>0.95</v>
      </c>
      <c r="M12" s="248">
        <f t="shared" si="1"/>
        <v>184.16816763723293</v>
      </c>
      <c r="N12" s="248">
        <f t="shared" si="2"/>
        <v>0</v>
      </c>
      <c r="O12" s="250" t="str">
        <f t="shared" si="3"/>
        <v>0.00</v>
      </c>
      <c r="P12" s="248">
        <v>40</v>
      </c>
      <c r="Q12" s="248">
        <v>1</v>
      </c>
      <c r="R12" s="248">
        <f t="shared" si="4"/>
        <v>279.72027972027973</v>
      </c>
      <c r="S12" s="250" t="s">
        <v>131</v>
      </c>
      <c r="T12" s="248" t="s">
        <v>302</v>
      </c>
      <c r="U12" s="250">
        <v>150</v>
      </c>
      <c r="V12" s="249" t="str">
        <f t="shared" si="5"/>
        <v>3C X 150</v>
      </c>
      <c r="W12" s="249"/>
      <c r="X12" s="249" t="s">
        <v>778</v>
      </c>
      <c r="Y12" s="429" t="e">
        <f>IF(S12="AIR",VLOOKUP(V12,'Catalogue Aluminium'!#REF!,2,FALSE),IF(S12="GROUND",VLOOKUP(V12,'Catalogue Aluminium'!#REF!,3,FALSE),IF(S12="DUCT",VLOOKUP(V12,'Catalogue Aluminium'!#REF!,4,FALSE),IF(S12="TRENCH",VLOOKUP(V12,'Catalogue Aluminium'!#REF!,2,FALSE)))))</f>
        <v>#REF!</v>
      </c>
      <c r="Z12" s="430" t="e">
        <f>VLOOKUP(V12,'Catalogue Aluminium'!#REF!,5,FALSE)</f>
        <v>#REF!</v>
      </c>
      <c r="AA12" s="430" t="e">
        <f>VLOOKUP(V12,'Catalogue Aluminium'!#REF!,6,FALSE)</f>
        <v>#REF!</v>
      </c>
      <c r="AB12" s="252">
        <f t="shared" si="47"/>
        <v>45</v>
      </c>
      <c r="AC12" s="252">
        <f>(12+15+40+58+40)+20</f>
        <v>185</v>
      </c>
      <c r="AD12" s="252">
        <v>15</v>
      </c>
      <c r="AE12" s="253">
        <f t="shared" si="48"/>
        <v>245</v>
      </c>
      <c r="AF12" s="429" t="e">
        <f>IF(S12="AIR",'Catalogue Aluminium'!#REF!,IF(S12="TRENCH",'Catalogue Aluminium'!#REF!,"NA"))</f>
        <v>#REF!</v>
      </c>
      <c r="AG12" s="431" t="e">
        <f>IF(S12="Air",(IF(T12="1C",'Catalogue Aluminium'!#REF!,'Catalogue Aluminium'!#REF!)),IF(S12="DUCT",(IF($T12="1C",'Catalogue Aluminium'!#REF!,'Catalogue Aluminium'!#REF!)),IF(S12="GROUND",(IF($T12="1C",'Catalogue Aluminium'!#REF!,'Catalogue Aluminium'!#REF!)),IF(S12="TRENCH",(IF($T12="1C",'Catalogue Aluminium'!#REF!,'Catalogue Aluminium'!#REF!))))))</f>
        <v>#REF!</v>
      </c>
      <c r="AH12" s="429" t="e">
        <f>IF(S12="Air",'Catalogue Aluminium'!#REF!,IF(S12="GROUND",'Catalogue Aluminium'!#REF!,IF(S12="DUCT",'Catalogue Aluminium'!#REF!,IF(S12="TRENCH",'Catalogue Aluminium'!#REF!,"NA"))))</f>
        <v>#REF!</v>
      </c>
      <c r="AI12" s="429" t="e">
        <f>IF(S12="Air",(IF(T12="1C",'Catalogue Aluminium'!#REF!,'Catalogue Aluminium'!#REF!)),IF(S12="DUCT",(IF($T12="1C",'Catalogue Aluminium'!#REF!,'Catalogue Aluminium'!#REF!)),IF(S12="GROUND",(IF($T12="1C",'Catalogue Aluminium'!#REF!,'Catalogue Aluminium'!#REF!)),IF(S12="TRENCH",(IF($T12="1C",'Catalogue Aluminium'!#REF!,'Catalogue Aluminium'!#REF!))))))</f>
        <v>#REF!</v>
      </c>
      <c r="AJ12" s="429" t="str">
        <f>IF(S12="AIR","NA",IF(S12="TRENCH","NA",IF(S12="DUCT",IF(T12="1C",VLOOKUP(U12,'Catalogue Aluminium'!#REF!,2,FALSE),VLOOKUP(U12,'Catalogue Aluminium'!#REF!,3)),IF(S12="GROUND",IF(T12="1C",VLOOKUP(U12,'Catalogue Aluminium'!#REF!,2,FALSE),VLOOKUP(U12,'Catalogue Aluminium'!#REF!,3))))))</f>
        <v>NA</v>
      </c>
      <c r="AK12" s="254" t="e">
        <f t="shared" si="7"/>
        <v>#REF!</v>
      </c>
      <c r="AL12" s="248" t="e">
        <f t="shared" si="8"/>
        <v>#REF!</v>
      </c>
      <c r="AM12" s="432">
        <v>2</v>
      </c>
      <c r="AN12" s="256" t="e">
        <f t="shared" si="31"/>
        <v>#REF!</v>
      </c>
      <c r="AO12" s="433" t="e">
        <f t="shared" si="9"/>
        <v>#REF!</v>
      </c>
      <c r="AP12" s="434" t="e">
        <f t="shared" si="10"/>
        <v>#REF!</v>
      </c>
      <c r="AQ12" s="435" t="e">
        <f t="shared" si="11"/>
        <v>#REF!</v>
      </c>
      <c r="AR12" s="436" t="e">
        <f t="shared" si="12"/>
        <v>#REF!</v>
      </c>
      <c r="AS12" s="433" t="str">
        <f t="shared" si="13"/>
        <v>NA</v>
      </c>
      <c r="AT12" s="433" t="str">
        <f t="shared" si="14"/>
        <v>NA</v>
      </c>
      <c r="AU12" s="257" t="str">
        <f t="shared" si="15"/>
        <v>2R x 0.6/1kV x 3C x 150 Sqmm</v>
      </c>
      <c r="AV12" s="249">
        <f t="shared" si="32"/>
        <v>490</v>
      </c>
      <c r="AW12" s="261">
        <f t="shared" si="29"/>
        <v>4</v>
      </c>
      <c r="AX12" s="254"/>
      <c r="AY12" s="437">
        <v>58</v>
      </c>
      <c r="AZ12" s="250">
        <f t="shared" ref="AZ12:AZ14" si="50">AY12*AM12</f>
        <v>116</v>
      </c>
    </row>
    <row r="13" spans="1:53" ht="35.15" customHeight="1">
      <c r="A13" s="243">
        <f t="shared" si="49"/>
        <v>5</v>
      </c>
      <c r="B13" s="272" t="s">
        <v>787</v>
      </c>
      <c r="C13" s="243" t="s">
        <v>776</v>
      </c>
      <c r="D13" s="313"/>
      <c r="E13" s="313"/>
      <c r="F13" s="246" t="s">
        <v>51</v>
      </c>
      <c r="G13" s="256">
        <v>2000</v>
      </c>
      <c r="H13" s="243" t="s">
        <v>319</v>
      </c>
      <c r="I13" s="243" t="s">
        <v>777</v>
      </c>
      <c r="J13" s="247">
        <v>6600</v>
      </c>
      <c r="K13" s="248">
        <v>0.85</v>
      </c>
      <c r="L13" s="248">
        <v>0.95</v>
      </c>
      <c r="M13" s="248">
        <f t="shared" si="1"/>
        <v>184.16816763723293</v>
      </c>
      <c r="N13" s="248">
        <f t="shared" si="2"/>
        <v>0</v>
      </c>
      <c r="O13" s="250" t="s">
        <v>788</v>
      </c>
      <c r="P13" s="248">
        <v>40</v>
      </c>
      <c r="Q13" s="248">
        <v>1</v>
      </c>
      <c r="R13" s="248">
        <v>111.88811188811189</v>
      </c>
      <c r="S13" s="250" t="s">
        <v>131</v>
      </c>
      <c r="T13" s="248" t="s">
        <v>302</v>
      </c>
      <c r="U13" s="250">
        <v>150</v>
      </c>
      <c r="V13" s="249" t="s">
        <v>171</v>
      </c>
      <c r="W13" s="249"/>
      <c r="X13" s="249" t="s">
        <v>778</v>
      </c>
      <c r="Y13" s="429">
        <v>453</v>
      </c>
      <c r="Z13" s="430">
        <v>0.128</v>
      </c>
      <c r="AA13" s="430">
        <v>8.4000000000000005E-2</v>
      </c>
      <c r="AB13" s="252">
        <f t="shared" si="47"/>
        <v>45</v>
      </c>
      <c r="AC13" s="252">
        <f>(12+15+40+58+40)+20</f>
        <v>185</v>
      </c>
      <c r="AD13" s="252">
        <v>15</v>
      </c>
      <c r="AE13" s="253">
        <f t="shared" si="48"/>
        <v>245</v>
      </c>
      <c r="AF13" s="429">
        <v>0.91</v>
      </c>
      <c r="AG13" s="431">
        <v>0.97</v>
      </c>
      <c r="AH13" s="429" t="s">
        <v>132</v>
      </c>
      <c r="AI13" s="429" t="s">
        <v>132</v>
      </c>
      <c r="AJ13" s="429" t="s">
        <v>132</v>
      </c>
      <c r="AK13" s="254">
        <v>0.88270000000000004</v>
      </c>
      <c r="AL13" s="248">
        <v>399.86310000000003</v>
      </c>
      <c r="AM13" s="432">
        <v>2</v>
      </c>
      <c r="AN13" s="256" t="s">
        <v>789</v>
      </c>
      <c r="AO13" s="433">
        <f t="shared" si="9"/>
        <v>9.0614971914335721E-2</v>
      </c>
      <c r="AP13" s="434" t="str">
        <f t="shared" si="10"/>
        <v>YES</v>
      </c>
      <c r="AQ13" s="435">
        <f t="shared" si="11"/>
        <v>28.186891234328488</v>
      </c>
      <c r="AR13" s="436">
        <f t="shared" si="12"/>
        <v>23415139.843311053</v>
      </c>
      <c r="AS13" s="433" t="str">
        <f t="shared" si="13"/>
        <v>NA</v>
      </c>
      <c r="AT13" s="433" t="str">
        <f t="shared" si="14"/>
        <v>NA</v>
      </c>
      <c r="AU13" s="257" t="str">
        <f t="shared" ref="AU13:AU31" si="51">IF(T13="1C",CONCATENATE(AM13,"R x ",X13,"kV x ",T13," x ",U13," Sqmm/Phase"),CONCATENATE(AM13,"R x ",0.6,"/1kV x ",T13," x ",U13," Sqmm"))</f>
        <v>2R x 0.6/1kV x 3C x 150 Sqmm</v>
      </c>
      <c r="AV13" s="249">
        <f t="shared" si="32"/>
        <v>490</v>
      </c>
      <c r="AW13" s="261">
        <f t="shared" si="29"/>
        <v>4</v>
      </c>
      <c r="AX13" s="254"/>
      <c r="AY13" s="437">
        <v>58</v>
      </c>
      <c r="AZ13" s="250">
        <f t="shared" si="50"/>
        <v>116</v>
      </c>
    </row>
    <row r="14" spans="1:53" ht="35.15" customHeight="1">
      <c r="A14" s="243">
        <f t="shared" si="49"/>
        <v>6</v>
      </c>
      <c r="B14" s="272" t="s">
        <v>790</v>
      </c>
      <c r="C14" s="243" t="s">
        <v>776</v>
      </c>
      <c r="D14" s="313"/>
      <c r="E14" s="313"/>
      <c r="F14" s="246" t="s">
        <v>51</v>
      </c>
      <c r="G14" s="256">
        <v>2000</v>
      </c>
      <c r="H14" s="243" t="s">
        <v>319</v>
      </c>
      <c r="I14" s="243" t="s">
        <v>777</v>
      </c>
      <c r="J14" s="247">
        <v>6600</v>
      </c>
      <c r="K14" s="248">
        <v>0.85</v>
      </c>
      <c r="L14" s="248">
        <v>0.95</v>
      </c>
      <c r="M14" s="248">
        <f t="shared" si="1"/>
        <v>184.16816763723293</v>
      </c>
      <c r="N14" s="248">
        <f t="shared" si="2"/>
        <v>0</v>
      </c>
      <c r="O14" s="250" t="s">
        <v>788</v>
      </c>
      <c r="P14" s="248">
        <v>40</v>
      </c>
      <c r="Q14" s="248">
        <v>1</v>
      </c>
      <c r="R14" s="248">
        <v>111.88811188811189</v>
      </c>
      <c r="S14" s="250" t="s">
        <v>131</v>
      </c>
      <c r="T14" s="248" t="s">
        <v>302</v>
      </c>
      <c r="U14" s="250">
        <v>150</v>
      </c>
      <c r="V14" s="249" t="s">
        <v>171</v>
      </c>
      <c r="W14" s="249"/>
      <c r="X14" s="249" t="s">
        <v>778</v>
      </c>
      <c r="Y14" s="429">
        <v>453</v>
      </c>
      <c r="Z14" s="430">
        <v>0.128</v>
      </c>
      <c r="AA14" s="430">
        <v>8.4000000000000005E-2</v>
      </c>
      <c r="AB14" s="252">
        <f t="shared" si="47"/>
        <v>45</v>
      </c>
      <c r="AC14" s="252">
        <f>(12+15+40+58+40)+20</f>
        <v>185</v>
      </c>
      <c r="AD14" s="252">
        <v>15</v>
      </c>
      <c r="AE14" s="253">
        <f t="shared" si="48"/>
        <v>245</v>
      </c>
      <c r="AF14" s="429">
        <v>0.91</v>
      </c>
      <c r="AG14" s="431">
        <v>0.97</v>
      </c>
      <c r="AH14" s="429" t="s">
        <v>132</v>
      </c>
      <c r="AI14" s="429" t="s">
        <v>132</v>
      </c>
      <c r="AJ14" s="429" t="s">
        <v>132</v>
      </c>
      <c r="AK14" s="254">
        <v>0.88270000000000004</v>
      </c>
      <c r="AL14" s="248">
        <v>399.86310000000003</v>
      </c>
      <c r="AM14" s="432">
        <v>2</v>
      </c>
      <c r="AN14" s="256" t="s">
        <v>789</v>
      </c>
      <c r="AO14" s="433">
        <f t="shared" si="9"/>
        <v>9.0614971914335721E-2</v>
      </c>
      <c r="AP14" s="434" t="str">
        <f t="shared" si="10"/>
        <v>YES</v>
      </c>
      <c r="AQ14" s="435">
        <f t="shared" si="11"/>
        <v>28.186891234328488</v>
      </c>
      <c r="AR14" s="436">
        <f t="shared" si="12"/>
        <v>23415139.843311053</v>
      </c>
      <c r="AS14" s="433" t="str">
        <f t="shared" si="13"/>
        <v>NA</v>
      </c>
      <c r="AT14" s="433" t="str">
        <f t="shared" si="14"/>
        <v>NA</v>
      </c>
      <c r="AU14" s="257" t="str">
        <f t="shared" si="51"/>
        <v>2R x 0.6/1kV x 3C x 150 Sqmm</v>
      </c>
      <c r="AV14" s="249">
        <f t="shared" si="32"/>
        <v>490</v>
      </c>
      <c r="AW14" s="261">
        <f t="shared" si="29"/>
        <v>4</v>
      </c>
      <c r="AX14" s="254"/>
      <c r="AY14" s="437">
        <v>58</v>
      </c>
      <c r="AZ14" s="250">
        <f t="shared" si="50"/>
        <v>116</v>
      </c>
    </row>
    <row r="15" spans="1:53" ht="35.15" customHeight="1">
      <c r="A15" s="243">
        <f t="shared" si="49"/>
        <v>7</v>
      </c>
      <c r="B15" s="272" t="s">
        <v>791</v>
      </c>
      <c r="C15" s="243" t="s">
        <v>776</v>
      </c>
      <c r="D15" s="313"/>
      <c r="E15" s="313"/>
      <c r="F15" s="246" t="s">
        <v>66</v>
      </c>
      <c r="G15" s="256">
        <v>1250</v>
      </c>
      <c r="H15" s="243" t="s">
        <v>319</v>
      </c>
      <c r="I15" s="243" t="s">
        <v>777</v>
      </c>
      <c r="J15" s="247">
        <v>6600</v>
      </c>
      <c r="K15" s="248">
        <v>0.85</v>
      </c>
      <c r="L15" s="248">
        <v>0.95</v>
      </c>
      <c r="M15" s="248">
        <f t="shared" si="1"/>
        <v>115.10510477327057</v>
      </c>
      <c r="N15" s="248">
        <f t="shared" si="2"/>
        <v>0</v>
      </c>
      <c r="O15" s="250" t="str">
        <f t="shared" ref="O15:O25" si="52">IF(F15="M",0.2,"0.00")</f>
        <v>0.00</v>
      </c>
      <c r="P15" s="248">
        <v>40</v>
      </c>
      <c r="Q15" s="248">
        <v>0.16</v>
      </c>
      <c r="R15" s="248">
        <f t="shared" ref="R15:R25" si="53">(P15*1000*SQRT(Q15)/143)</f>
        <v>111.88811188811189</v>
      </c>
      <c r="S15" s="250" t="s">
        <v>131</v>
      </c>
      <c r="T15" s="248" t="s">
        <v>302</v>
      </c>
      <c r="U15" s="250">
        <v>120</v>
      </c>
      <c r="V15" s="249" t="str">
        <f t="shared" ref="V15:V25" si="54">CONCATENATE(T15," X ",U15)</f>
        <v>3C X 120</v>
      </c>
      <c r="W15" s="249"/>
      <c r="X15" s="249" t="s">
        <v>778</v>
      </c>
      <c r="Y15" s="429" t="e">
        <f>IF(S15="AIR",VLOOKUP(V15,'Catalogue Aluminium'!#REF!,2,FALSE),IF(S15="GROUND",VLOOKUP(V15,'Catalogue Aluminium'!#REF!,3,FALSE),IF(S15="DUCT",VLOOKUP(V15,'Catalogue Aluminium'!#REF!,4,FALSE),IF(S15="TRENCH",VLOOKUP(V15,'Catalogue Aluminium'!#REF!,2,FALSE)))))</f>
        <v>#REF!</v>
      </c>
      <c r="Z15" s="430" t="e">
        <f>VLOOKUP(V15,'Catalogue Aluminium'!#REF!,5,FALSE)</f>
        <v>#REF!</v>
      </c>
      <c r="AA15" s="430" t="e">
        <f>VLOOKUP(V15,'Catalogue Aluminium'!#REF!,6,FALSE)</f>
        <v>#REF!</v>
      </c>
      <c r="AB15" s="252">
        <v>15</v>
      </c>
      <c r="AC15" s="252">
        <v>0</v>
      </c>
      <c r="AD15" s="252">
        <v>10</v>
      </c>
      <c r="AE15" s="253">
        <f t="shared" si="48"/>
        <v>25</v>
      </c>
      <c r="AF15" s="429" t="e">
        <f>IF(S15="AIR",'Catalogue Aluminium'!#REF!,IF(S15="TRENCH",'Catalogue Aluminium'!#REF!,"NA"))</f>
        <v>#REF!</v>
      </c>
      <c r="AG15" s="431" t="e">
        <f>IF(S15="Air",(IF(T15="1C",'Catalogue Aluminium'!#REF!,'Catalogue Aluminium'!#REF!)),IF(S15="DUCT",(IF($T15="1C",'Catalogue Aluminium'!#REF!,'Catalogue Aluminium'!#REF!)),IF(S15="GROUND",(IF($T15="1C",'Catalogue Aluminium'!#REF!,'Catalogue Aluminium'!#REF!)),IF(S15="TRENCH",(IF($T15="1C",'Catalogue Aluminium'!#REF!,'Catalogue Aluminium'!#REF!))))))</f>
        <v>#REF!</v>
      </c>
      <c r="AH15" s="429" t="e">
        <f>IF(S15="Air",'Catalogue Aluminium'!#REF!,IF(S15="GROUND",'Catalogue Aluminium'!#REF!,IF(S15="DUCT",'Catalogue Aluminium'!#REF!,IF(S15="TRENCH",'Catalogue Aluminium'!#REF!,"NA"))))</f>
        <v>#REF!</v>
      </c>
      <c r="AI15" s="429" t="e">
        <f>IF(S15="Air",(IF(T15="1C",'Catalogue Aluminium'!#REF!,'Catalogue Aluminium'!#REF!)),IF(S15="DUCT",(IF($T15="1C",'Catalogue Aluminium'!#REF!,'Catalogue Aluminium'!#REF!)),IF(S15="GROUND",(IF($T15="1C",'Catalogue Aluminium'!#REF!,'Catalogue Aluminium'!#REF!)),IF(S15="TRENCH",(IF($T15="1C",'Catalogue Aluminium'!#REF!,'Catalogue Aluminium'!#REF!))))))</f>
        <v>#REF!</v>
      </c>
      <c r="AJ15" s="429" t="str">
        <f>IF(S15="AIR","NA",IF(S15="TRENCH","NA",IF(S15="DUCT",IF(T15="1C",VLOOKUP(U15,'Catalogue Aluminium'!#REF!,2,FALSE),VLOOKUP(U15,'Catalogue Aluminium'!#REF!,3)),IF(S15="GROUND",IF(T15="1C",VLOOKUP(U15,'Catalogue Aluminium'!#REF!,2,FALSE),VLOOKUP(U15,'Catalogue Aluminium'!#REF!,3))))))</f>
        <v>NA</v>
      </c>
      <c r="AK15" s="254" t="e">
        <f t="shared" ref="AK15:AK25" si="55">IF(S15="AIR",AF15*AG15,IF(S15="TRENCH",AF15*AG15,IF(S15="DUCT",AG15*AH15*AI15*AJ15,IF(S15="GROUND",AG15*AH15*AI15*AJ15))))</f>
        <v>#REF!</v>
      </c>
      <c r="AL15" s="248" t="e">
        <f t="shared" ref="AL15:AL25" si="56">Y15*AK15</f>
        <v>#REF!</v>
      </c>
      <c r="AM15" s="432" t="e">
        <f t="shared" ref="AM15:AM30" si="57">CEILING(((M15)/AL15),1)</f>
        <v>#REF!</v>
      </c>
      <c r="AN15" s="256" t="e">
        <f t="shared" ref="AN15:AN25" si="58">IF(AL15*AM15&gt;=M15,"YES","NO")</f>
        <v>#REF!</v>
      </c>
      <c r="AO15" s="433" t="e">
        <f t="shared" si="9"/>
        <v>#REF!</v>
      </c>
      <c r="AP15" s="434" t="e">
        <f t="shared" si="10"/>
        <v>#REF!</v>
      </c>
      <c r="AQ15" s="435" t="e">
        <f t="shared" si="11"/>
        <v>#REF!</v>
      </c>
      <c r="AR15" s="436" t="e">
        <f t="shared" si="12"/>
        <v>#REF!</v>
      </c>
      <c r="AS15" s="433" t="str">
        <f t="shared" si="13"/>
        <v>NA</v>
      </c>
      <c r="AT15" s="433" t="str">
        <f t="shared" si="14"/>
        <v>NA</v>
      </c>
      <c r="AU15" s="257" t="e">
        <f t="shared" si="51"/>
        <v>#REF!</v>
      </c>
      <c r="AV15" s="249" t="e">
        <f>IF(T15="1C",(3*AE15*AM15),(AE15*AM15))</f>
        <v>#REF!</v>
      </c>
      <c r="AW15" s="261" t="e">
        <f t="shared" si="29"/>
        <v>#REF!</v>
      </c>
      <c r="AX15" s="254"/>
      <c r="AY15" s="437">
        <v>56</v>
      </c>
      <c r="AZ15" s="250" t="e">
        <f>AM15*AY15</f>
        <v>#REF!</v>
      </c>
    </row>
    <row r="16" spans="1:53" ht="35.15" customHeight="1">
      <c r="A16" s="243">
        <f t="shared" si="49"/>
        <v>8</v>
      </c>
      <c r="B16" s="272" t="s">
        <v>792</v>
      </c>
      <c r="C16" s="243" t="s">
        <v>776</v>
      </c>
      <c r="D16" s="313"/>
      <c r="E16" s="313"/>
      <c r="F16" s="246" t="s">
        <v>66</v>
      </c>
      <c r="G16" s="256">
        <v>1250</v>
      </c>
      <c r="H16" s="243" t="s">
        <v>319</v>
      </c>
      <c r="I16" s="243" t="s">
        <v>777</v>
      </c>
      <c r="J16" s="247">
        <v>6600</v>
      </c>
      <c r="K16" s="248">
        <v>0.85</v>
      </c>
      <c r="L16" s="248">
        <v>0.95</v>
      </c>
      <c r="M16" s="248">
        <f t="shared" ref="M16" si="59">IF(H16="kVA",IF(I16="3Phase",(G16*1000/(1.732*L16*J16)),(G16*1000/(L16*J16))),IF(H16="kW",IF(I16="3Phase",(G16*1000/(1.732*L16*J16*K16)),(G16*1000/(L16*J16*K16)))))</f>
        <v>115.10510477327057</v>
      </c>
      <c r="N16" s="248">
        <f t="shared" ref="N16" si="60">IF(F16="M",IF(G16&gt;=600,6*M16,IF(G16&lt;600,6*M16)),0)</f>
        <v>0</v>
      </c>
      <c r="O16" s="250" t="str">
        <f t="shared" si="52"/>
        <v>0.00</v>
      </c>
      <c r="P16" s="248">
        <v>40</v>
      </c>
      <c r="Q16" s="248">
        <v>0.16</v>
      </c>
      <c r="R16" s="248">
        <f t="shared" si="53"/>
        <v>111.88811188811189</v>
      </c>
      <c r="S16" s="250" t="s">
        <v>131</v>
      </c>
      <c r="T16" s="248" t="s">
        <v>302</v>
      </c>
      <c r="U16" s="250">
        <v>120</v>
      </c>
      <c r="V16" s="249" t="str">
        <f t="shared" si="54"/>
        <v>3C X 120</v>
      </c>
      <c r="W16" s="249"/>
      <c r="X16" s="249" t="s">
        <v>778</v>
      </c>
      <c r="Y16" s="429" t="e">
        <f>IF(S16="AIR",VLOOKUP(V16,'Catalogue Aluminium'!#REF!,2,FALSE),IF(S16="GROUND",VLOOKUP(V16,'Catalogue Aluminium'!#REF!,3,FALSE),IF(S16="DUCT",VLOOKUP(V16,'Catalogue Aluminium'!#REF!,4,FALSE),IF(S16="TRENCH",VLOOKUP(V16,'Catalogue Aluminium'!#REF!,2,FALSE)))))</f>
        <v>#REF!</v>
      </c>
      <c r="Z16" s="430" t="e">
        <f>VLOOKUP(V16,'Catalogue Aluminium'!#REF!,5,FALSE)</f>
        <v>#REF!</v>
      </c>
      <c r="AA16" s="430" t="e">
        <f>VLOOKUP(V16,'Catalogue Aluminium'!#REF!,6,FALSE)</f>
        <v>#REF!</v>
      </c>
      <c r="AB16" s="252">
        <v>15</v>
      </c>
      <c r="AC16" s="252">
        <v>0</v>
      </c>
      <c r="AD16" s="252">
        <v>10</v>
      </c>
      <c r="AE16" s="253">
        <f t="shared" si="48"/>
        <v>25</v>
      </c>
      <c r="AF16" s="429" t="e">
        <f>IF(S16="AIR",'Catalogue Aluminium'!#REF!,IF(S16="TRENCH",'Catalogue Aluminium'!#REF!,"NA"))</f>
        <v>#REF!</v>
      </c>
      <c r="AG16" s="431" t="e">
        <f>IF(S16="Air",(IF(T16="1C",'Catalogue Aluminium'!#REF!,'Catalogue Aluminium'!#REF!)),IF(S16="DUCT",(IF($T16="1C",'Catalogue Aluminium'!#REF!,'Catalogue Aluminium'!#REF!)),IF(S16="GROUND",(IF($T16="1C",'Catalogue Aluminium'!#REF!,'Catalogue Aluminium'!#REF!)),IF(S16="TRENCH",(IF($T16="1C",'Catalogue Aluminium'!#REF!,'Catalogue Aluminium'!#REF!))))))</f>
        <v>#REF!</v>
      </c>
      <c r="AH16" s="429" t="e">
        <f>IF(S16="Air",'Catalogue Aluminium'!#REF!,IF(S16="GROUND",'Catalogue Aluminium'!#REF!,IF(S16="DUCT",'Catalogue Aluminium'!#REF!,IF(S16="TRENCH",'Catalogue Aluminium'!#REF!,"NA"))))</f>
        <v>#REF!</v>
      </c>
      <c r="AI16" s="429" t="e">
        <f>IF(S16="Air",(IF(T16="1C",'Catalogue Aluminium'!#REF!,'Catalogue Aluminium'!#REF!)),IF(S16="DUCT",(IF($T16="1C",'Catalogue Aluminium'!#REF!,'Catalogue Aluminium'!#REF!)),IF(S16="GROUND",(IF($T16="1C",'Catalogue Aluminium'!#REF!,'Catalogue Aluminium'!#REF!)),IF(S16="TRENCH",(IF($T16="1C",'Catalogue Aluminium'!#REF!,'Catalogue Aluminium'!#REF!))))))</f>
        <v>#REF!</v>
      </c>
      <c r="AJ16" s="429" t="str">
        <f>IF(S16="AIR","NA",IF(S16="TRENCH","NA",IF(S16="DUCT",IF(T16="1C",VLOOKUP(U16,'Catalogue Aluminium'!#REF!,2,FALSE),VLOOKUP(U16,'Catalogue Aluminium'!#REF!,3)),IF(S16="GROUND",IF(T16="1C",VLOOKUP(U16,'Catalogue Aluminium'!#REF!,2,FALSE),VLOOKUP(U16,'Catalogue Aluminium'!#REF!,3))))))</f>
        <v>NA</v>
      </c>
      <c r="AK16" s="254" t="e">
        <f t="shared" si="55"/>
        <v>#REF!</v>
      </c>
      <c r="AL16" s="248" t="e">
        <f t="shared" si="56"/>
        <v>#REF!</v>
      </c>
      <c r="AM16" s="432" t="e">
        <f t="shared" si="57"/>
        <v>#REF!</v>
      </c>
      <c r="AN16" s="256" t="e">
        <f t="shared" si="58"/>
        <v>#REF!</v>
      </c>
      <c r="AO16" s="433" t="e">
        <f t="shared" si="9"/>
        <v>#REF!</v>
      </c>
      <c r="AP16" s="434" t="e">
        <f t="shared" si="10"/>
        <v>#REF!</v>
      </c>
      <c r="AQ16" s="435" t="e">
        <f t="shared" si="11"/>
        <v>#REF!</v>
      </c>
      <c r="AR16" s="436" t="e">
        <f t="shared" si="12"/>
        <v>#REF!</v>
      </c>
      <c r="AS16" s="433" t="str">
        <f t="shared" si="13"/>
        <v>NA</v>
      </c>
      <c r="AT16" s="433" t="str">
        <f t="shared" si="14"/>
        <v>NA</v>
      </c>
      <c r="AU16" s="257" t="e">
        <f t="shared" si="51"/>
        <v>#REF!</v>
      </c>
      <c r="AV16" s="249" t="e">
        <f t="shared" si="32"/>
        <v>#REF!</v>
      </c>
      <c r="AW16" s="261" t="e">
        <f t="shared" si="29"/>
        <v>#REF!</v>
      </c>
      <c r="AX16" s="254"/>
      <c r="AY16" s="437">
        <v>56</v>
      </c>
      <c r="AZ16" s="250" t="e">
        <f t="shared" ref="AZ16:AZ31" si="61">AM16*AY16</f>
        <v>#REF!</v>
      </c>
    </row>
    <row r="17" spans="1:53" ht="35.15" customHeight="1">
      <c r="A17" s="243">
        <f t="shared" si="49"/>
        <v>9</v>
      </c>
      <c r="B17" s="272" t="s">
        <v>793</v>
      </c>
      <c r="C17" s="243" t="s">
        <v>776</v>
      </c>
      <c r="D17" s="313"/>
      <c r="E17" s="313"/>
      <c r="F17" s="246" t="s">
        <v>66</v>
      </c>
      <c r="G17" s="256">
        <v>1250</v>
      </c>
      <c r="H17" s="243" t="s">
        <v>319</v>
      </c>
      <c r="I17" s="243" t="s">
        <v>777</v>
      </c>
      <c r="J17" s="247">
        <v>6600</v>
      </c>
      <c r="K17" s="248">
        <v>0.85</v>
      </c>
      <c r="L17" s="248">
        <v>0.95</v>
      </c>
      <c r="M17" s="248">
        <f t="shared" si="1"/>
        <v>115.10510477327057</v>
      </c>
      <c r="N17" s="248">
        <f t="shared" si="2"/>
        <v>0</v>
      </c>
      <c r="O17" s="250" t="str">
        <f t="shared" si="52"/>
        <v>0.00</v>
      </c>
      <c r="P17" s="248">
        <v>40</v>
      </c>
      <c r="Q17" s="248">
        <v>0.16</v>
      </c>
      <c r="R17" s="248">
        <f t="shared" si="53"/>
        <v>111.88811188811189</v>
      </c>
      <c r="S17" s="250" t="s">
        <v>131</v>
      </c>
      <c r="T17" s="248" t="s">
        <v>302</v>
      </c>
      <c r="U17" s="250">
        <v>120</v>
      </c>
      <c r="V17" s="249" t="str">
        <f t="shared" si="54"/>
        <v>3C X 120</v>
      </c>
      <c r="W17" s="249"/>
      <c r="X17" s="249" t="s">
        <v>778</v>
      </c>
      <c r="Y17" s="429" t="e">
        <f>IF(S17="AIR",VLOOKUP(V17,'Catalogue Aluminium'!#REF!,2,FALSE),IF(S17="GROUND",VLOOKUP(V17,'Catalogue Aluminium'!#REF!,3,FALSE),IF(S17="DUCT",VLOOKUP(V17,'Catalogue Aluminium'!#REF!,4,FALSE),IF(S17="TRENCH",VLOOKUP(V17,'Catalogue Aluminium'!#REF!,2,FALSE)))))</f>
        <v>#REF!</v>
      </c>
      <c r="Z17" s="430" t="e">
        <f>VLOOKUP(V17,'Catalogue Aluminium'!#REF!,5,FALSE)</f>
        <v>#REF!</v>
      </c>
      <c r="AA17" s="430" t="e">
        <f>VLOOKUP(V17,'Catalogue Aluminium'!#REF!,6,FALSE)</f>
        <v>#REF!</v>
      </c>
      <c r="AB17" s="252">
        <v>15</v>
      </c>
      <c r="AC17" s="252">
        <v>0</v>
      </c>
      <c r="AD17" s="252">
        <v>10</v>
      </c>
      <c r="AE17" s="253">
        <f t="shared" si="48"/>
        <v>25</v>
      </c>
      <c r="AF17" s="429" t="e">
        <f>IF(S17="AIR",'Catalogue Aluminium'!#REF!,IF(S17="TRENCH",'Catalogue Aluminium'!#REF!,"NA"))</f>
        <v>#REF!</v>
      </c>
      <c r="AG17" s="431" t="e">
        <f>IF(S17="Air",(IF(T17="1C",'Catalogue Aluminium'!#REF!,'Catalogue Aluminium'!#REF!)),IF(S17="DUCT",(IF($T17="1C",'Catalogue Aluminium'!#REF!,'Catalogue Aluminium'!#REF!)),IF(S17="GROUND",(IF($T17="1C",'Catalogue Aluminium'!#REF!,'Catalogue Aluminium'!#REF!)),IF(S17="TRENCH",(IF($T17="1C",'Catalogue Aluminium'!#REF!,'Catalogue Aluminium'!#REF!))))))</f>
        <v>#REF!</v>
      </c>
      <c r="AH17" s="429" t="e">
        <f>IF(S17="Air",'Catalogue Aluminium'!#REF!,IF(S17="GROUND",'Catalogue Aluminium'!#REF!,IF(S17="DUCT",'Catalogue Aluminium'!#REF!,IF(S17="TRENCH",'Catalogue Aluminium'!#REF!,"NA"))))</f>
        <v>#REF!</v>
      </c>
      <c r="AI17" s="429" t="e">
        <f>IF(S17="Air",(IF(T17="1C",'Catalogue Aluminium'!#REF!,'Catalogue Aluminium'!#REF!)),IF(S17="DUCT",(IF($T17="1C",'Catalogue Aluminium'!#REF!,'Catalogue Aluminium'!#REF!)),IF(S17="GROUND",(IF($T17="1C",'Catalogue Aluminium'!#REF!,'Catalogue Aluminium'!#REF!)),IF(S17="TRENCH",(IF($T17="1C",'Catalogue Aluminium'!#REF!,'Catalogue Aluminium'!#REF!))))))</f>
        <v>#REF!</v>
      </c>
      <c r="AJ17" s="429" t="str">
        <f>IF(S17="AIR","NA",IF(S17="TRENCH","NA",IF(S17="DUCT",IF(T17="1C",VLOOKUP(U17,'Catalogue Aluminium'!#REF!,2,FALSE),VLOOKUP(U17,'Catalogue Aluminium'!#REF!,3)),IF(S17="GROUND",IF(T17="1C",VLOOKUP(U17,'Catalogue Aluminium'!#REF!,2,FALSE),VLOOKUP(U17,'Catalogue Aluminium'!#REF!,3))))))</f>
        <v>NA</v>
      </c>
      <c r="AK17" s="254" t="e">
        <f t="shared" si="55"/>
        <v>#REF!</v>
      </c>
      <c r="AL17" s="248" t="e">
        <f t="shared" si="56"/>
        <v>#REF!</v>
      </c>
      <c r="AM17" s="432" t="e">
        <f t="shared" si="57"/>
        <v>#REF!</v>
      </c>
      <c r="AN17" s="256" t="e">
        <f t="shared" si="58"/>
        <v>#REF!</v>
      </c>
      <c r="AO17" s="433" t="e">
        <f t="shared" si="9"/>
        <v>#REF!</v>
      </c>
      <c r="AP17" s="434" t="e">
        <f t="shared" si="10"/>
        <v>#REF!</v>
      </c>
      <c r="AQ17" s="435" t="e">
        <f t="shared" si="11"/>
        <v>#REF!</v>
      </c>
      <c r="AR17" s="436" t="e">
        <f t="shared" si="12"/>
        <v>#REF!</v>
      </c>
      <c r="AS17" s="433" t="str">
        <f t="shared" si="13"/>
        <v>NA</v>
      </c>
      <c r="AT17" s="433" t="str">
        <f t="shared" si="14"/>
        <v>NA</v>
      </c>
      <c r="AU17" s="257" t="e">
        <f t="shared" si="51"/>
        <v>#REF!</v>
      </c>
      <c r="AV17" s="249" t="e">
        <f t="shared" si="32"/>
        <v>#REF!</v>
      </c>
      <c r="AW17" s="261" t="e">
        <f t="shared" si="29"/>
        <v>#REF!</v>
      </c>
      <c r="AX17" s="254"/>
      <c r="AY17" s="437">
        <v>56</v>
      </c>
      <c r="AZ17" s="250" t="e">
        <f t="shared" si="61"/>
        <v>#REF!</v>
      </c>
    </row>
    <row r="18" spans="1:53" ht="35.15" customHeight="1">
      <c r="A18" s="243">
        <f t="shared" si="49"/>
        <v>10</v>
      </c>
      <c r="B18" s="272" t="s">
        <v>794</v>
      </c>
      <c r="C18" s="243" t="s">
        <v>776</v>
      </c>
      <c r="D18" s="313"/>
      <c r="E18" s="313"/>
      <c r="F18" s="246" t="s">
        <v>66</v>
      </c>
      <c r="G18" s="256">
        <v>1250</v>
      </c>
      <c r="H18" s="243" t="s">
        <v>319</v>
      </c>
      <c r="I18" s="243" t="s">
        <v>777</v>
      </c>
      <c r="J18" s="247">
        <v>6600</v>
      </c>
      <c r="K18" s="248">
        <v>0.85</v>
      </c>
      <c r="L18" s="248">
        <v>0.95</v>
      </c>
      <c r="M18" s="248">
        <f t="shared" si="1"/>
        <v>115.10510477327057</v>
      </c>
      <c r="N18" s="248">
        <f t="shared" si="2"/>
        <v>0</v>
      </c>
      <c r="O18" s="250" t="str">
        <f t="shared" ref="O18:O21" si="62">IF(F18="M",0.2,"0.00")</f>
        <v>0.00</v>
      </c>
      <c r="P18" s="248">
        <v>40</v>
      </c>
      <c r="Q18" s="248">
        <v>0.16</v>
      </c>
      <c r="R18" s="248">
        <f t="shared" ref="R18:R21" si="63">(P18*1000*SQRT(Q18)/143)</f>
        <v>111.88811188811189</v>
      </c>
      <c r="S18" s="250" t="s">
        <v>131</v>
      </c>
      <c r="T18" s="248" t="s">
        <v>302</v>
      </c>
      <c r="U18" s="250">
        <v>120</v>
      </c>
      <c r="V18" s="249" t="str">
        <f t="shared" ref="V18:V21" si="64">CONCATENATE(T18," X ",U18)</f>
        <v>3C X 120</v>
      </c>
      <c r="W18" s="249"/>
      <c r="X18" s="249" t="s">
        <v>778</v>
      </c>
      <c r="Y18" s="429" t="e">
        <f>IF(S18="AIR",VLOOKUP(V18,'Catalogue Aluminium'!#REF!,2,FALSE),IF(S18="GROUND",VLOOKUP(V18,'Catalogue Aluminium'!#REF!,3,FALSE),IF(S18="DUCT",VLOOKUP(V18,'Catalogue Aluminium'!#REF!,4,FALSE),IF(S18="TRENCH",VLOOKUP(V18,'Catalogue Aluminium'!#REF!,2,FALSE)))))</f>
        <v>#REF!</v>
      </c>
      <c r="Z18" s="430" t="e">
        <f>VLOOKUP(V18,'Catalogue Aluminium'!#REF!,5,FALSE)</f>
        <v>#REF!</v>
      </c>
      <c r="AA18" s="430" t="e">
        <f>VLOOKUP(V18,'Catalogue Aluminium'!#REF!,6,FALSE)</f>
        <v>#REF!</v>
      </c>
      <c r="AB18" s="252">
        <v>15</v>
      </c>
      <c r="AC18" s="252">
        <v>0</v>
      </c>
      <c r="AD18" s="252">
        <v>10</v>
      </c>
      <c r="AE18" s="253">
        <f t="shared" si="48"/>
        <v>25</v>
      </c>
      <c r="AF18" s="429" t="e">
        <f>IF(S18="AIR",'Catalogue Aluminium'!#REF!,IF(S18="TRENCH",'Catalogue Aluminium'!#REF!,"NA"))</f>
        <v>#REF!</v>
      </c>
      <c r="AG18" s="431" t="e">
        <f>IF(S18="Air",(IF(T18="1C",'Catalogue Aluminium'!#REF!,'Catalogue Aluminium'!#REF!)),IF(S18="DUCT",(IF($T18="1C",'Catalogue Aluminium'!#REF!,'Catalogue Aluminium'!#REF!)),IF(S18="GROUND",(IF($T18="1C",'Catalogue Aluminium'!#REF!,'Catalogue Aluminium'!#REF!)),IF(S18="TRENCH",(IF($T18="1C",'Catalogue Aluminium'!#REF!,'Catalogue Aluminium'!#REF!))))))</f>
        <v>#REF!</v>
      </c>
      <c r="AH18" s="429" t="e">
        <f>IF(S18="Air",'Catalogue Aluminium'!#REF!,IF(S18="GROUND",'Catalogue Aluminium'!#REF!,IF(S18="DUCT",'Catalogue Aluminium'!#REF!,IF(S18="TRENCH",'Catalogue Aluminium'!#REF!,"NA"))))</f>
        <v>#REF!</v>
      </c>
      <c r="AI18" s="429" t="e">
        <f>IF(S18="Air",(IF(T18="1C",'Catalogue Aluminium'!#REF!,'Catalogue Aluminium'!#REF!)),IF(S18="DUCT",(IF($T18="1C",'Catalogue Aluminium'!#REF!,'Catalogue Aluminium'!#REF!)),IF(S18="GROUND",(IF($T18="1C",'Catalogue Aluminium'!#REF!,'Catalogue Aluminium'!#REF!)),IF(S18="TRENCH",(IF($T18="1C",'Catalogue Aluminium'!#REF!,'Catalogue Aluminium'!#REF!))))))</f>
        <v>#REF!</v>
      </c>
      <c r="AJ18" s="429" t="str">
        <f>IF(S18="AIR","NA",IF(S18="TRENCH","NA",IF(S18="DUCT",IF(T18="1C",VLOOKUP(U18,'Catalogue Aluminium'!#REF!,2,FALSE),VLOOKUP(U18,'Catalogue Aluminium'!#REF!,3)),IF(S18="GROUND",IF(T18="1C",VLOOKUP(U18,'Catalogue Aluminium'!#REF!,2,FALSE),VLOOKUP(U18,'Catalogue Aluminium'!#REF!,3))))))</f>
        <v>NA</v>
      </c>
      <c r="AK18" s="254" t="e">
        <f t="shared" ref="AK18:AK21" si="65">IF(S18="AIR",AF18*AG18,IF(S18="TRENCH",AF18*AG18,IF(S18="DUCT",AG18*AH18*AI18*AJ18,IF(S18="GROUND",AG18*AH18*AI18*AJ18))))</f>
        <v>#REF!</v>
      </c>
      <c r="AL18" s="248" t="e">
        <f t="shared" ref="AL18:AL21" si="66">Y18*AK18</f>
        <v>#REF!</v>
      </c>
      <c r="AM18" s="432" t="e">
        <f t="shared" si="57"/>
        <v>#REF!</v>
      </c>
      <c r="AN18" s="256" t="e">
        <f t="shared" ref="AN18:AN21" si="67">IF(AL18*AM18&gt;=M18,"YES","NO")</f>
        <v>#REF!</v>
      </c>
      <c r="AO18" s="433" t="e">
        <f t="shared" si="9"/>
        <v>#REF!</v>
      </c>
      <c r="AP18" s="434" t="e">
        <f t="shared" si="10"/>
        <v>#REF!</v>
      </c>
      <c r="AQ18" s="435" t="e">
        <f t="shared" si="11"/>
        <v>#REF!</v>
      </c>
      <c r="AR18" s="436" t="e">
        <f t="shared" si="12"/>
        <v>#REF!</v>
      </c>
      <c r="AS18" s="433" t="str">
        <f t="shared" si="13"/>
        <v>NA</v>
      </c>
      <c r="AT18" s="433" t="str">
        <f t="shared" si="14"/>
        <v>NA</v>
      </c>
      <c r="AU18" s="257" t="e">
        <f t="shared" si="51"/>
        <v>#REF!</v>
      </c>
      <c r="AV18" s="249" t="e">
        <f t="shared" si="32"/>
        <v>#REF!</v>
      </c>
      <c r="AW18" s="261" t="e">
        <f t="shared" si="29"/>
        <v>#REF!</v>
      </c>
      <c r="AX18" s="254"/>
      <c r="AY18" s="437">
        <v>56</v>
      </c>
      <c r="AZ18" s="250" t="e">
        <f t="shared" si="61"/>
        <v>#REF!</v>
      </c>
    </row>
    <row r="19" spans="1:53" s="37" customFormat="1" ht="35.15" customHeight="1">
      <c r="A19" s="289">
        <f t="shared" si="49"/>
        <v>11</v>
      </c>
      <c r="B19" s="439" t="s">
        <v>791</v>
      </c>
      <c r="C19" s="289" t="s">
        <v>776</v>
      </c>
      <c r="D19" s="440"/>
      <c r="E19" s="440"/>
      <c r="F19" s="441" t="s">
        <v>66</v>
      </c>
      <c r="G19" s="415">
        <v>720</v>
      </c>
      <c r="H19" s="289" t="s">
        <v>319</v>
      </c>
      <c r="I19" s="289" t="s">
        <v>777</v>
      </c>
      <c r="J19" s="442">
        <v>6600</v>
      </c>
      <c r="K19" s="443">
        <v>0.86</v>
      </c>
      <c r="L19" s="443">
        <v>1</v>
      </c>
      <c r="M19" s="287">
        <v>55.11</v>
      </c>
      <c r="N19" s="443">
        <f t="shared" ref="N19:N22" si="68">IF(F19="M",IF(G19&gt;=600,6*M19,IF(G19&lt;600,6*M19)),0)</f>
        <v>0</v>
      </c>
      <c r="O19" s="444" t="str">
        <f t="shared" si="62"/>
        <v>0.00</v>
      </c>
      <c r="P19" s="443">
        <v>0</v>
      </c>
      <c r="Q19" s="443">
        <v>0.16</v>
      </c>
      <c r="R19" s="443">
        <f>(P19*1000*SQRT(Q19)/94)</f>
        <v>0</v>
      </c>
      <c r="S19" s="444" t="s">
        <v>131</v>
      </c>
      <c r="T19" s="443" t="s">
        <v>302</v>
      </c>
      <c r="U19" s="444">
        <v>185</v>
      </c>
      <c r="V19" s="371" t="str">
        <f t="shared" si="64"/>
        <v>3C X 185</v>
      </c>
      <c r="W19" s="371"/>
      <c r="X19" s="371" t="s">
        <v>778</v>
      </c>
      <c r="Y19" s="444" t="e">
        <f>IF(S19="AIR",VLOOKUP(V19,'Catalogue Aluminium'!#REF!,2,FALSE),IF(S19="GROUND",VLOOKUP(V19,'Catalogue Aluminium'!#REF!,3,FALSE),IF(S19="DUCT",VLOOKUP(V19,'Catalogue Aluminium'!#REF!,4,FALSE),IF(S19="TRENCH",VLOOKUP(V19,'Catalogue Aluminium'!#REF!,2,FALSE)))))</f>
        <v>#REF!</v>
      </c>
      <c r="Z19" s="445">
        <v>0.72299999999999998</v>
      </c>
      <c r="AA19" s="445">
        <v>8.4000000000000005E-2</v>
      </c>
      <c r="AB19" s="446">
        <v>15</v>
      </c>
      <c r="AC19" s="446">
        <v>0</v>
      </c>
      <c r="AD19" s="446">
        <v>10</v>
      </c>
      <c r="AE19" s="447">
        <v>225</v>
      </c>
      <c r="AF19" s="444" t="e">
        <f>IF(S19="AIR",'Catalogue Aluminium'!#REF!,IF(S19="TRENCH",'Catalogue Aluminium'!#REF!,"NA"))</f>
        <v>#REF!</v>
      </c>
      <c r="AG19" s="443" t="e">
        <f>IF(S19="Air",(IF(T19="1C",'Catalogue Aluminium'!#REF!,'Catalogue Aluminium'!#REF!)),IF(S19="DUCT",(IF($T19="1C",'Catalogue Aluminium'!#REF!,'Catalogue Aluminium'!#REF!)),IF(S19="GROUND",(IF($T19="1C",'Catalogue Aluminium'!#REF!,'Catalogue Aluminium'!#REF!)),IF(S19="TRENCH",(IF($T19="1C",'Catalogue Aluminium'!#REF!,'Catalogue Aluminium'!#REF!))))))</f>
        <v>#REF!</v>
      </c>
      <c r="AH19" s="444" t="e">
        <f>IF(S19="Air",'Catalogue Aluminium'!#REF!,IF(S19="GROUND",'Catalogue Aluminium'!#REF!,IF(S19="DUCT",'Catalogue Aluminium'!#REF!,IF(S19="TRENCH",'Catalogue Aluminium'!#REF!,"NA"))))</f>
        <v>#REF!</v>
      </c>
      <c r="AI19" s="444" t="e">
        <f>IF(S19="Air",(IF(T19="1C",'Catalogue Aluminium'!#REF!,'Catalogue Aluminium'!#REF!)),IF(S19="DUCT",(IF($T19="1C",'Catalogue Aluminium'!#REF!,'Catalogue Aluminium'!#REF!)),IF(S19="GROUND",(IF($T19="1C",'Catalogue Aluminium'!#REF!,'Catalogue Aluminium'!#REF!)),IF(S19="TRENCH",(IF($T19="1C",'Catalogue Aluminium'!#REF!,'Catalogue Aluminium'!#REF!))))))</f>
        <v>#REF!</v>
      </c>
      <c r="AJ19" s="444" t="str">
        <f>IF(S19="AIR","NA",IF(S19="TRENCH","NA",IF(S19="DUCT",IF(T19="1C",VLOOKUP(U19,'Catalogue Aluminium'!#REF!,2,FALSE),VLOOKUP(U19,'Catalogue Aluminium'!#REF!,3)),IF(S19="GROUND",IF(T19="1C",VLOOKUP(U19,'Catalogue Aluminium'!#REF!,2,FALSE),VLOOKUP(U19,'Catalogue Aluminium'!#REF!,3))))))</f>
        <v>NA</v>
      </c>
      <c r="AK19" s="448" t="e">
        <f t="shared" si="65"/>
        <v>#REF!</v>
      </c>
      <c r="AL19" s="443">
        <v>76.56</v>
      </c>
      <c r="AM19" s="449">
        <f t="shared" ref="AM19:AM22" si="69">CEILING(((M19)/AL19),1)</f>
        <v>1</v>
      </c>
      <c r="AN19" s="415" t="str">
        <f t="shared" si="67"/>
        <v>YES</v>
      </c>
      <c r="AO19" s="350">
        <f t="shared" si="9"/>
        <v>0.21628139700233245</v>
      </c>
      <c r="AP19" s="371" t="str">
        <f t="shared" ref="AP19:AP22" si="70">IF(F19="I",(IF(AO19&lt;=2,"YES","NO")),IF(F19="P",(IF(AO19&lt;=2,"YES","NO")),IF(F19="M",(IF(AO19&lt;=3,"YES","NO")))))</f>
        <v>YES</v>
      </c>
      <c r="AQ19" s="258">
        <f t="shared" ref="AQ19:AQ22" si="71">M19*((Z19*K19) + (AA19*SIN(ACOS(K19))))</f>
        <v>36.628569348801463</v>
      </c>
      <c r="AR19" s="259">
        <f t="shared" ref="AR19:AR22" si="72">(5*1000*AM19*J19*10)/(AQ19)</f>
        <v>9009360.885966409</v>
      </c>
      <c r="AS19" s="350" t="str">
        <f t="shared" ref="AS19:AS22" si="73">IF(F19="M",(SQRT(3)*AE19*N19*((Z19*K19)+(AA19*SIN(ACOS(K19))))*100/(AM19*J19*1000)),"NA")</f>
        <v>NA</v>
      </c>
      <c r="AT19" s="350" t="str">
        <f t="shared" ref="AT19:AT22" si="74">IF(F19="M",IF(AS19&lt;=10,"YES","NO"),"NA")</f>
        <v>NA</v>
      </c>
      <c r="AU19" s="350" t="str">
        <f t="shared" si="51"/>
        <v>1R x 0.6/1kV x 3C x 185 Sqmm</v>
      </c>
      <c r="AV19" s="371">
        <f t="shared" ref="AV19:AV22" si="75">IF(T19="1C",(3*AE19*AM19),(AE19*AM19))</f>
        <v>225</v>
      </c>
      <c r="AW19" s="450">
        <f t="shared" si="29"/>
        <v>2</v>
      </c>
      <c r="AX19" s="448"/>
      <c r="AY19" s="451">
        <v>56</v>
      </c>
      <c r="AZ19" s="444">
        <f t="shared" si="61"/>
        <v>56</v>
      </c>
    </row>
    <row r="20" spans="1:53" ht="35.15" customHeight="1">
      <c r="A20" s="243">
        <f t="shared" si="49"/>
        <v>12</v>
      </c>
      <c r="B20" s="272" t="s">
        <v>792</v>
      </c>
      <c r="C20" s="243" t="s">
        <v>776</v>
      </c>
      <c r="D20" s="313"/>
      <c r="E20" s="313"/>
      <c r="F20" s="246" t="s">
        <v>66</v>
      </c>
      <c r="G20" s="256">
        <v>1250</v>
      </c>
      <c r="H20" s="243" t="s">
        <v>319</v>
      </c>
      <c r="I20" s="243" t="s">
        <v>777</v>
      </c>
      <c r="J20" s="247">
        <v>6600</v>
      </c>
      <c r="K20" s="248">
        <v>0.85</v>
      </c>
      <c r="L20" s="248">
        <v>0.95</v>
      </c>
      <c r="M20" s="248">
        <f t="shared" ref="M20:M22" si="76">IF(H20="kVA",IF(I20="3Phase",(G20*1000/(1.732*L20*J20)),(G20*1000/(L20*J20))),IF(H20="kW",IF(I20="3Phase",(G20*1000/(1.732*L20*J20*K20)),(G20*1000/(L20*J20*K20)))))</f>
        <v>115.10510477327057</v>
      </c>
      <c r="N20" s="248">
        <f t="shared" si="68"/>
        <v>0</v>
      </c>
      <c r="O20" s="250" t="str">
        <f t="shared" si="62"/>
        <v>0.00</v>
      </c>
      <c r="P20" s="248">
        <v>40</v>
      </c>
      <c r="Q20" s="248">
        <v>0.16</v>
      </c>
      <c r="R20" s="248">
        <f t="shared" si="63"/>
        <v>111.88811188811189</v>
      </c>
      <c r="S20" s="250" t="s">
        <v>131</v>
      </c>
      <c r="T20" s="248" t="s">
        <v>302</v>
      </c>
      <c r="U20" s="250">
        <v>120</v>
      </c>
      <c r="V20" s="249" t="str">
        <f t="shared" si="64"/>
        <v>3C X 120</v>
      </c>
      <c r="W20" s="249"/>
      <c r="X20" s="249" t="s">
        <v>778</v>
      </c>
      <c r="Y20" s="250" t="e">
        <f>IF(S20="AIR",VLOOKUP(V20,'Catalogue Aluminium'!#REF!,2,FALSE),IF(S20="GROUND",VLOOKUP(V20,'Catalogue Aluminium'!#REF!,3,FALSE),IF(S20="DUCT",VLOOKUP(V20,'Catalogue Aluminium'!#REF!,4,FALSE),IF(S20="TRENCH",VLOOKUP(V20,'Catalogue Aluminium'!#REF!,2,FALSE)))))</f>
        <v>#REF!</v>
      </c>
      <c r="Z20" s="251" t="e">
        <f>VLOOKUP(V20,'Catalogue Aluminium'!#REF!,5,FALSE)</f>
        <v>#REF!</v>
      </c>
      <c r="AA20" s="251" t="e">
        <f>VLOOKUP(V20,'Catalogue Aluminium'!#REF!,6,FALSE)</f>
        <v>#REF!</v>
      </c>
      <c r="AB20" s="252">
        <v>15</v>
      </c>
      <c r="AC20" s="252">
        <v>0</v>
      </c>
      <c r="AD20" s="252">
        <v>10</v>
      </c>
      <c r="AE20" s="253">
        <f t="shared" ref="AE20:AE22" si="77">SUM(AB20:AD20)</f>
        <v>25</v>
      </c>
      <c r="AF20" s="250" t="e">
        <f>IF(S20="AIR",'Catalogue Aluminium'!#REF!,IF(S20="TRENCH",'Catalogue Aluminium'!#REF!,"NA"))</f>
        <v>#REF!</v>
      </c>
      <c r="AG20" s="248" t="e">
        <f>IF(S20="Air",(IF(T20="1C",'Catalogue Aluminium'!#REF!,'Catalogue Aluminium'!#REF!)),IF(S20="DUCT",(IF($T20="1C",'Catalogue Aluminium'!#REF!,'Catalogue Aluminium'!#REF!)),IF(S20="GROUND",(IF($T20="1C",'Catalogue Aluminium'!#REF!,'Catalogue Aluminium'!#REF!)),IF(S20="TRENCH",(IF($T20="1C",'Catalogue Aluminium'!#REF!,'Catalogue Aluminium'!#REF!))))))</f>
        <v>#REF!</v>
      </c>
      <c r="AH20" s="250" t="e">
        <f>IF(S20="Air",'Catalogue Aluminium'!#REF!,IF(S20="GROUND",'Catalogue Aluminium'!#REF!,IF(S20="DUCT",'Catalogue Aluminium'!#REF!,IF(S20="TRENCH",'Catalogue Aluminium'!#REF!,"NA"))))</f>
        <v>#REF!</v>
      </c>
      <c r="AI20" s="250" t="e">
        <f>IF(S20="Air",(IF(T20="1C",'Catalogue Aluminium'!#REF!,'Catalogue Aluminium'!#REF!)),IF(S20="DUCT",(IF($T20="1C",'Catalogue Aluminium'!#REF!,'Catalogue Aluminium'!#REF!)),IF(S20="GROUND",(IF($T20="1C",'Catalogue Aluminium'!#REF!,'Catalogue Aluminium'!#REF!)),IF(S20="TRENCH",(IF($T20="1C",'Catalogue Aluminium'!#REF!,'Catalogue Aluminium'!#REF!))))))</f>
        <v>#REF!</v>
      </c>
      <c r="AJ20" s="250" t="str">
        <f>IF(S20="AIR","NA",IF(S20="TRENCH","NA",IF(S20="DUCT",IF(T20="1C",VLOOKUP(U20,'Catalogue Aluminium'!#REF!,2,FALSE),VLOOKUP(U20,'Catalogue Aluminium'!#REF!,3)),IF(S20="GROUND",IF(T20="1C",VLOOKUP(U20,'Catalogue Aluminium'!#REF!,2,FALSE),VLOOKUP(U20,'Catalogue Aluminium'!#REF!,3))))))</f>
        <v>NA</v>
      </c>
      <c r="AK20" s="254" t="e">
        <f t="shared" si="65"/>
        <v>#REF!</v>
      </c>
      <c r="AL20" s="248" t="e">
        <f t="shared" si="66"/>
        <v>#REF!</v>
      </c>
      <c r="AM20" s="432" t="e">
        <f t="shared" si="69"/>
        <v>#REF!</v>
      </c>
      <c r="AN20" s="256" t="e">
        <f t="shared" si="67"/>
        <v>#REF!</v>
      </c>
      <c r="AO20" s="257" t="e">
        <f t="shared" ref="AO20:AO22" si="78">SQRT(3)*AE20*M20*((Z20*K20)+(AA20*SIN(ACOS(K20))))*100/(AM20*J20*1000)</f>
        <v>#REF!</v>
      </c>
      <c r="AP20" s="249" t="e">
        <f t="shared" si="70"/>
        <v>#REF!</v>
      </c>
      <c r="AQ20" s="307" t="e">
        <f t="shared" si="71"/>
        <v>#REF!</v>
      </c>
      <c r="AR20" s="308" t="e">
        <f t="shared" si="72"/>
        <v>#REF!</v>
      </c>
      <c r="AS20" s="257" t="str">
        <f t="shared" si="73"/>
        <v>NA</v>
      </c>
      <c r="AT20" s="257" t="str">
        <f t="shared" si="74"/>
        <v>NA</v>
      </c>
      <c r="AU20" s="257" t="e">
        <f t="shared" si="51"/>
        <v>#REF!</v>
      </c>
      <c r="AV20" s="249" t="e">
        <f t="shared" si="75"/>
        <v>#REF!</v>
      </c>
      <c r="AW20" s="261" t="e">
        <f t="shared" si="29"/>
        <v>#REF!</v>
      </c>
      <c r="AX20" s="254"/>
      <c r="AY20" s="452">
        <v>56</v>
      </c>
      <c r="AZ20" s="250" t="e">
        <f t="shared" si="61"/>
        <v>#REF!</v>
      </c>
    </row>
    <row r="21" spans="1:53" ht="35.15" customHeight="1">
      <c r="A21" s="243">
        <f t="shared" si="49"/>
        <v>13</v>
      </c>
      <c r="B21" s="272" t="s">
        <v>793</v>
      </c>
      <c r="C21" s="243" t="s">
        <v>776</v>
      </c>
      <c r="D21" s="313"/>
      <c r="E21" s="313"/>
      <c r="F21" s="246" t="s">
        <v>66</v>
      </c>
      <c r="G21" s="256">
        <v>1250</v>
      </c>
      <c r="H21" s="243" t="s">
        <v>319</v>
      </c>
      <c r="I21" s="243" t="s">
        <v>777</v>
      </c>
      <c r="J21" s="247">
        <v>6600</v>
      </c>
      <c r="K21" s="248">
        <v>0.85</v>
      </c>
      <c r="L21" s="248">
        <v>0.95</v>
      </c>
      <c r="M21" s="248">
        <f t="shared" si="76"/>
        <v>115.10510477327057</v>
      </c>
      <c r="N21" s="248">
        <f t="shared" si="68"/>
        <v>0</v>
      </c>
      <c r="O21" s="250" t="str">
        <f t="shared" si="62"/>
        <v>0.00</v>
      </c>
      <c r="P21" s="248">
        <v>40</v>
      </c>
      <c r="Q21" s="248">
        <v>0.16</v>
      </c>
      <c r="R21" s="248">
        <f t="shared" si="63"/>
        <v>111.88811188811189</v>
      </c>
      <c r="S21" s="250" t="s">
        <v>131</v>
      </c>
      <c r="T21" s="248" t="s">
        <v>302</v>
      </c>
      <c r="U21" s="250">
        <v>120</v>
      </c>
      <c r="V21" s="249" t="str">
        <f t="shared" si="64"/>
        <v>3C X 120</v>
      </c>
      <c r="W21" s="249"/>
      <c r="X21" s="249" t="s">
        <v>778</v>
      </c>
      <c r="Y21" s="250" t="e">
        <f>IF(S21="AIR",VLOOKUP(V21,'Catalogue Aluminium'!#REF!,2,FALSE),IF(S21="GROUND",VLOOKUP(V21,'Catalogue Aluminium'!#REF!,3,FALSE),IF(S21="DUCT",VLOOKUP(V21,'Catalogue Aluminium'!#REF!,4,FALSE),IF(S21="TRENCH",VLOOKUP(V21,'Catalogue Aluminium'!#REF!,2,FALSE)))))</f>
        <v>#REF!</v>
      </c>
      <c r="Z21" s="251" t="e">
        <f>VLOOKUP(V21,'Catalogue Aluminium'!#REF!,5,FALSE)</f>
        <v>#REF!</v>
      </c>
      <c r="AA21" s="251" t="e">
        <f>VLOOKUP(V21,'Catalogue Aluminium'!#REF!,6,FALSE)</f>
        <v>#REF!</v>
      </c>
      <c r="AB21" s="252">
        <v>15</v>
      </c>
      <c r="AC21" s="252">
        <v>0</v>
      </c>
      <c r="AD21" s="252">
        <v>10</v>
      </c>
      <c r="AE21" s="253">
        <f t="shared" si="77"/>
        <v>25</v>
      </c>
      <c r="AF21" s="250" t="e">
        <f>IF(S21="AIR",'Catalogue Aluminium'!#REF!,IF(S21="TRENCH",'Catalogue Aluminium'!#REF!,"NA"))</f>
        <v>#REF!</v>
      </c>
      <c r="AG21" s="248" t="e">
        <f>IF(S21="Air",(IF(T21="1C",'Catalogue Aluminium'!#REF!,'Catalogue Aluminium'!#REF!)),IF(S21="DUCT",(IF($T21="1C",'Catalogue Aluminium'!#REF!,'Catalogue Aluminium'!#REF!)),IF(S21="GROUND",(IF($T21="1C",'Catalogue Aluminium'!#REF!,'Catalogue Aluminium'!#REF!)),IF(S21="TRENCH",(IF($T21="1C",'Catalogue Aluminium'!#REF!,'Catalogue Aluminium'!#REF!))))))</f>
        <v>#REF!</v>
      </c>
      <c r="AH21" s="250" t="e">
        <f>IF(S21="Air",'Catalogue Aluminium'!#REF!,IF(S21="GROUND",'Catalogue Aluminium'!#REF!,IF(S21="DUCT",'Catalogue Aluminium'!#REF!,IF(S21="TRENCH",'Catalogue Aluminium'!#REF!,"NA"))))</f>
        <v>#REF!</v>
      </c>
      <c r="AI21" s="250" t="e">
        <f>IF(S21="Air",(IF(T21="1C",'Catalogue Aluminium'!#REF!,'Catalogue Aluminium'!#REF!)),IF(S21="DUCT",(IF($T21="1C",'Catalogue Aluminium'!#REF!,'Catalogue Aluminium'!#REF!)),IF(S21="GROUND",(IF($T21="1C",'Catalogue Aluminium'!#REF!,'Catalogue Aluminium'!#REF!)),IF(S21="TRENCH",(IF($T21="1C",'Catalogue Aluminium'!#REF!,'Catalogue Aluminium'!#REF!))))))</f>
        <v>#REF!</v>
      </c>
      <c r="AJ21" s="250" t="str">
        <f>IF(S21="AIR","NA",IF(S21="TRENCH","NA",IF(S21="DUCT",IF(T21="1C",VLOOKUP(U21,'Catalogue Aluminium'!#REF!,2,FALSE),VLOOKUP(U21,'Catalogue Aluminium'!#REF!,3)),IF(S21="GROUND",IF(T21="1C",VLOOKUP(U21,'Catalogue Aluminium'!#REF!,2,FALSE),VLOOKUP(U21,'Catalogue Aluminium'!#REF!,3))))))</f>
        <v>NA</v>
      </c>
      <c r="AK21" s="254" t="e">
        <f t="shared" si="65"/>
        <v>#REF!</v>
      </c>
      <c r="AL21" s="248" t="e">
        <f t="shared" si="66"/>
        <v>#REF!</v>
      </c>
      <c r="AM21" s="432" t="e">
        <f t="shared" si="69"/>
        <v>#REF!</v>
      </c>
      <c r="AN21" s="256" t="e">
        <f t="shared" si="67"/>
        <v>#REF!</v>
      </c>
      <c r="AO21" s="257" t="e">
        <f t="shared" si="78"/>
        <v>#REF!</v>
      </c>
      <c r="AP21" s="249" t="e">
        <f t="shared" si="70"/>
        <v>#REF!</v>
      </c>
      <c r="AQ21" s="307" t="e">
        <f t="shared" si="71"/>
        <v>#REF!</v>
      </c>
      <c r="AR21" s="308" t="e">
        <f t="shared" si="72"/>
        <v>#REF!</v>
      </c>
      <c r="AS21" s="257" t="str">
        <f t="shared" si="73"/>
        <v>NA</v>
      </c>
      <c r="AT21" s="257" t="str">
        <f t="shared" si="74"/>
        <v>NA</v>
      </c>
      <c r="AU21" s="257" t="e">
        <f t="shared" si="51"/>
        <v>#REF!</v>
      </c>
      <c r="AV21" s="249" t="e">
        <f t="shared" si="75"/>
        <v>#REF!</v>
      </c>
      <c r="AW21" s="261" t="e">
        <f t="shared" si="29"/>
        <v>#REF!</v>
      </c>
      <c r="AX21" s="254"/>
      <c r="AY21" s="452">
        <v>56</v>
      </c>
      <c r="AZ21" s="250" t="e">
        <f t="shared" si="61"/>
        <v>#REF!</v>
      </c>
    </row>
    <row r="22" spans="1:53" ht="35.15" customHeight="1">
      <c r="A22" s="243">
        <f t="shared" si="49"/>
        <v>14</v>
      </c>
      <c r="B22" s="272" t="s">
        <v>795</v>
      </c>
      <c r="C22" s="243" t="s">
        <v>776</v>
      </c>
      <c r="D22" s="313"/>
      <c r="E22" s="313"/>
      <c r="F22" s="246" t="s">
        <v>66</v>
      </c>
      <c r="G22" s="256">
        <v>1250</v>
      </c>
      <c r="H22" s="243" t="s">
        <v>319</v>
      </c>
      <c r="I22" s="243" t="s">
        <v>777</v>
      </c>
      <c r="J22" s="247">
        <v>6600</v>
      </c>
      <c r="K22" s="248">
        <v>0.85</v>
      </c>
      <c r="L22" s="248">
        <v>0.95</v>
      </c>
      <c r="M22" s="248">
        <f t="shared" si="76"/>
        <v>115.10510477327057</v>
      </c>
      <c r="N22" s="248">
        <f t="shared" si="68"/>
        <v>0</v>
      </c>
      <c r="O22" s="250" t="str">
        <f t="shared" ref="O22" si="79">IF(F22="M",0.2,"0.00")</f>
        <v>0.00</v>
      </c>
      <c r="P22" s="248">
        <v>40</v>
      </c>
      <c r="Q22" s="248">
        <v>0.16</v>
      </c>
      <c r="R22" s="248">
        <f t="shared" ref="R22" si="80">(P22*1000*SQRT(Q22)/143)</f>
        <v>111.88811188811189</v>
      </c>
      <c r="S22" s="250" t="s">
        <v>131</v>
      </c>
      <c r="T22" s="248" t="s">
        <v>302</v>
      </c>
      <c r="U22" s="250">
        <v>120</v>
      </c>
      <c r="V22" s="249" t="str">
        <f t="shared" ref="V22" si="81">CONCATENATE(T22," X ",U22)</f>
        <v>3C X 120</v>
      </c>
      <c r="W22" s="249"/>
      <c r="X22" s="249" t="s">
        <v>778</v>
      </c>
      <c r="Y22" s="250" t="e">
        <f>IF(S22="AIR",VLOOKUP(V22,'Catalogue Aluminium'!#REF!,2,FALSE),IF(S22="GROUND",VLOOKUP(V22,'Catalogue Aluminium'!#REF!,3,FALSE),IF(S22="DUCT",VLOOKUP(V22,'Catalogue Aluminium'!#REF!,4,FALSE),IF(S22="TRENCH",VLOOKUP(V22,'Catalogue Aluminium'!#REF!,2,FALSE)))))</f>
        <v>#REF!</v>
      </c>
      <c r="Z22" s="251" t="e">
        <f>VLOOKUP(V22,'Catalogue Aluminium'!#REF!,5,FALSE)</f>
        <v>#REF!</v>
      </c>
      <c r="AA22" s="251" t="e">
        <f>VLOOKUP(V22,'Catalogue Aluminium'!#REF!,6,FALSE)</f>
        <v>#REF!</v>
      </c>
      <c r="AB22" s="252">
        <v>15</v>
      </c>
      <c r="AC22" s="252">
        <v>0</v>
      </c>
      <c r="AD22" s="252">
        <v>10</v>
      </c>
      <c r="AE22" s="253">
        <f t="shared" si="77"/>
        <v>25</v>
      </c>
      <c r="AF22" s="250" t="e">
        <f>IF(S22="AIR",'Catalogue Aluminium'!#REF!,IF(S22="TRENCH",'Catalogue Aluminium'!#REF!,"NA"))</f>
        <v>#REF!</v>
      </c>
      <c r="AG22" s="248" t="e">
        <f>IF(S22="Air",(IF(T22="1C",'Catalogue Aluminium'!#REF!,'Catalogue Aluminium'!#REF!)),IF(S22="DUCT",(IF($T22="1C",'Catalogue Aluminium'!#REF!,'Catalogue Aluminium'!#REF!)),IF(S22="GROUND",(IF($T22="1C",'Catalogue Aluminium'!#REF!,'Catalogue Aluminium'!#REF!)),IF(S22="TRENCH",(IF($T22="1C",'Catalogue Aluminium'!#REF!,'Catalogue Aluminium'!#REF!))))))</f>
        <v>#REF!</v>
      </c>
      <c r="AH22" s="250" t="e">
        <f>IF(S22="Air",'Catalogue Aluminium'!#REF!,IF(S22="GROUND",'Catalogue Aluminium'!#REF!,IF(S22="DUCT",'Catalogue Aluminium'!#REF!,IF(S22="TRENCH",'Catalogue Aluminium'!#REF!,"NA"))))</f>
        <v>#REF!</v>
      </c>
      <c r="AI22" s="250" t="e">
        <f>IF(S22="Air",(IF(T22="1C",'Catalogue Aluminium'!#REF!,'Catalogue Aluminium'!#REF!)),IF(S22="DUCT",(IF($T22="1C",'Catalogue Aluminium'!#REF!,'Catalogue Aluminium'!#REF!)),IF(S22="GROUND",(IF($T22="1C",'Catalogue Aluminium'!#REF!,'Catalogue Aluminium'!#REF!)),IF(S22="TRENCH",(IF($T22="1C",'Catalogue Aluminium'!#REF!,'Catalogue Aluminium'!#REF!))))))</f>
        <v>#REF!</v>
      </c>
      <c r="AJ22" s="250" t="str">
        <f>IF(S22="AIR","NA",IF(S22="TRENCH","NA",IF(S22="DUCT",IF(T22="1C",VLOOKUP(U22,'Catalogue Aluminium'!#REF!,2,FALSE),VLOOKUP(U22,'Catalogue Aluminium'!#REF!,3)),IF(S22="GROUND",IF(T22="1C",VLOOKUP(U22,'Catalogue Aluminium'!#REF!,2,FALSE),VLOOKUP(U22,'Catalogue Aluminium'!#REF!,3))))))</f>
        <v>NA</v>
      </c>
      <c r="AK22" s="254" t="e">
        <f t="shared" ref="AK22" si="82">IF(S22="AIR",AF22*AG22,IF(S22="TRENCH",AF22*AG22,IF(S22="DUCT",AG22*AH22*AI22*AJ22,IF(S22="GROUND",AG22*AH22*AI22*AJ22))))</f>
        <v>#REF!</v>
      </c>
      <c r="AL22" s="248" t="e">
        <f t="shared" ref="AL22" si="83">Y22*AK22</f>
        <v>#REF!</v>
      </c>
      <c r="AM22" s="432" t="e">
        <f t="shared" si="69"/>
        <v>#REF!</v>
      </c>
      <c r="AN22" s="256" t="e">
        <f t="shared" ref="AN22" si="84">IF(AL22*AM22&gt;=M22,"YES","NO")</f>
        <v>#REF!</v>
      </c>
      <c r="AO22" s="257" t="e">
        <f t="shared" si="78"/>
        <v>#REF!</v>
      </c>
      <c r="AP22" s="249" t="e">
        <f t="shared" si="70"/>
        <v>#REF!</v>
      </c>
      <c r="AQ22" s="307" t="e">
        <f t="shared" si="71"/>
        <v>#REF!</v>
      </c>
      <c r="AR22" s="308" t="e">
        <f t="shared" si="72"/>
        <v>#REF!</v>
      </c>
      <c r="AS22" s="257" t="str">
        <f t="shared" si="73"/>
        <v>NA</v>
      </c>
      <c r="AT22" s="257" t="str">
        <f t="shared" si="74"/>
        <v>NA</v>
      </c>
      <c r="AU22" s="257" t="e">
        <f t="shared" si="51"/>
        <v>#REF!</v>
      </c>
      <c r="AV22" s="249" t="e">
        <f t="shared" si="75"/>
        <v>#REF!</v>
      </c>
      <c r="AW22" s="261" t="e">
        <f t="shared" si="29"/>
        <v>#REF!</v>
      </c>
      <c r="AX22" s="254"/>
      <c r="AY22" s="452">
        <v>56</v>
      </c>
      <c r="AZ22" s="250" t="e">
        <f t="shared" si="61"/>
        <v>#REF!</v>
      </c>
    </row>
    <row r="23" spans="1:53" ht="35.15" customHeight="1">
      <c r="A23" s="243">
        <f>A30+1</f>
        <v>17</v>
      </c>
      <c r="B23" s="272" t="s">
        <v>796</v>
      </c>
      <c r="C23" s="243" t="s">
        <v>776</v>
      </c>
      <c r="D23" s="313"/>
      <c r="E23" s="313"/>
      <c r="F23" s="246" t="s">
        <v>66</v>
      </c>
      <c r="G23" s="256"/>
      <c r="H23" s="243" t="s">
        <v>319</v>
      </c>
      <c r="I23" s="243" t="s">
        <v>777</v>
      </c>
      <c r="J23" s="247">
        <v>6600</v>
      </c>
      <c r="K23" s="248">
        <v>0.85</v>
      </c>
      <c r="L23" s="248">
        <v>0.95</v>
      </c>
      <c r="M23" s="248">
        <f>IF(H23="kVA",IF(I23="3Phase",(G23*1000/(1.732*L23*J23)),(G23*1000/(L23*J23))),IF(H23="kW",IF(I23="3Phase",(G23*1000/(1.732*L23*J23*K23)),(G23*1000/(L23*J23*K23)))))</f>
        <v>0</v>
      </c>
      <c r="N23" s="248">
        <f>IF(F23="M",IF(G23&gt;=600,6*M23,IF(G23&lt;600,6*M23)),0)</f>
        <v>0</v>
      </c>
      <c r="O23" s="250" t="str">
        <f>IF(F23="M",0.2,"0.00")</f>
        <v>0.00</v>
      </c>
      <c r="P23" s="248">
        <v>40</v>
      </c>
      <c r="Q23" s="248">
        <v>0.16</v>
      </c>
      <c r="R23" s="248">
        <f>(P23*1000*SQRT(Q23)/143)</f>
        <v>111.88811188811189</v>
      </c>
      <c r="S23" s="250" t="s">
        <v>131</v>
      </c>
      <c r="T23" s="248" t="s">
        <v>302</v>
      </c>
      <c r="U23" s="250">
        <v>120</v>
      </c>
      <c r="V23" s="249" t="str">
        <f>CONCATENATE(T23," X ",U23)</f>
        <v>3C X 120</v>
      </c>
      <c r="W23" s="249"/>
      <c r="X23" s="249" t="s">
        <v>778</v>
      </c>
      <c r="Y23" s="429" t="e">
        <f>IF(S23="AIR",VLOOKUP(V23,'Catalogue Aluminium'!#REF!,2,FALSE),IF(S23="GROUND",VLOOKUP(V23,'Catalogue Aluminium'!#REF!,3,FALSE),IF(S23="DUCT",VLOOKUP(V23,'Catalogue Aluminium'!#REF!,4,FALSE),IF(S23="TRENCH",VLOOKUP(V23,'Catalogue Aluminium'!#REF!,2,FALSE)))))</f>
        <v>#REF!</v>
      </c>
      <c r="Z23" s="430" t="e">
        <f>VLOOKUP(V23,'Catalogue Aluminium'!#REF!,5,FALSE)</f>
        <v>#REF!</v>
      </c>
      <c r="AA23" s="430" t="e">
        <f>VLOOKUP(V23,'Catalogue Aluminium'!#REF!,6,FALSE)</f>
        <v>#REF!</v>
      </c>
      <c r="AB23" s="252">
        <v>15</v>
      </c>
      <c r="AC23" s="252">
        <v>0</v>
      </c>
      <c r="AD23" s="252">
        <v>10</v>
      </c>
      <c r="AE23" s="253">
        <f>SUM(AB23:AD23)</f>
        <v>25</v>
      </c>
      <c r="AF23" s="429" t="e">
        <f>IF(S23="AIR",'Catalogue Aluminium'!#REF!,IF(S23="TRENCH",'Catalogue Aluminium'!#REF!,"NA"))</f>
        <v>#REF!</v>
      </c>
      <c r="AG23" s="431" t="e">
        <f>IF(S23="Air",(IF(T23="1C",'Catalogue Aluminium'!#REF!,'Catalogue Aluminium'!#REF!)),IF(S23="DUCT",(IF($T23="1C",'Catalogue Aluminium'!#REF!,'Catalogue Aluminium'!#REF!)),IF(S23="GROUND",(IF($T23="1C",'Catalogue Aluminium'!#REF!,'Catalogue Aluminium'!#REF!)),IF(S23="TRENCH",(IF($T23="1C",'Catalogue Aluminium'!#REF!,'Catalogue Aluminium'!#REF!))))))</f>
        <v>#REF!</v>
      </c>
      <c r="AH23" s="429" t="e">
        <f>IF(S23="Air",'Catalogue Aluminium'!#REF!,IF(S23="GROUND",'Catalogue Aluminium'!#REF!,IF(S23="DUCT",'Catalogue Aluminium'!#REF!,IF(S23="TRENCH",'Catalogue Aluminium'!#REF!,"NA"))))</f>
        <v>#REF!</v>
      </c>
      <c r="AI23" s="429" t="e">
        <f>IF(S23="Air",(IF(T23="1C",'Catalogue Aluminium'!#REF!,'Catalogue Aluminium'!#REF!)),IF(S23="DUCT",(IF($T23="1C",'Catalogue Aluminium'!#REF!,'Catalogue Aluminium'!#REF!)),IF(S23="GROUND",(IF($T23="1C",'Catalogue Aluminium'!#REF!,'Catalogue Aluminium'!#REF!)),IF(S23="TRENCH",(IF($T23="1C",'Catalogue Aluminium'!#REF!,'Catalogue Aluminium'!#REF!))))))</f>
        <v>#REF!</v>
      </c>
      <c r="AJ23" s="429" t="str">
        <f>IF(S23="AIR","NA",IF(S23="TRENCH","NA",IF(S23="DUCT",IF(T23="1C",VLOOKUP(U23,'Catalogue Aluminium'!#REF!,2,FALSE),VLOOKUP(U23,'Catalogue Aluminium'!#REF!,3)),IF(S23="GROUND",IF(T23="1C",VLOOKUP(U23,'Catalogue Aluminium'!#REF!,2,FALSE),VLOOKUP(U23,'Catalogue Aluminium'!#REF!,3))))))</f>
        <v>NA</v>
      </c>
      <c r="AK23" s="254" t="e">
        <f>IF(S23="AIR",AF23*AG23,IF(S23="TRENCH",AF23*AG23,IF(S23="DUCT",AG23*AH23*AI23*AJ23,IF(S23="GROUND",AG23*AH23*AI23*AJ23))))</f>
        <v>#REF!</v>
      </c>
      <c r="AL23" s="248" t="e">
        <f>Y23*AK23</f>
        <v>#REF!</v>
      </c>
      <c r="AM23" s="432">
        <v>1</v>
      </c>
      <c r="AN23" s="256" t="e">
        <f>IF(AL23*AM23&gt;=M23,"YES","NO")</f>
        <v>#REF!</v>
      </c>
      <c r="AO23" s="433" t="e">
        <f>SQRT(3)*AE23*M23*((Z23*K23)+(AA23*SIN(ACOS(K23))))*100/(AM23*J23*1000)</f>
        <v>#REF!</v>
      </c>
      <c r="AP23" s="434" t="e">
        <f>IF(F23="I",(IF(AO23&lt;=2,"YES","NO")),IF(F23="P",(IF(AO23&lt;=2,"YES","NO")),IF(F23="M",(IF(AO23&lt;=3,"YES","NO")))))</f>
        <v>#REF!</v>
      </c>
      <c r="AQ23" s="435" t="e">
        <f>M23*((Z23*K23) + (AA23*SIN(ACOS(K23))))</f>
        <v>#REF!</v>
      </c>
      <c r="AR23" s="436" t="e">
        <f>(5*1000*AM23*J23*10)/(AQ23)</f>
        <v>#REF!</v>
      </c>
      <c r="AS23" s="433" t="str">
        <f>IF(F23="M",(SQRT(3)*AE23*N23*((Z23*K23)+(AA23*SIN(ACOS(K23))))*100/(AM23*J23*1000)),"NA")</f>
        <v>NA</v>
      </c>
      <c r="AT23" s="433" t="str">
        <f>IF(F23="M",IF(AS23&lt;=10,"YES","NO"),"NA")</f>
        <v>NA</v>
      </c>
      <c r="AU23" s="257" t="str">
        <f t="shared" si="51"/>
        <v>1R x 0.6/1kV x 3C x 120 Sqmm</v>
      </c>
      <c r="AV23" s="249">
        <f>IF(T23="1C",(3*AE23*AM23),(AE23*AM23))</f>
        <v>25</v>
      </c>
      <c r="AW23" s="261">
        <f t="shared" si="29"/>
        <v>2</v>
      </c>
      <c r="AX23" s="254"/>
      <c r="AY23" s="437">
        <v>56</v>
      </c>
      <c r="AZ23" s="250">
        <f>AM23*AY23</f>
        <v>56</v>
      </c>
    </row>
    <row r="24" spans="1:53" ht="35.15" customHeight="1">
      <c r="A24" s="243">
        <f>A23+1</f>
        <v>18</v>
      </c>
      <c r="B24" s="272" t="s">
        <v>797</v>
      </c>
      <c r="C24" s="243" t="s">
        <v>776</v>
      </c>
      <c r="D24" s="313"/>
      <c r="E24" s="313"/>
      <c r="F24" s="246" t="s">
        <v>66</v>
      </c>
      <c r="G24" s="256"/>
      <c r="H24" s="243" t="s">
        <v>319</v>
      </c>
      <c r="I24" s="243" t="s">
        <v>777</v>
      </c>
      <c r="J24" s="247">
        <v>6600</v>
      </c>
      <c r="K24" s="248">
        <v>0.85</v>
      </c>
      <c r="L24" s="248">
        <v>0.95</v>
      </c>
      <c r="M24" s="248">
        <f>IF(H24="kVA",IF(I24="3Phase",(G24*1000/(1.732*L24*J24)),(G24*1000/(L24*J24))),IF(H24="kW",IF(I24="3Phase",(G24*1000/(1.732*L24*J24*K24)),(G24*1000/(L24*J24*K24)))))</f>
        <v>0</v>
      </c>
      <c r="N24" s="248">
        <f>IF(F24="M",IF(G24&gt;=600,6*M24,IF(G24&lt;600,6*M24)),0)</f>
        <v>0</v>
      </c>
      <c r="O24" s="250" t="str">
        <f>IF(F24="M",0.2,"0.00")</f>
        <v>0.00</v>
      </c>
      <c r="P24" s="248">
        <v>40</v>
      </c>
      <c r="Q24" s="248">
        <v>0.16</v>
      </c>
      <c r="R24" s="248">
        <f>(P24*1000*SQRT(Q24)/143)</f>
        <v>111.88811188811189</v>
      </c>
      <c r="S24" s="250" t="s">
        <v>131</v>
      </c>
      <c r="T24" s="248" t="s">
        <v>302</v>
      </c>
      <c r="U24" s="250">
        <v>120</v>
      </c>
      <c r="V24" s="249" t="str">
        <f>CONCATENATE(T24," X ",U24)</f>
        <v>3C X 120</v>
      </c>
      <c r="W24" s="249"/>
      <c r="X24" s="249" t="s">
        <v>778</v>
      </c>
      <c r="Y24" s="429" t="e">
        <f>IF(S24="AIR",VLOOKUP(V24,'Catalogue Aluminium'!#REF!,2,FALSE),IF(S24="GROUND",VLOOKUP(V24,'Catalogue Aluminium'!#REF!,3,FALSE),IF(S24="DUCT",VLOOKUP(V24,'Catalogue Aluminium'!#REF!,4,FALSE),IF(S24="TRENCH",VLOOKUP(V24,'Catalogue Aluminium'!#REF!,2,FALSE)))))</f>
        <v>#REF!</v>
      </c>
      <c r="Z24" s="430" t="e">
        <f>VLOOKUP(V24,'Catalogue Aluminium'!#REF!,5,FALSE)</f>
        <v>#REF!</v>
      </c>
      <c r="AA24" s="430" t="e">
        <f>VLOOKUP(V24,'Catalogue Aluminium'!#REF!,6,FALSE)</f>
        <v>#REF!</v>
      </c>
      <c r="AB24" s="252">
        <v>15</v>
      </c>
      <c r="AC24" s="252">
        <v>0</v>
      </c>
      <c r="AD24" s="252">
        <v>10</v>
      </c>
      <c r="AE24" s="253">
        <f>SUM(AB24:AD24)</f>
        <v>25</v>
      </c>
      <c r="AF24" s="429" t="e">
        <f>IF(S24="AIR",'Catalogue Aluminium'!#REF!,IF(S24="TRENCH",'Catalogue Aluminium'!#REF!,"NA"))</f>
        <v>#REF!</v>
      </c>
      <c r="AG24" s="431" t="e">
        <f>IF(S24="Air",(IF(T24="1C",'Catalogue Aluminium'!#REF!,'Catalogue Aluminium'!#REF!)),IF(S24="DUCT",(IF($T24="1C",'Catalogue Aluminium'!#REF!,'Catalogue Aluminium'!#REF!)),IF(S24="GROUND",(IF($T24="1C",'Catalogue Aluminium'!#REF!,'Catalogue Aluminium'!#REF!)),IF(S24="TRENCH",(IF($T24="1C",'Catalogue Aluminium'!#REF!,'Catalogue Aluminium'!#REF!))))))</f>
        <v>#REF!</v>
      </c>
      <c r="AH24" s="429" t="e">
        <f>IF(S24="Air",'Catalogue Aluminium'!#REF!,IF(S24="GROUND",'Catalogue Aluminium'!#REF!,IF(S24="DUCT",'Catalogue Aluminium'!#REF!,IF(S24="TRENCH",'Catalogue Aluminium'!#REF!,"NA"))))</f>
        <v>#REF!</v>
      </c>
      <c r="AI24" s="429" t="e">
        <f>IF(S24="Air",(IF(T24="1C",'Catalogue Aluminium'!#REF!,'Catalogue Aluminium'!#REF!)),IF(S24="DUCT",(IF($T24="1C",'Catalogue Aluminium'!#REF!,'Catalogue Aluminium'!#REF!)),IF(S24="GROUND",(IF($T24="1C",'Catalogue Aluminium'!#REF!,'Catalogue Aluminium'!#REF!)),IF(S24="TRENCH",(IF($T24="1C",'Catalogue Aluminium'!#REF!,'Catalogue Aluminium'!#REF!))))))</f>
        <v>#REF!</v>
      </c>
      <c r="AJ24" s="429" t="str">
        <f>IF(S24="AIR","NA",IF(S24="TRENCH","NA",IF(S24="DUCT",IF(T24="1C",VLOOKUP(U24,'Catalogue Aluminium'!#REF!,2,FALSE),VLOOKUP(U24,'Catalogue Aluminium'!#REF!,3)),IF(S24="GROUND",IF(T24="1C",VLOOKUP(U24,'Catalogue Aluminium'!#REF!,2,FALSE),VLOOKUP(U24,'Catalogue Aluminium'!#REF!,3))))))</f>
        <v>NA</v>
      </c>
      <c r="AK24" s="254" t="e">
        <f>IF(S24="AIR",AF24*AG24,IF(S24="TRENCH",AF24*AG24,IF(S24="DUCT",AG24*AH24*AI24*AJ24,IF(S24="GROUND",AG24*AH24*AI24*AJ24))))</f>
        <v>#REF!</v>
      </c>
      <c r="AL24" s="248" t="e">
        <f>Y24*AK24</f>
        <v>#REF!</v>
      </c>
      <c r="AM24" s="432">
        <v>1</v>
      </c>
      <c r="AN24" s="256" t="e">
        <f>IF(AL24*AM24&gt;=M24,"YES","NO")</f>
        <v>#REF!</v>
      </c>
      <c r="AO24" s="433" t="e">
        <f>SQRT(3)*AE24*M24*((Z24*K24)+(AA24*SIN(ACOS(K24))))*100/(AM24*J24*1000)</f>
        <v>#REF!</v>
      </c>
      <c r="AP24" s="434" t="e">
        <f>IF(F24="I",(IF(AO24&lt;=2,"YES","NO")),IF(F24="P",(IF(AO24&lt;=2,"YES","NO")),IF(F24="M",(IF(AO24&lt;=3,"YES","NO")))))</f>
        <v>#REF!</v>
      </c>
      <c r="AQ24" s="435" t="e">
        <f>M24*((Z24*K24) + (AA24*SIN(ACOS(K24))))</f>
        <v>#REF!</v>
      </c>
      <c r="AR24" s="436" t="e">
        <f>(5*1000*AM24*J24*10)/(AQ24)</f>
        <v>#REF!</v>
      </c>
      <c r="AS24" s="433" t="str">
        <f>IF(F24="M",(SQRT(3)*AE24*N24*((Z24*K24)+(AA24*SIN(ACOS(K24))))*100/(AM24*J24*1000)),"NA")</f>
        <v>NA</v>
      </c>
      <c r="AT24" s="433" t="str">
        <f>IF(F24="M",IF(AS24&lt;=10,"YES","NO"),"NA")</f>
        <v>NA</v>
      </c>
      <c r="AU24" s="257" t="str">
        <f t="shared" si="51"/>
        <v>1R x 0.6/1kV x 3C x 120 Sqmm</v>
      </c>
      <c r="AV24" s="249">
        <f>IF(T24="1C",(3*AE24*AM24),(AE24*AM24))</f>
        <v>25</v>
      </c>
      <c r="AW24" s="261">
        <f t="shared" si="29"/>
        <v>2</v>
      </c>
      <c r="AX24" s="254"/>
      <c r="AY24" s="437">
        <v>56</v>
      </c>
      <c r="AZ24" s="250">
        <f>AM24*AY24</f>
        <v>56</v>
      </c>
    </row>
    <row r="25" spans="1:53" ht="35.15" customHeight="1">
      <c r="A25" s="243">
        <f>A18+1</f>
        <v>11</v>
      </c>
      <c r="B25" s="272" t="s">
        <v>798</v>
      </c>
      <c r="C25" s="243" t="s">
        <v>776</v>
      </c>
      <c r="D25" s="303" t="s">
        <v>799</v>
      </c>
      <c r="E25" s="249">
        <v>25</v>
      </c>
      <c r="F25" s="246" t="s">
        <v>62</v>
      </c>
      <c r="G25" s="256">
        <v>1601.5</v>
      </c>
      <c r="H25" s="243" t="s">
        <v>299</v>
      </c>
      <c r="I25" s="243" t="s">
        <v>777</v>
      </c>
      <c r="J25" s="247">
        <v>6600</v>
      </c>
      <c r="K25" s="248">
        <v>0.85</v>
      </c>
      <c r="L25" s="248">
        <v>0.95</v>
      </c>
      <c r="M25" s="248">
        <f t="shared" si="1"/>
        <v>173.49724733589912</v>
      </c>
      <c r="N25" s="248">
        <f t="shared" si="2"/>
        <v>1040.9834840153947</v>
      </c>
      <c r="O25" s="250">
        <f t="shared" si="52"/>
        <v>0.2</v>
      </c>
      <c r="P25" s="248">
        <v>40</v>
      </c>
      <c r="Q25" s="248">
        <v>0.16</v>
      </c>
      <c r="R25" s="248">
        <f t="shared" si="53"/>
        <v>111.88811188811189</v>
      </c>
      <c r="S25" s="250" t="s">
        <v>131</v>
      </c>
      <c r="T25" s="248" t="s">
        <v>302</v>
      </c>
      <c r="U25" s="250">
        <v>120</v>
      </c>
      <c r="V25" s="249" t="str">
        <f t="shared" si="54"/>
        <v>3C X 120</v>
      </c>
      <c r="W25" s="249"/>
      <c r="X25" s="249" t="s">
        <v>778</v>
      </c>
      <c r="Y25" s="429" t="e">
        <f>IF(S25="AIR",VLOOKUP(V25,'Catalogue Aluminium'!#REF!,2,FALSE),IF(S25="GROUND",VLOOKUP(V25,'Catalogue Aluminium'!#REF!,3,FALSE),IF(S25="DUCT",VLOOKUP(V25,'Catalogue Aluminium'!#REF!,4,FALSE),IF(S25="TRENCH",VLOOKUP(V25,'Catalogue Aluminium'!#REF!,2,FALSE)))))</f>
        <v>#REF!</v>
      </c>
      <c r="Z25" s="430" t="e">
        <f>VLOOKUP(V25,'Catalogue Aluminium'!#REF!,5,FALSE)</f>
        <v>#REF!</v>
      </c>
      <c r="AA25" s="430" t="e">
        <f>VLOOKUP(V25,'Catalogue Aluminium'!#REF!,6,FALSE)</f>
        <v>#REF!</v>
      </c>
      <c r="AB25" s="252">
        <f>30+15</f>
        <v>45</v>
      </c>
      <c r="AC25" s="252">
        <f>(12+32+105+46+36+20)+20</f>
        <v>271</v>
      </c>
      <c r="AD25" s="252">
        <v>15</v>
      </c>
      <c r="AE25" s="253">
        <f t="shared" si="48"/>
        <v>331</v>
      </c>
      <c r="AF25" s="429" t="e">
        <f>IF(S25="AIR",'Catalogue Aluminium'!#REF!,IF(S25="TRENCH",'Catalogue Aluminium'!#REF!,"NA"))</f>
        <v>#REF!</v>
      </c>
      <c r="AG25" s="431" t="e">
        <f>IF(S25="Air",(IF(T25="1C",'Catalogue Aluminium'!#REF!,'Catalogue Aluminium'!#REF!)),IF(S25="DUCT",(IF($T25="1C",'Catalogue Aluminium'!#REF!,'Catalogue Aluminium'!#REF!)),IF(S25="GROUND",(IF($T25="1C",'Catalogue Aluminium'!#REF!,'Catalogue Aluminium'!#REF!)),IF(S25="TRENCH",(IF($T25="1C",'Catalogue Aluminium'!#REF!,'Catalogue Aluminium'!#REF!))))))</f>
        <v>#REF!</v>
      </c>
      <c r="AH25" s="429" t="e">
        <f>IF(S25="Air",'Catalogue Aluminium'!#REF!,IF(S25="GROUND",'Catalogue Aluminium'!#REF!,IF(S25="DUCT",'Catalogue Aluminium'!#REF!,IF(S25="TRENCH",'Catalogue Aluminium'!#REF!,"NA"))))</f>
        <v>#REF!</v>
      </c>
      <c r="AI25" s="429" t="e">
        <f>IF(S25="Air",(IF(T25="1C",'Catalogue Aluminium'!#REF!,'Catalogue Aluminium'!#REF!)),IF(S25="DUCT",(IF($T25="1C",'Catalogue Aluminium'!#REF!,'Catalogue Aluminium'!#REF!)),IF(S25="GROUND",(IF($T25="1C",'Catalogue Aluminium'!#REF!,'Catalogue Aluminium'!#REF!)),IF(S25="TRENCH",(IF($T25="1C",'Catalogue Aluminium'!#REF!,'Catalogue Aluminium'!#REF!))))))</f>
        <v>#REF!</v>
      </c>
      <c r="AJ25" s="429" t="str">
        <f>IF(S25="AIR","NA",IF(S25="TRENCH","NA",IF(S25="DUCT",IF(T25="1C",VLOOKUP(U25,'Catalogue Aluminium'!#REF!,2,FALSE),VLOOKUP(U25,'Catalogue Aluminium'!#REF!,3)),IF(S25="GROUND",IF(T25="1C",VLOOKUP(U25,'Catalogue Aluminium'!#REF!,2,FALSE),VLOOKUP(U25,'Catalogue Aluminium'!#REF!,3))))))</f>
        <v>NA</v>
      </c>
      <c r="AK25" s="254" t="e">
        <f t="shared" si="55"/>
        <v>#REF!</v>
      </c>
      <c r="AL25" s="248" t="e">
        <f t="shared" si="56"/>
        <v>#REF!</v>
      </c>
      <c r="AM25" s="432" t="e">
        <f t="shared" si="57"/>
        <v>#REF!</v>
      </c>
      <c r="AN25" s="256" t="e">
        <f t="shared" si="58"/>
        <v>#REF!</v>
      </c>
      <c r="AO25" s="433" t="e">
        <f t="shared" si="9"/>
        <v>#REF!</v>
      </c>
      <c r="AP25" s="434" t="e">
        <f t="shared" si="10"/>
        <v>#REF!</v>
      </c>
      <c r="AQ25" s="435" t="e">
        <f t="shared" si="11"/>
        <v>#REF!</v>
      </c>
      <c r="AR25" s="436" t="e">
        <f t="shared" si="12"/>
        <v>#REF!</v>
      </c>
      <c r="AS25" s="433" t="e">
        <f t="shared" si="13"/>
        <v>#REF!</v>
      </c>
      <c r="AT25" s="433" t="e">
        <f t="shared" si="14"/>
        <v>#REF!</v>
      </c>
      <c r="AU25" s="257" t="e">
        <f t="shared" si="51"/>
        <v>#REF!</v>
      </c>
      <c r="AV25" s="249" t="e">
        <f t="shared" si="32"/>
        <v>#REF!</v>
      </c>
      <c r="AW25" s="261" t="e">
        <f t="shared" si="29"/>
        <v>#REF!</v>
      </c>
      <c r="AX25" s="254"/>
      <c r="AY25" s="437">
        <v>56</v>
      </c>
      <c r="AZ25" s="250" t="e">
        <f t="shared" si="61"/>
        <v>#REF!</v>
      </c>
      <c r="BA25" s="681" t="e">
        <f>SUM(AZ25:AZ30)</f>
        <v>#REF!</v>
      </c>
    </row>
    <row r="26" spans="1:53" ht="35.15" customHeight="1">
      <c r="A26" s="243">
        <f t="shared" si="49"/>
        <v>12</v>
      </c>
      <c r="B26" s="272" t="s">
        <v>800</v>
      </c>
      <c r="C26" s="243" t="s">
        <v>776</v>
      </c>
      <c r="D26" s="303" t="s">
        <v>799</v>
      </c>
      <c r="E26" s="249">
        <v>25</v>
      </c>
      <c r="F26" s="246" t="s">
        <v>62</v>
      </c>
      <c r="G26" s="256">
        <v>1601.5</v>
      </c>
      <c r="H26" s="243" t="s">
        <v>299</v>
      </c>
      <c r="I26" s="243" t="s">
        <v>777</v>
      </c>
      <c r="J26" s="247">
        <v>6600</v>
      </c>
      <c r="K26" s="248">
        <v>0.85</v>
      </c>
      <c r="L26" s="248">
        <v>0.95</v>
      </c>
      <c r="M26" s="248">
        <f t="shared" si="1"/>
        <v>173.49724733589912</v>
      </c>
      <c r="N26" s="248">
        <f t="shared" si="2"/>
        <v>1040.9834840153947</v>
      </c>
      <c r="O26" s="250">
        <f t="shared" ref="O26:O30" si="85">IF(F26="M",0.2,"0.00")</f>
        <v>0.2</v>
      </c>
      <c r="P26" s="248">
        <v>40</v>
      </c>
      <c r="Q26" s="248">
        <v>0.16</v>
      </c>
      <c r="R26" s="248">
        <f t="shared" ref="R26:R30" si="86">(P26*1000*SQRT(Q26)/143)</f>
        <v>111.88811188811189</v>
      </c>
      <c r="S26" s="250" t="s">
        <v>131</v>
      </c>
      <c r="T26" s="248" t="s">
        <v>302</v>
      </c>
      <c r="U26" s="250">
        <v>120</v>
      </c>
      <c r="V26" s="249" t="str">
        <f t="shared" ref="V26:V30" si="87">CONCATENATE(T26," X ",U26)</f>
        <v>3C X 120</v>
      </c>
      <c r="W26" s="249"/>
      <c r="X26" s="249" t="s">
        <v>778</v>
      </c>
      <c r="Y26" s="429" t="e">
        <f>IF(S26="AIR",VLOOKUP(V26,'Catalogue Aluminium'!#REF!,2,FALSE),IF(S26="GROUND",VLOOKUP(V26,'Catalogue Aluminium'!#REF!,3,FALSE),IF(S26="DUCT",VLOOKUP(V26,'Catalogue Aluminium'!#REF!,4,FALSE),IF(S26="TRENCH",VLOOKUP(V26,'Catalogue Aluminium'!#REF!,2,FALSE)))))</f>
        <v>#REF!</v>
      </c>
      <c r="Z26" s="430" t="e">
        <f>VLOOKUP(V26,'Catalogue Aluminium'!#REF!,5,FALSE)</f>
        <v>#REF!</v>
      </c>
      <c r="AA26" s="430" t="e">
        <f>VLOOKUP(V26,'Catalogue Aluminium'!#REF!,6,FALSE)</f>
        <v>#REF!</v>
      </c>
      <c r="AB26" s="252">
        <f>30+15</f>
        <v>45</v>
      </c>
      <c r="AC26" s="252">
        <f>(12+32+105+46+40+36+20)+20</f>
        <v>311</v>
      </c>
      <c r="AD26" s="252">
        <v>15</v>
      </c>
      <c r="AE26" s="253">
        <f t="shared" ref="AE26:AE28" si="88">SUM(AB26:AD26)</f>
        <v>371</v>
      </c>
      <c r="AF26" s="429" t="e">
        <f>IF(S26="AIR",'Catalogue Aluminium'!#REF!,IF(S26="TRENCH",'Catalogue Aluminium'!#REF!,"NA"))</f>
        <v>#REF!</v>
      </c>
      <c r="AG26" s="431" t="e">
        <f>IF(S26="Air",(IF(T26="1C",'Catalogue Aluminium'!#REF!,'Catalogue Aluminium'!#REF!)),IF(S26="DUCT",(IF($T26="1C",'Catalogue Aluminium'!#REF!,'Catalogue Aluminium'!#REF!)),IF(S26="GROUND",(IF($T26="1C",'Catalogue Aluminium'!#REF!,'Catalogue Aluminium'!#REF!)),IF(S26="TRENCH",(IF($T26="1C",'Catalogue Aluminium'!#REF!,'Catalogue Aluminium'!#REF!))))))</f>
        <v>#REF!</v>
      </c>
      <c r="AH26" s="429" t="e">
        <f>IF(S26="Air",'Catalogue Aluminium'!#REF!,IF(S26="GROUND",'Catalogue Aluminium'!#REF!,IF(S26="DUCT",'Catalogue Aluminium'!#REF!,IF(S26="TRENCH",'Catalogue Aluminium'!#REF!,"NA"))))</f>
        <v>#REF!</v>
      </c>
      <c r="AI26" s="429" t="e">
        <f>IF(S26="Air",(IF(T26="1C",'Catalogue Aluminium'!#REF!,'Catalogue Aluminium'!#REF!)),IF(S26="DUCT",(IF($T26="1C",'Catalogue Aluminium'!#REF!,'Catalogue Aluminium'!#REF!)),IF(S26="GROUND",(IF($T26="1C",'Catalogue Aluminium'!#REF!,'Catalogue Aluminium'!#REF!)),IF(S26="TRENCH",(IF($T26="1C",'Catalogue Aluminium'!#REF!,'Catalogue Aluminium'!#REF!))))))</f>
        <v>#REF!</v>
      </c>
      <c r="AJ26" s="429" t="str">
        <f>IF(S26="AIR","NA",IF(S26="TRENCH","NA",IF(S26="DUCT",IF(T26="1C",VLOOKUP(U26,'Catalogue Aluminium'!#REF!,2,FALSE),VLOOKUP(U26,'Catalogue Aluminium'!#REF!,3)),IF(S26="GROUND",IF(T26="1C",VLOOKUP(U26,'Catalogue Aluminium'!#REF!,2,FALSE),VLOOKUP(U26,'Catalogue Aluminium'!#REF!,3))))))</f>
        <v>NA</v>
      </c>
      <c r="AK26" s="254" t="e">
        <f t="shared" ref="AK26:AK30" si="89">IF(S26="AIR",AF26*AG26,IF(S26="TRENCH",AF26*AG26,IF(S26="DUCT",AG26*AH26*AI26*AJ26,IF(S26="GROUND",AG26*AH26*AI26*AJ26))))</f>
        <v>#REF!</v>
      </c>
      <c r="AL26" s="248" t="e">
        <f t="shared" ref="AL26:AL30" si="90">Y26*AK26</f>
        <v>#REF!</v>
      </c>
      <c r="AM26" s="432" t="e">
        <f t="shared" si="57"/>
        <v>#REF!</v>
      </c>
      <c r="AN26" s="256" t="e">
        <f t="shared" ref="AN26:AN30" si="91">IF(AL26*AM26&gt;=M26,"YES","NO")</f>
        <v>#REF!</v>
      </c>
      <c r="AO26" s="433" t="e">
        <f t="shared" si="9"/>
        <v>#REF!</v>
      </c>
      <c r="AP26" s="434" t="e">
        <f t="shared" si="10"/>
        <v>#REF!</v>
      </c>
      <c r="AQ26" s="435" t="e">
        <f t="shared" si="11"/>
        <v>#REF!</v>
      </c>
      <c r="AR26" s="436" t="e">
        <f t="shared" si="12"/>
        <v>#REF!</v>
      </c>
      <c r="AS26" s="433" t="e">
        <f t="shared" si="13"/>
        <v>#REF!</v>
      </c>
      <c r="AT26" s="433" t="e">
        <f t="shared" si="14"/>
        <v>#REF!</v>
      </c>
      <c r="AU26" s="257" t="e">
        <f t="shared" si="51"/>
        <v>#REF!</v>
      </c>
      <c r="AV26" s="249" t="e">
        <f t="shared" si="32"/>
        <v>#REF!</v>
      </c>
      <c r="AW26" s="261" t="e">
        <f t="shared" si="29"/>
        <v>#REF!</v>
      </c>
      <c r="AX26" s="254"/>
      <c r="AY26" s="437">
        <v>56</v>
      </c>
      <c r="AZ26" s="250" t="e">
        <f t="shared" si="61"/>
        <v>#REF!</v>
      </c>
      <c r="BA26" s="681"/>
    </row>
    <row r="27" spans="1:53" ht="35.15" customHeight="1">
      <c r="A27" s="243">
        <f t="shared" si="49"/>
        <v>13</v>
      </c>
      <c r="B27" s="272" t="s">
        <v>801</v>
      </c>
      <c r="C27" s="243" t="s">
        <v>776</v>
      </c>
      <c r="D27" s="303" t="s">
        <v>799</v>
      </c>
      <c r="E27" s="249">
        <v>25</v>
      </c>
      <c r="F27" s="246" t="s">
        <v>62</v>
      </c>
      <c r="G27" s="256">
        <v>1601.5</v>
      </c>
      <c r="H27" s="243" t="s">
        <v>299</v>
      </c>
      <c r="I27" s="243" t="s">
        <v>777</v>
      </c>
      <c r="J27" s="247">
        <v>6600</v>
      </c>
      <c r="K27" s="248">
        <v>0.85</v>
      </c>
      <c r="L27" s="248">
        <v>0.95</v>
      </c>
      <c r="M27" s="248">
        <f t="shared" si="1"/>
        <v>173.49724733589912</v>
      </c>
      <c r="N27" s="248">
        <f t="shared" si="2"/>
        <v>1040.9834840153947</v>
      </c>
      <c r="O27" s="250">
        <f t="shared" si="85"/>
        <v>0.2</v>
      </c>
      <c r="P27" s="248">
        <v>40</v>
      </c>
      <c r="Q27" s="248">
        <v>0.16</v>
      </c>
      <c r="R27" s="248">
        <f t="shared" si="86"/>
        <v>111.88811188811189</v>
      </c>
      <c r="S27" s="250" t="s">
        <v>131</v>
      </c>
      <c r="T27" s="248" t="s">
        <v>302</v>
      </c>
      <c r="U27" s="250">
        <v>120</v>
      </c>
      <c r="V27" s="249" t="str">
        <f t="shared" si="87"/>
        <v>3C X 120</v>
      </c>
      <c r="W27" s="249"/>
      <c r="X27" s="249" t="s">
        <v>778</v>
      </c>
      <c r="Y27" s="429" t="e">
        <f>IF(S27="AIR",VLOOKUP(V27,'Catalogue Aluminium'!#REF!,2,FALSE),IF(S27="GROUND",VLOOKUP(V27,'Catalogue Aluminium'!#REF!,3,FALSE),IF(S27="DUCT",VLOOKUP(V27,'Catalogue Aluminium'!#REF!,4,FALSE),IF(S27="TRENCH",VLOOKUP(V27,'Catalogue Aluminium'!#REF!,2,FALSE)))))</f>
        <v>#REF!</v>
      </c>
      <c r="Z27" s="430" t="e">
        <f>VLOOKUP(V27,'Catalogue Aluminium'!#REF!,5,FALSE)</f>
        <v>#REF!</v>
      </c>
      <c r="AA27" s="430" t="e">
        <f>VLOOKUP(V27,'Catalogue Aluminium'!#REF!,6,FALSE)</f>
        <v>#REF!</v>
      </c>
      <c r="AB27" s="252">
        <f>30+15</f>
        <v>45</v>
      </c>
      <c r="AC27" s="252">
        <f>(12+32+105+46+40+36+20)+20</f>
        <v>311</v>
      </c>
      <c r="AD27" s="252">
        <v>15</v>
      </c>
      <c r="AE27" s="253">
        <f t="shared" si="88"/>
        <v>371</v>
      </c>
      <c r="AF27" s="429" t="e">
        <f>IF(S27="AIR",'Catalogue Aluminium'!#REF!,IF(S27="TRENCH",'Catalogue Aluminium'!#REF!,"NA"))</f>
        <v>#REF!</v>
      </c>
      <c r="AG27" s="431" t="e">
        <f>IF(S27="Air",(IF(T27="1C",'Catalogue Aluminium'!#REF!,'Catalogue Aluminium'!#REF!)),IF(S27="DUCT",(IF($T27="1C",'Catalogue Aluminium'!#REF!,'Catalogue Aluminium'!#REF!)),IF(S27="GROUND",(IF($T27="1C",'Catalogue Aluminium'!#REF!,'Catalogue Aluminium'!#REF!)),IF(S27="TRENCH",(IF($T27="1C",'Catalogue Aluminium'!#REF!,'Catalogue Aluminium'!#REF!))))))</f>
        <v>#REF!</v>
      </c>
      <c r="AH27" s="429" t="e">
        <f>IF(S27="Air",'Catalogue Aluminium'!#REF!,IF(S27="GROUND",'Catalogue Aluminium'!#REF!,IF(S27="DUCT",'Catalogue Aluminium'!#REF!,IF(S27="TRENCH",'Catalogue Aluminium'!#REF!,"NA"))))</f>
        <v>#REF!</v>
      </c>
      <c r="AI27" s="429" t="e">
        <f>IF(S27="Air",(IF(T27="1C",'Catalogue Aluminium'!#REF!,'Catalogue Aluminium'!#REF!)),IF(S27="DUCT",(IF($T27="1C",'Catalogue Aluminium'!#REF!,'Catalogue Aluminium'!#REF!)),IF(S27="GROUND",(IF($T27="1C",'Catalogue Aluminium'!#REF!,'Catalogue Aluminium'!#REF!)),IF(S27="TRENCH",(IF($T27="1C",'Catalogue Aluminium'!#REF!,'Catalogue Aluminium'!#REF!))))))</f>
        <v>#REF!</v>
      </c>
      <c r="AJ27" s="429" t="str">
        <f>IF(S27="AIR","NA",IF(S27="TRENCH","NA",IF(S27="DUCT",IF(T27="1C",VLOOKUP(U27,'Catalogue Aluminium'!#REF!,2,FALSE),VLOOKUP(U27,'Catalogue Aluminium'!#REF!,3)),IF(S27="GROUND",IF(T27="1C",VLOOKUP(U27,'Catalogue Aluminium'!#REF!,2,FALSE),VLOOKUP(U27,'Catalogue Aluminium'!#REF!,3))))))</f>
        <v>NA</v>
      </c>
      <c r="AK27" s="254" t="e">
        <f t="shared" si="89"/>
        <v>#REF!</v>
      </c>
      <c r="AL27" s="248" t="e">
        <f t="shared" si="90"/>
        <v>#REF!</v>
      </c>
      <c r="AM27" s="432" t="e">
        <f t="shared" si="57"/>
        <v>#REF!</v>
      </c>
      <c r="AN27" s="256" t="e">
        <f t="shared" si="91"/>
        <v>#REF!</v>
      </c>
      <c r="AO27" s="433" t="e">
        <f t="shared" si="9"/>
        <v>#REF!</v>
      </c>
      <c r="AP27" s="434" t="e">
        <f t="shared" si="10"/>
        <v>#REF!</v>
      </c>
      <c r="AQ27" s="435" t="e">
        <f t="shared" si="11"/>
        <v>#REF!</v>
      </c>
      <c r="AR27" s="436" t="e">
        <f t="shared" si="12"/>
        <v>#REF!</v>
      </c>
      <c r="AS27" s="433" t="e">
        <f t="shared" si="13"/>
        <v>#REF!</v>
      </c>
      <c r="AT27" s="433" t="e">
        <f t="shared" si="14"/>
        <v>#REF!</v>
      </c>
      <c r="AU27" s="257" t="e">
        <f t="shared" si="51"/>
        <v>#REF!</v>
      </c>
      <c r="AV27" s="249" t="e">
        <f t="shared" si="32"/>
        <v>#REF!</v>
      </c>
      <c r="AW27" s="261" t="e">
        <f t="shared" si="29"/>
        <v>#REF!</v>
      </c>
      <c r="AX27" s="254"/>
      <c r="AY27" s="437">
        <v>56</v>
      </c>
      <c r="AZ27" s="250" t="e">
        <f t="shared" si="61"/>
        <v>#REF!</v>
      </c>
      <c r="BA27" s="681"/>
    </row>
    <row r="28" spans="1:53" ht="35.15" customHeight="1">
      <c r="A28" s="243">
        <f t="shared" si="49"/>
        <v>14</v>
      </c>
      <c r="B28" s="272" t="s">
        <v>802</v>
      </c>
      <c r="C28" s="243" t="s">
        <v>776</v>
      </c>
      <c r="D28" s="303" t="s">
        <v>803</v>
      </c>
      <c r="E28" s="249">
        <v>31</v>
      </c>
      <c r="F28" s="246" t="s">
        <v>62</v>
      </c>
      <c r="G28" s="256">
        <v>713.6</v>
      </c>
      <c r="H28" s="243" t="s">
        <v>299</v>
      </c>
      <c r="I28" s="243" t="s">
        <v>777</v>
      </c>
      <c r="J28" s="247">
        <v>6600</v>
      </c>
      <c r="K28" s="248">
        <v>0.85</v>
      </c>
      <c r="L28" s="248">
        <v>0.95</v>
      </c>
      <c r="M28" s="248">
        <f t="shared" ref="M28:M30" si="92">IF(H28="kVA",IF(I28="3Phase",(G28*1000/(1.732*L28*J28)),(G28*1000/(L28*J28))),IF(H28="kW",IF(I28="3Phase",(G28*1000/(1.732*L28*J28*K28)),(G28*1000/(L28*J28*K28)))))</f>
        <v>77.307296721134946</v>
      </c>
      <c r="N28" s="248">
        <f t="shared" ref="N28:N30" si="93">IF(F28="M",IF(G28&gt;=600,6*M28,IF(G28&lt;600,6*M28)),0)</f>
        <v>463.84378032680968</v>
      </c>
      <c r="O28" s="250">
        <f t="shared" si="85"/>
        <v>0.2</v>
      </c>
      <c r="P28" s="248">
        <v>40</v>
      </c>
      <c r="Q28" s="248">
        <v>0.16</v>
      </c>
      <c r="R28" s="248">
        <f t="shared" si="86"/>
        <v>111.88811188811189</v>
      </c>
      <c r="S28" s="250" t="s">
        <v>131</v>
      </c>
      <c r="T28" s="248" t="s">
        <v>302</v>
      </c>
      <c r="U28" s="250">
        <v>120</v>
      </c>
      <c r="V28" s="249" t="str">
        <f t="shared" si="87"/>
        <v>3C X 120</v>
      </c>
      <c r="W28" s="249"/>
      <c r="X28" s="249" t="s">
        <v>778</v>
      </c>
      <c r="Y28" s="429" t="e">
        <f>IF(S28="AIR",VLOOKUP(V28,'Catalogue Aluminium'!#REF!,2,FALSE),IF(S28="GROUND",VLOOKUP(V28,'Catalogue Aluminium'!#REF!,3,FALSE),IF(S28="DUCT",VLOOKUP(V28,'Catalogue Aluminium'!#REF!,4,FALSE),IF(S28="TRENCH",VLOOKUP(V28,'Catalogue Aluminium'!#REF!,2,FALSE)))))</f>
        <v>#REF!</v>
      </c>
      <c r="Z28" s="430" t="e">
        <f>VLOOKUP(V28,'Catalogue Aluminium'!#REF!,5,FALSE)</f>
        <v>#REF!</v>
      </c>
      <c r="AA28" s="430" t="e">
        <f>VLOOKUP(V28,'Catalogue Aluminium'!#REF!,6,FALSE)</f>
        <v>#REF!</v>
      </c>
      <c r="AB28" s="252">
        <f t="shared" ref="AB28:AB30" si="94">30+15</f>
        <v>45</v>
      </c>
      <c r="AC28" s="252">
        <f>(12+32+105+46+36+20)+20</f>
        <v>271</v>
      </c>
      <c r="AD28" s="252">
        <v>15</v>
      </c>
      <c r="AE28" s="253">
        <f t="shared" si="88"/>
        <v>331</v>
      </c>
      <c r="AF28" s="429" t="e">
        <f>IF(S28="AIR",'Catalogue Aluminium'!#REF!,IF(S28="TRENCH",'Catalogue Aluminium'!#REF!,"NA"))</f>
        <v>#REF!</v>
      </c>
      <c r="AG28" s="431" t="e">
        <f>IF(S28="Air",(IF(T28="1C",'Catalogue Aluminium'!#REF!,'Catalogue Aluminium'!#REF!)),IF(S28="DUCT",(IF($T28="1C",'Catalogue Aluminium'!#REF!,'Catalogue Aluminium'!#REF!)),IF(S28="GROUND",(IF($T28="1C",'Catalogue Aluminium'!#REF!,'Catalogue Aluminium'!#REF!)),IF(S28="TRENCH",(IF($T28="1C",'Catalogue Aluminium'!#REF!,'Catalogue Aluminium'!#REF!))))))</f>
        <v>#REF!</v>
      </c>
      <c r="AH28" s="429" t="e">
        <f>IF(S28="Air",'Catalogue Aluminium'!#REF!,IF(S28="GROUND",'Catalogue Aluminium'!#REF!,IF(S28="DUCT",'Catalogue Aluminium'!#REF!,IF(S28="TRENCH",'Catalogue Aluminium'!#REF!,"NA"))))</f>
        <v>#REF!</v>
      </c>
      <c r="AI28" s="429" t="e">
        <f>IF(S28="Air",(IF(T28="1C",'Catalogue Aluminium'!#REF!,'Catalogue Aluminium'!#REF!)),IF(S28="DUCT",(IF($T28="1C",'Catalogue Aluminium'!#REF!,'Catalogue Aluminium'!#REF!)),IF(S28="GROUND",(IF($T28="1C",'Catalogue Aluminium'!#REF!,'Catalogue Aluminium'!#REF!)),IF(S28="TRENCH",(IF($T28="1C",'Catalogue Aluminium'!#REF!,'Catalogue Aluminium'!#REF!))))))</f>
        <v>#REF!</v>
      </c>
      <c r="AJ28" s="429" t="str">
        <f>IF(S28="AIR","NA",IF(S28="TRENCH","NA",IF(S28="DUCT",IF(T28="1C",VLOOKUP(U28,'Catalogue Aluminium'!#REF!,2,FALSE),VLOOKUP(U28,'Catalogue Aluminium'!#REF!,3)),IF(S28="GROUND",IF(T28="1C",VLOOKUP(U28,'Catalogue Aluminium'!#REF!,2,FALSE),VLOOKUP(U28,'Catalogue Aluminium'!#REF!,3))))))</f>
        <v>NA</v>
      </c>
      <c r="AK28" s="254" t="e">
        <f t="shared" si="89"/>
        <v>#REF!</v>
      </c>
      <c r="AL28" s="248" t="e">
        <f t="shared" si="90"/>
        <v>#REF!</v>
      </c>
      <c r="AM28" s="432" t="e">
        <f t="shared" si="57"/>
        <v>#REF!</v>
      </c>
      <c r="AN28" s="256" t="e">
        <f t="shared" si="91"/>
        <v>#REF!</v>
      </c>
      <c r="AO28" s="433" t="e">
        <f t="shared" si="9"/>
        <v>#REF!</v>
      </c>
      <c r="AP28" s="434" t="e">
        <f t="shared" si="10"/>
        <v>#REF!</v>
      </c>
      <c r="AQ28" s="435" t="e">
        <f t="shared" si="11"/>
        <v>#REF!</v>
      </c>
      <c r="AR28" s="436" t="e">
        <f t="shared" si="12"/>
        <v>#REF!</v>
      </c>
      <c r="AS28" s="433" t="e">
        <f t="shared" si="13"/>
        <v>#REF!</v>
      </c>
      <c r="AT28" s="433" t="e">
        <f t="shared" si="14"/>
        <v>#REF!</v>
      </c>
      <c r="AU28" s="257" t="e">
        <f t="shared" si="51"/>
        <v>#REF!</v>
      </c>
      <c r="AV28" s="249" t="e">
        <f t="shared" si="32"/>
        <v>#REF!</v>
      </c>
      <c r="AW28" s="261" t="e">
        <f t="shared" si="29"/>
        <v>#REF!</v>
      </c>
      <c r="AX28" s="254"/>
      <c r="AY28" s="437">
        <v>56</v>
      </c>
      <c r="AZ28" s="250" t="e">
        <f t="shared" si="61"/>
        <v>#REF!</v>
      </c>
      <c r="BA28" s="681"/>
    </row>
    <row r="29" spans="1:53" ht="35.15" customHeight="1">
      <c r="A29" s="243">
        <f t="shared" si="49"/>
        <v>15</v>
      </c>
      <c r="B29" s="272" t="s">
        <v>804</v>
      </c>
      <c r="C29" s="243" t="s">
        <v>776</v>
      </c>
      <c r="D29" s="303" t="s">
        <v>803</v>
      </c>
      <c r="E29" s="249">
        <v>31</v>
      </c>
      <c r="F29" s="246" t="s">
        <v>62</v>
      </c>
      <c r="G29" s="256">
        <v>713.6</v>
      </c>
      <c r="H29" s="243" t="s">
        <v>299</v>
      </c>
      <c r="I29" s="243" t="s">
        <v>777</v>
      </c>
      <c r="J29" s="247">
        <v>6600</v>
      </c>
      <c r="K29" s="248">
        <v>0.85</v>
      </c>
      <c r="L29" s="248">
        <v>0.95</v>
      </c>
      <c r="M29" s="248">
        <f t="shared" si="92"/>
        <v>77.307296721134946</v>
      </c>
      <c r="N29" s="248">
        <f t="shared" si="93"/>
        <v>463.84378032680968</v>
      </c>
      <c r="O29" s="250">
        <f t="shared" si="85"/>
        <v>0.2</v>
      </c>
      <c r="P29" s="248">
        <v>40</v>
      </c>
      <c r="Q29" s="248">
        <v>0.16</v>
      </c>
      <c r="R29" s="248">
        <f t="shared" si="86"/>
        <v>111.88811188811189</v>
      </c>
      <c r="S29" s="250" t="s">
        <v>131</v>
      </c>
      <c r="T29" s="248" t="s">
        <v>302</v>
      </c>
      <c r="U29" s="250">
        <v>120</v>
      </c>
      <c r="V29" s="249" t="str">
        <f t="shared" si="87"/>
        <v>3C X 120</v>
      </c>
      <c r="W29" s="249"/>
      <c r="X29" s="249" t="s">
        <v>778</v>
      </c>
      <c r="Y29" s="429" t="e">
        <f>IF(S29="AIR",VLOOKUP(V29,'Catalogue Aluminium'!#REF!,2,FALSE),IF(S29="GROUND",VLOOKUP(V29,'Catalogue Aluminium'!#REF!,3,FALSE),IF(S29="DUCT",VLOOKUP(V29,'Catalogue Aluminium'!#REF!,4,FALSE),IF(S29="TRENCH",VLOOKUP(V29,'Catalogue Aluminium'!#REF!,2,FALSE)))))</f>
        <v>#REF!</v>
      </c>
      <c r="Z29" s="430" t="e">
        <f>VLOOKUP(V29,'Catalogue Aluminium'!#REF!,5,FALSE)</f>
        <v>#REF!</v>
      </c>
      <c r="AA29" s="430" t="e">
        <f>VLOOKUP(V29,'Catalogue Aluminium'!#REF!,6,FALSE)</f>
        <v>#REF!</v>
      </c>
      <c r="AB29" s="252">
        <f t="shared" si="94"/>
        <v>45</v>
      </c>
      <c r="AC29" s="252">
        <f t="shared" ref="AC29:AC30" si="95">(12+32+105+46+36+20)+20</f>
        <v>271</v>
      </c>
      <c r="AD29" s="252">
        <v>15</v>
      </c>
      <c r="AE29" s="253">
        <f t="shared" ref="AE29:AE31" si="96">SUM(AB29:AD29)</f>
        <v>331</v>
      </c>
      <c r="AF29" s="429" t="e">
        <f>IF(S29="AIR",'Catalogue Aluminium'!#REF!,IF(S29="TRENCH",'Catalogue Aluminium'!#REF!,"NA"))</f>
        <v>#REF!</v>
      </c>
      <c r="AG29" s="431" t="e">
        <f>IF(S29="Air",(IF(T29="1C",'Catalogue Aluminium'!#REF!,'Catalogue Aluminium'!#REF!)),IF(S29="DUCT",(IF($T29="1C",'Catalogue Aluminium'!#REF!,'Catalogue Aluminium'!#REF!)),IF(S29="GROUND",(IF($T29="1C",'Catalogue Aluminium'!#REF!,'Catalogue Aluminium'!#REF!)),IF(S29="TRENCH",(IF($T29="1C",'Catalogue Aluminium'!#REF!,'Catalogue Aluminium'!#REF!))))))</f>
        <v>#REF!</v>
      </c>
      <c r="AH29" s="429" t="e">
        <f>IF(S29="Air",'Catalogue Aluminium'!#REF!,IF(S29="GROUND",'Catalogue Aluminium'!#REF!,IF(S29="DUCT",'Catalogue Aluminium'!#REF!,IF(S29="TRENCH",'Catalogue Aluminium'!#REF!,"NA"))))</f>
        <v>#REF!</v>
      </c>
      <c r="AI29" s="429" t="e">
        <f>IF(S29="Air",(IF(T29="1C",'Catalogue Aluminium'!#REF!,'Catalogue Aluminium'!#REF!)),IF(S29="DUCT",(IF($T29="1C",'Catalogue Aluminium'!#REF!,'Catalogue Aluminium'!#REF!)),IF(S29="GROUND",(IF($T29="1C",'Catalogue Aluminium'!#REF!,'Catalogue Aluminium'!#REF!)),IF(S29="TRENCH",(IF($T29="1C",'Catalogue Aluminium'!#REF!,'Catalogue Aluminium'!#REF!))))))</f>
        <v>#REF!</v>
      </c>
      <c r="AJ29" s="429" t="str">
        <f>IF(S29="AIR","NA",IF(S29="TRENCH","NA",IF(S29="DUCT",IF(T29="1C",VLOOKUP(U29,'Catalogue Aluminium'!#REF!,2,FALSE),VLOOKUP(U29,'Catalogue Aluminium'!#REF!,3)),IF(S29="GROUND",IF(T29="1C",VLOOKUP(U29,'Catalogue Aluminium'!#REF!,2,FALSE),VLOOKUP(U29,'Catalogue Aluminium'!#REF!,3))))))</f>
        <v>NA</v>
      </c>
      <c r="AK29" s="254" t="e">
        <f t="shared" si="89"/>
        <v>#REF!</v>
      </c>
      <c r="AL29" s="248" t="e">
        <f t="shared" si="90"/>
        <v>#REF!</v>
      </c>
      <c r="AM29" s="432" t="e">
        <f t="shared" si="57"/>
        <v>#REF!</v>
      </c>
      <c r="AN29" s="256" t="e">
        <f t="shared" si="91"/>
        <v>#REF!</v>
      </c>
      <c r="AO29" s="433" t="e">
        <f t="shared" si="9"/>
        <v>#REF!</v>
      </c>
      <c r="AP29" s="434" t="e">
        <f t="shared" si="10"/>
        <v>#REF!</v>
      </c>
      <c r="AQ29" s="435" t="e">
        <f t="shared" si="11"/>
        <v>#REF!</v>
      </c>
      <c r="AR29" s="436" t="e">
        <f t="shared" si="12"/>
        <v>#REF!</v>
      </c>
      <c r="AS29" s="433" t="e">
        <f t="shared" si="13"/>
        <v>#REF!</v>
      </c>
      <c r="AT29" s="433" t="e">
        <f t="shared" si="14"/>
        <v>#REF!</v>
      </c>
      <c r="AU29" s="257" t="e">
        <f t="shared" si="51"/>
        <v>#REF!</v>
      </c>
      <c r="AV29" s="249" t="e">
        <f t="shared" si="32"/>
        <v>#REF!</v>
      </c>
      <c r="AW29" s="261" t="e">
        <f t="shared" si="29"/>
        <v>#REF!</v>
      </c>
      <c r="AX29" s="254"/>
      <c r="AY29" s="437">
        <v>56</v>
      </c>
      <c r="AZ29" s="250" t="e">
        <f t="shared" si="61"/>
        <v>#REF!</v>
      </c>
      <c r="BA29" s="681"/>
    </row>
    <row r="30" spans="1:53" ht="35.15" customHeight="1">
      <c r="A30" s="243">
        <f t="shared" si="49"/>
        <v>16</v>
      </c>
      <c r="B30" s="272" t="s">
        <v>805</v>
      </c>
      <c r="C30" s="243" t="s">
        <v>776</v>
      </c>
      <c r="D30" s="303" t="s">
        <v>803</v>
      </c>
      <c r="E30" s="249">
        <v>31</v>
      </c>
      <c r="F30" s="246" t="s">
        <v>62</v>
      </c>
      <c r="G30" s="256">
        <v>713.6</v>
      </c>
      <c r="H30" s="243" t="s">
        <v>299</v>
      </c>
      <c r="I30" s="243" t="s">
        <v>777</v>
      </c>
      <c r="J30" s="247">
        <v>6600</v>
      </c>
      <c r="K30" s="248">
        <v>0.85</v>
      </c>
      <c r="L30" s="248">
        <v>0.95</v>
      </c>
      <c r="M30" s="248">
        <f t="shared" si="92"/>
        <v>77.307296721134946</v>
      </c>
      <c r="N30" s="248">
        <f t="shared" si="93"/>
        <v>463.84378032680968</v>
      </c>
      <c r="O30" s="250">
        <f t="shared" si="85"/>
        <v>0.2</v>
      </c>
      <c r="P30" s="248">
        <v>40</v>
      </c>
      <c r="Q30" s="248">
        <v>0.16</v>
      </c>
      <c r="R30" s="248">
        <f t="shared" si="86"/>
        <v>111.88811188811189</v>
      </c>
      <c r="S30" s="250" t="s">
        <v>131</v>
      </c>
      <c r="T30" s="248" t="s">
        <v>302</v>
      </c>
      <c r="U30" s="250">
        <v>120</v>
      </c>
      <c r="V30" s="249" t="str">
        <f t="shared" si="87"/>
        <v>3C X 120</v>
      </c>
      <c r="W30" s="249"/>
      <c r="X30" s="249" t="s">
        <v>778</v>
      </c>
      <c r="Y30" s="429" t="e">
        <f>IF(S30="AIR",VLOOKUP(V30,'Catalogue Aluminium'!#REF!,2,FALSE),IF(S30="GROUND",VLOOKUP(V30,'Catalogue Aluminium'!#REF!,3,FALSE),IF(S30="DUCT",VLOOKUP(V30,'Catalogue Aluminium'!#REF!,4,FALSE),IF(S30="TRENCH",VLOOKUP(V30,'Catalogue Aluminium'!#REF!,2,FALSE)))))</f>
        <v>#REF!</v>
      </c>
      <c r="Z30" s="430" t="e">
        <f>VLOOKUP(V30,'Catalogue Aluminium'!#REF!,5,FALSE)</f>
        <v>#REF!</v>
      </c>
      <c r="AA30" s="430" t="e">
        <f>VLOOKUP(V30,'Catalogue Aluminium'!#REF!,6,FALSE)</f>
        <v>#REF!</v>
      </c>
      <c r="AB30" s="252">
        <f t="shared" si="94"/>
        <v>45</v>
      </c>
      <c r="AC30" s="252">
        <f t="shared" si="95"/>
        <v>271</v>
      </c>
      <c r="AD30" s="252">
        <v>15</v>
      </c>
      <c r="AE30" s="253">
        <f t="shared" si="96"/>
        <v>331</v>
      </c>
      <c r="AF30" s="429" t="e">
        <f>IF(S30="AIR",'Catalogue Aluminium'!#REF!,IF(S30="TRENCH",'Catalogue Aluminium'!#REF!,"NA"))</f>
        <v>#REF!</v>
      </c>
      <c r="AG30" s="431" t="e">
        <f>IF(S30="Air",(IF(T30="1C",'Catalogue Aluminium'!#REF!,'Catalogue Aluminium'!#REF!)),IF(S30="DUCT",(IF($T30="1C",'Catalogue Aluminium'!#REF!,'Catalogue Aluminium'!#REF!)),IF(S30="GROUND",(IF($T30="1C",'Catalogue Aluminium'!#REF!,'Catalogue Aluminium'!#REF!)),IF(S30="TRENCH",(IF($T30="1C",'Catalogue Aluminium'!#REF!,'Catalogue Aluminium'!#REF!))))))</f>
        <v>#REF!</v>
      </c>
      <c r="AH30" s="429" t="e">
        <f>IF(S30="Air",'Catalogue Aluminium'!#REF!,IF(S30="GROUND",'Catalogue Aluminium'!#REF!,IF(S30="DUCT",'Catalogue Aluminium'!#REF!,IF(S30="TRENCH",'Catalogue Aluminium'!#REF!,"NA"))))</f>
        <v>#REF!</v>
      </c>
      <c r="AI30" s="429" t="e">
        <f>IF(S30="Air",(IF(T30="1C",'Catalogue Aluminium'!#REF!,'Catalogue Aluminium'!#REF!)),IF(S30="DUCT",(IF($T30="1C",'Catalogue Aluminium'!#REF!,'Catalogue Aluminium'!#REF!)),IF(S30="GROUND",(IF($T30="1C",'Catalogue Aluminium'!#REF!,'Catalogue Aluminium'!#REF!)),IF(S30="TRENCH",(IF($T30="1C",'Catalogue Aluminium'!#REF!,'Catalogue Aluminium'!#REF!))))))</f>
        <v>#REF!</v>
      </c>
      <c r="AJ30" s="429" t="str">
        <f>IF(S30="AIR","NA",IF(S30="TRENCH","NA",IF(S30="DUCT",IF(T30="1C",VLOOKUP(U30,'Catalogue Aluminium'!#REF!,2,FALSE),VLOOKUP(U30,'Catalogue Aluminium'!#REF!,3)),IF(S30="GROUND",IF(T30="1C",VLOOKUP(U30,'Catalogue Aluminium'!#REF!,2,FALSE),VLOOKUP(U30,'Catalogue Aluminium'!#REF!,3))))))</f>
        <v>NA</v>
      </c>
      <c r="AK30" s="254" t="e">
        <f t="shared" si="89"/>
        <v>#REF!</v>
      </c>
      <c r="AL30" s="248" t="e">
        <f t="shared" si="90"/>
        <v>#REF!</v>
      </c>
      <c r="AM30" s="432" t="e">
        <f t="shared" si="57"/>
        <v>#REF!</v>
      </c>
      <c r="AN30" s="256" t="e">
        <f t="shared" si="91"/>
        <v>#REF!</v>
      </c>
      <c r="AO30" s="433" t="e">
        <f t="shared" si="9"/>
        <v>#REF!</v>
      </c>
      <c r="AP30" s="434" t="e">
        <f t="shared" si="10"/>
        <v>#REF!</v>
      </c>
      <c r="AQ30" s="435" t="e">
        <f t="shared" si="11"/>
        <v>#REF!</v>
      </c>
      <c r="AR30" s="436" t="e">
        <f t="shared" si="12"/>
        <v>#REF!</v>
      </c>
      <c r="AS30" s="433" t="e">
        <f t="shared" si="13"/>
        <v>#REF!</v>
      </c>
      <c r="AT30" s="433" t="e">
        <f t="shared" si="14"/>
        <v>#REF!</v>
      </c>
      <c r="AU30" s="257" t="e">
        <f t="shared" si="51"/>
        <v>#REF!</v>
      </c>
      <c r="AV30" s="249" t="e">
        <f t="shared" si="32"/>
        <v>#REF!</v>
      </c>
      <c r="AW30" s="261" t="e">
        <f t="shared" si="29"/>
        <v>#REF!</v>
      </c>
      <c r="AX30" s="254"/>
      <c r="AY30" s="437">
        <v>56</v>
      </c>
      <c r="AZ30" s="250" t="e">
        <f t="shared" si="61"/>
        <v>#REF!</v>
      </c>
      <c r="BA30" s="681"/>
    </row>
    <row r="31" spans="1:53" ht="35.15" customHeight="1">
      <c r="A31" s="243">
        <f>A24+1</f>
        <v>19</v>
      </c>
      <c r="B31" s="272" t="s">
        <v>806</v>
      </c>
      <c r="C31" s="243" t="s">
        <v>776</v>
      </c>
      <c r="D31" s="245"/>
      <c r="E31" s="245"/>
      <c r="F31" s="246" t="s">
        <v>66</v>
      </c>
      <c r="G31" s="249">
        <f>2809.52*0.85</f>
        <v>2388.0920000000001</v>
      </c>
      <c r="H31" s="243" t="s">
        <v>299</v>
      </c>
      <c r="I31" s="243" t="s">
        <v>777</v>
      </c>
      <c r="J31" s="247">
        <v>6600</v>
      </c>
      <c r="K31" s="248">
        <v>0.85</v>
      </c>
      <c r="L31" s="248">
        <v>1</v>
      </c>
      <c r="M31" s="248">
        <f t="shared" ref="M31" si="97">IF(H31="kVA",IF(I31="3Phase",(G31*1000/(1.732*L31*J31)),(G31*1000/(L31*J31))),IF(H31="kW",IF(I31="3Phase",(G31*1000/(1.732*L31*J31*K31)),(G31*1000/(L31*J31*K31)))))</f>
        <v>245.77647141157533</v>
      </c>
      <c r="N31" s="248">
        <f t="shared" ref="N31" si="98">IF(F31="M",IF(G31&gt;=600,6*M31,IF(G31&lt;600,6*M31)),0)</f>
        <v>0</v>
      </c>
      <c r="O31" s="250" t="str">
        <f>IF(F31="M",0.2,"0.00")</f>
        <v>0.00</v>
      </c>
      <c r="P31" s="248">
        <v>40</v>
      </c>
      <c r="Q31" s="248">
        <v>0.16</v>
      </c>
      <c r="R31" s="248">
        <f t="shared" ref="R31" si="99">(P31*1000*SQRT(Q31)/143)</f>
        <v>111.88811188811189</v>
      </c>
      <c r="S31" s="250" t="s">
        <v>131</v>
      </c>
      <c r="T31" s="248" t="s">
        <v>302</v>
      </c>
      <c r="U31" s="250">
        <v>120</v>
      </c>
      <c r="V31" s="249" t="str">
        <f t="shared" ref="V31" si="100">CONCATENATE(T31," X ",U31)</f>
        <v>3C X 120</v>
      </c>
      <c r="W31" s="249"/>
      <c r="X31" s="249" t="s">
        <v>778</v>
      </c>
      <c r="Y31" s="429" t="e">
        <f>IF(S31="AIR",VLOOKUP(V31,'Catalogue Aluminium'!#REF!,2,FALSE),IF(S31="GROUND",VLOOKUP(V31,'Catalogue Aluminium'!#REF!,3,FALSE),IF(S31="DUCT",VLOOKUP(V31,'Catalogue Aluminium'!#REF!,4,FALSE),IF(S31="TRENCH",VLOOKUP(V31,'Catalogue Aluminium'!#REF!,2,FALSE)))))</f>
        <v>#REF!</v>
      </c>
      <c r="Z31" s="430" t="e">
        <f>VLOOKUP(V31,'Catalogue Aluminium'!#REF!,5,FALSE)</f>
        <v>#REF!</v>
      </c>
      <c r="AA31" s="430" t="e">
        <f>VLOOKUP(V31,'Catalogue Aluminium'!#REF!,6,FALSE)</f>
        <v>#REF!</v>
      </c>
      <c r="AB31" s="252">
        <v>15</v>
      </c>
      <c r="AC31" s="252">
        <v>0</v>
      </c>
      <c r="AD31" s="252">
        <v>10</v>
      </c>
      <c r="AE31" s="253">
        <f t="shared" si="96"/>
        <v>25</v>
      </c>
      <c r="AF31" s="429" t="e">
        <f>IF(S31="AIR",'Catalogue Aluminium'!#REF!,IF(S31="TRENCH",'Catalogue Aluminium'!#REF!,"NA"))</f>
        <v>#REF!</v>
      </c>
      <c r="AG31" s="431" t="e">
        <f>IF(S31="Air",(IF(T31="1C",'Catalogue Aluminium'!#REF!,'Catalogue Aluminium'!#REF!)),IF(S31="DUCT",(IF($T31="1C",'Catalogue Aluminium'!#REF!,'Catalogue Aluminium'!#REF!)),IF(S31="GROUND",(IF($T31="1C",'Catalogue Aluminium'!#REF!,'Catalogue Aluminium'!#REF!)),IF(S31="TRENCH",(IF($T31="1C",'Catalogue Aluminium'!#REF!,'Catalogue Aluminium'!#REF!))))))</f>
        <v>#REF!</v>
      </c>
      <c r="AH31" s="429" t="e">
        <f>IF(S31="Air",'Catalogue Aluminium'!#REF!,IF(S31="GROUND",'Catalogue Aluminium'!#REF!,IF(S31="DUCT",'Catalogue Aluminium'!#REF!,IF(S31="TRENCH",'Catalogue Aluminium'!#REF!,"NA"))))</f>
        <v>#REF!</v>
      </c>
      <c r="AI31" s="429" t="e">
        <f>IF(S31="Air",(IF(T31="1C",'Catalogue Aluminium'!#REF!,'Catalogue Aluminium'!#REF!)),IF(S31="DUCT",(IF($T31="1C",'Catalogue Aluminium'!#REF!,'Catalogue Aluminium'!#REF!)),IF(S31="GROUND",(IF($T31="1C",'Catalogue Aluminium'!#REF!,'Catalogue Aluminium'!#REF!)),IF(S31="TRENCH",(IF($T31="1C",'Catalogue Aluminium'!#REF!,'Catalogue Aluminium'!#REF!))))))</f>
        <v>#REF!</v>
      </c>
      <c r="AJ31" s="429" t="str">
        <f>IF(S31="AIR","NA",IF(S31="TRENCH","NA",IF(S31="DUCT",IF(T31="1C",VLOOKUP(U31,'Catalogue Aluminium'!#REF!,2,FALSE),VLOOKUP(U31,'Catalogue Aluminium'!#REF!,3)),IF(S31="GROUND",IF(T31="1C",VLOOKUP(U31,'Catalogue Aluminium'!#REF!,2,FALSE),VLOOKUP(U31,'Catalogue Aluminium'!#REF!,3))))))</f>
        <v>NA</v>
      </c>
      <c r="AK31" s="254" t="e">
        <f t="shared" ref="AK31" si="101">IF(S31="AIR",AF31*AG31,IF(S31="TRENCH",AF31*AG31,IF(S31="DUCT",AG31*AH31*AI31*AJ31,IF(S31="GROUND",AG31*AH31*AI31*AJ31))))</f>
        <v>#REF!</v>
      </c>
      <c r="AL31" s="248" t="e">
        <f t="shared" ref="AL31" si="102">Y31*AK31</f>
        <v>#REF!</v>
      </c>
      <c r="AM31" s="432" t="e">
        <f>CEILING(((M31)/AL31),1)</f>
        <v>#REF!</v>
      </c>
      <c r="AN31" s="256" t="e">
        <f t="shared" ref="AN31" si="103">IF(AL31*AM31&gt;=M31,"YES","NO")</f>
        <v>#REF!</v>
      </c>
      <c r="AO31" s="433" t="e">
        <f t="shared" si="9"/>
        <v>#REF!</v>
      </c>
      <c r="AP31" s="434" t="e">
        <f t="shared" si="10"/>
        <v>#REF!</v>
      </c>
      <c r="AQ31" s="435" t="e">
        <f t="shared" si="11"/>
        <v>#REF!</v>
      </c>
      <c r="AR31" s="436" t="e">
        <f t="shared" si="12"/>
        <v>#REF!</v>
      </c>
      <c r="AS31" s="433" t="str">
        <f t="shared" si="13"/>
        <v>NA</v>
      </c>
      <c r="AT31" s="433" t="str">
        <f t="shared" si="14"/>
        <v>NA</v>
      </c>
      <c r="AU31" s="257" t="e">
        <f t="shared" si="51"/>
        <v>#REF!</v>
      </c>
      <c r="AV31" s="249" t="e">
        <f t="shared" si="32"/>
        <v>#REF!</v>
      </c>
      <c r="AW31" s="261" t="e">
        <f t="shared" si="29"/>
        <v>#REF!</v>
      </c>
      <c r="AX31" s="254"/>
      <c r="AY31" s="437">
        <v>56</v>
      </c>
      <c r="AZ31" s="250" t="e">
        <f t="shared" si="61"/>
        <v>#REF!</v>
      </c>
    </row>
    <row r="32" spans="1:53" ht="20.149999999999999" customHeight="1">
      <c r="A32" s="453"/>
      <c r="B32" s="272"/>
      <c r="C32" s="245"/>
      <c r="D32" s="245"/>
      <c r="E32" s="245"/>
      <c r="F32" s="246"/>
      <c r="G32" s="248"/>
      <c r="H32" s="243"/>
      <c r="I32" s="243"/>
      <c r="J32" s="247"/>
      <c r="K32" s="248"/>
      <c r="L32" s="248"/>
      <c r="M32" s="248"/>
      <c r="N32" s="443"/>
      <c r="O32" s="250"/>
      <c r="P32" s="248"/>
      <c r="Q32" s="248"/>
      <c r="R32" s="248"/>
      <c r="S32" s="250"/>
      <c r="T32" s="248"/>
      <c r="U32" s="250"/>
      <c r="V32" s="249"/>
      <c r="W32" s="249"/>
      <c r="X32" s="249"/>
      <c r="Y32" s="429"/>
      <c r="Z32" s="430"/>
      <c r="AA32" s="430"/>
      <c r="AB32" s="430"/>
      <c r="AC32" s="430"/>
      <c r="AD32" s="430"/>
      <c r="AE32" s="454"/>
      <c r="AF32" s="429"/>
      <c r="AG32" s="431"/>
      <c r="AH32" s="429"/>
      <c r="AI32" s="429"/>
      <c r="AJ32" s="429"/>
      <c r="AK32" s="254"/>
      <c r="AL32" s="248"/>
      <c r="AM32" s="455"/>
      <c r="AN32" s="248"/>
      <c r="AO32" s="254"/>
      <c r="AP32" s="250"/>
      <c r="AQ32" s="456"/>
      <c r="AR32" s="456"/>
      <c r="AS32" s="254"/>
      <c r="AT32" s="254"/>
      <c r="AU32" s="254"/>
      <c r="AV32" s="254"/>
      <c r="AW32" s="254"/>
      <c r="AX32" s="254"/>
    </row>
    <row r="33" spans="1:51" s="39" customFormat="1" ht="26.25" hidden="1" customHeight="1">
      <c r="A33" s="324"/>
      <c r="B33" s="325"/>
      <c r="C33" s="324"/>
      <c r="D33" s="324"/>
      <c r="E33" s="324"/>
      <c r="F33" s="324"/>
      <c r="G33" s="324"/>
      <c r="H33" s="324"/>
      <c r="I33" s="324"/>
      <c r="J33" s="324"/>
      <c r="K33" s="324"/>
      <c r="L33" s="324"/>
      <c r="M33" s="324"/>
      <c r="N33" s="324"/>
      <c r="O33" s="324"/>
      <c r="P33" s="324"/>
      <c r="Q33" s="324"/>
      <c r="R33" s="324"/>
      <c r="S33" s="324"/>
      <c r="T33" s="324"/>
      <c r="U33" s="324"/>
      <c r="V33" s="324"/>
      <c r="W33" s="324"/>
      <c r="X33" s="324"/>
      <c r="Y33" s="324"/>
      <c r="Z33" s="324"/>
      <c r="AA33" s="324"/>
      <c r="AB33" s="324"/>
      <c r="AC33" s="324"/>
      <c r="AD33" s="324"/>
      <c r="AE33" s="324"/>
      <c r="AF33" s="324"/>
      <c r="AG33" s="324"/>
      <c r="AH33" s="324"/>
      <c r="AI33" s="324"/>
      <c r="AJ33" s="324"/>
      <c r="AK33" s="324"/>
      <c r="AL33" s="324"/>
      <c r="AM33" s="457"/>
      <c r="AN33" s="324"/>
      <c r="AO33" s="324"/>
      <c r="AP33" s="324"/>
      <c r="AQ33" s="326"/>
      <c r="AR33" s="326"/>
      <c r="AS33" s="324"/>
      <c r="AT33" s="324"/>
      <c r="AU33" s="324"/>
      <c r="AV33" s="324" t="e">
        <f>SUM(AV7:AV32)</f>
        <v>#REF!</v>
      </c>
      <c r="AW33" s="324"/>
      <c r="AX33" s="324"/>
      <c r="AY33" s="36"/>
    </row>
    <row r="34" spans="1:51">
      <c r="H34" s="38"/>
      <c r="I34" s="38"/>
    </row>
    <row r="36" spans="1:51">
      <c r="AU36" s="12"/>
      <c r="AV36" s="12"/>
      <c r="AW36" s="12"/>
      <c r="AX36" s="12"/>
    </row>
    <row r="37" spans="1:51">
      <c r="AU37" s="12"/>
      <c r="AV37" s="12"/>
      <c r="AW37" s="12"/>
      <c r="AX37" s="12"/>
    </row>
    <row r="38" spans="1:51">
      <c r="AU38" s="12"/>
      <c r="AV38" s="12"/>
      <c r="AW38" s="12"/>
      <c r="AX38" s="12"/>
    </row>
    <row r="39" spans="1:51">
      <c r="AU39" s="12"/>
      <c r="AV39" s="12"/>
      <c r="AW39" s="12"/>
      <c r="AX39" s="12"/>
    </row>
    <row r="40" spans="1:51">
      <c r="AU40" s="12"/>
      <c r="AV40" s="12"/>
      <c r="AW40" s="12"/>
      <c r="AX40" s="12"/>
    </row>
    <row r="41" spans="1:51">
      <c r="AU41" s="12"/>
      <c r="AV41" s="12"/>
      <c r="AW41" s="12"/>
      <c r="AX41" s="12"/>
    </row>
    <row r="42" spans="1:51">
      <c r="AU42" s="12"/>
      <c r="AV42" s="12"/>
      <c r="AW42" s="12"/>
      <c r="AX42" s="12"/>
    </row>
    <row r="43" spans="1:51">
      <c r="AU43" s="12"/>
      <c r="AV43" s="12"/>
      <c r="AW43" s="12"/>
      <c r="AX43" s="12"/>
    </row>
    <row r="44" spans="1:51">
      <c r="AU44" s="12"/>
      <c r="AV44" s="12"/>
      <c r="AW44" s="12"/>
      <c r="AX44" s="12"/>
    </row>
    <row r="45" spans="1:51">
      <c r="AU45" s="12"/>
      <c r="AV45" s="12"/>
      <c r="AW45" s="12"/>
      <c r="AX45" s="12"/>
    </row>
    <row r="46" spans="1:51">
      <c r="AU46" s="12"/>
      <c r="AV46" s="12"/>
      <c r="AW46" s="12"/>
      <c r="AX46" s="12"/>
    </row>
  </sheetData>
  <autoFilter ref="A5:AU33" xr:uid="{C2F11763-C660-4F47-BC43-47203FE0AE1A}"/>
  <mergeCells count="15">
    <mergeCell ref="BA7:BA10"/>
    <mergeCell ref="BA25:BA30"/>
    <mergeCell ref="A1:J1"/>
    <mergeCell ref="K1:AP1"/>
    <mergeCell ref="AS1:AU1"/>
    <mergeCell ref="P3:R3"/>
    <mergeCell ref="S3:AE3"/>
    <mergeCell ref="AF3:AK3"/>
    <mergeCell ref="AL3:AN3"/>
    <mergeCell ref="AO3:AR3"/>
    <mergeCell ref="AS3:AT3"/>
    <mergeCell ref="B3:O3"/>
    <mergeCell ref="A3:A4"/>
    <mergeCell ref="AU3:AV3"/>
    <mergeCell ref="A2:AX2"/>
  </mergeCells>
  <phoneticPr fontId="49" type="noConversion"/>
  <conditionalFormatting sqref="G7:G31">
    <cfRule type="cellIs" dxfId="1" priority="10" operator="equal">
      <formula>"Total"</formula>
    </cfRule>
  </conditionalFormatting>
  <conditionalFormatting sqref="AN7:AN31 AP7:AP31">
    <cfRule type="containsText" dxfId="0" priority="1" operator="containsText" text="NO">
      <formula>NOT(ISERROR(SEARCH("NO",AN7)))</formula>
    </cfRule>
  </conditionalFormatting>
  <dataValidations count="7">
    <dataValidation allowBlank="1" showInputMessage="1" sqref="F6 G7:G30" xr:uid="{72BEC945-D6C0-479D-9F0A-275B0A744C39}"/>
    <dataValidation type="list" allowBlank="1" showInputMessage="1" showErrorMessage="1" sqref="U7:U32" xr:uid="{6C81660E-64ED-48EE-B0D2-55B761A2CF0A}">
      <formula1>"4,6,10,16,25,35,50,70,95,120,150,185,240,300,400,500,630,800,1000"</formula1>
    </dataValidation>
    <dataValidation type="list" allowBlank="1" showInputMessage="1" showErrorMessage="1" sqref="F7:F32" xr:uid="{AFB71A96-09B7-49A6-906A-84740283AFFF}">
      <formula1>"P,M,I"</formula1>
    </dataValidation>
    <dataValidation type="list" allowBlank="1" showInputMessage="1" showErrorMessage="1" sqref="T7:T32" xr:uid="{2D257A96-C2DF-4CAF-B208-86B5916E8958}">
      <formula1>"1C,2C,3C,4C"</formula1>
    </dataValidation>
    <dataValidation type="list" allowBlank="1" showInputMessage="1" showErrorMessage="1" sqref="I7:I32" xr:uid="{1CC81C83-127F-4573-BF20-8FFB35AACD59}">
      <formula1>"3Phase,1Phase"</formula1>
    </dataValidation>
    <dataValidation type="list" allowBlank="1" showInputMessage="1" showErrorMessage="1" sqref="H7:H32" xr:uid="{B289D938-27FD-4078-BF05-C527FEAEEB8D}">
      <formula1>"kVA,kW"</formula1>
    </dataValidation>
    <dataValidation type="list" allowBlank="1" showInputMessage="1" showErrorMessage="1" sqref="J7:J32" xr:uid="{FC8AB64E-E79B-4596-885A-1086DEBEE162}">
      <formula1>"24,110,125,230,400,690,6600,33000"</formula1>
    </dataValidation>
  </dataValidations>
  <printOptions horizontalCentered="1"/>
  <pageMargins left="0" right="0" top="0.47244094488188981" bottom="0.51181102362204722" header="0.51181102362204722" footer="0.51181102362204722"/>
  <pageSetup paperSize="8" scale="43" fitToHeight="0" orientation="landscape" r:id="rId1"/>
  <headerFooter alignWithMargins="0">
    <oddFooter xml:space="preserve">&amp;R&amp;11          Page &amp;P OF &amp;N
</oddFooter>
  </headerFooter>
  <ignoredErrors>
    <ignoredError sqref="O13:O18" numberStoredAsText="1"/>
    <ignoredError sqref="AV10 AE8:AE10 AV8 AV9 AC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56D0-26C4-4925-ACDE-02FC57168D9B}">
  <sheetPr codeName="Sheet10">
    <pageSetUpPr fitToPage="1"/>
  </sheetPr>
  <dimension ref="A1:AR241"/>
  <sheetViews>
    <sheetView view="pageBreakPreview" topLeftCell="A179" zoomScale="70" zoomScaleNormal="25" zoomScaleSheetLayoutView="70" workbookViewId="0">
      <selection activeCell="H213" sqref="H213"/>
    </sheetView>
  </sheetViews>
  <sheetFormatPr defaultColWidth="9.1796875" defaultRowHeight="14.5"/>
  <cols>
    <col min="1" max="1" width="9.1796875" style="3"/>
    <col min="2" max="2" width="13.7265625" style="2" customWidth="1"/>
    <col min="3" max="3" width="14.26953125" style="2" customWidth="1"/>
    <col min="4" max="4" width="12.453125" style="2" customWidth="1"/>
    <col min="5" max="5" width="11.26953125" style="2" customWidth="1"/>
    <col min="6" max="6" width="15" style="2" customWidth="1"/>
    <col min="7" max="7" width="15.7265625" style="2" customWidth="1"/>
    <col min="8" max="8" width="13" style="2" customWidth="1"/>
    <col min="9" max="9" width="9.26953125" style="2" customWidth="1"/>
    <col min="10" max="10" width="11.81640625" style="2" customWidth="1"/>
    <col min="11" max="11" width="12.7265625" style="3" customWidth="1"/>
    <col min="12" max="12" width="19.26953125" style="3" customWidth="1"/>
    <col min="13" max="13" width="13.54296875" style="3" customWidth="1"/>
    <col min="14" max="14" width="11.1796875" style="3" customWidth="1"/>
    <col min="15" max="16" width="10.54296875" style="2" customWidth="1"/>
    <col min="17" max="18" width="10.26953125" style="2" customWidth="1"/>
    <col min="19" max="19" width="10.26953125" style="3" customWidth="1"/>
    <col min="20" max="20" width="4" style="3" customWidth="1"/>
    <col min="21" max="22" width="21.7265625" style="3" hidden="1" customWidth="1"/>
    <col min="23" max="23" width="4.54296875" style="3" hidden="1" customWidth="1"/>
    <col min="24" max="24" width="21.7265625" style="3" hidden="1" customWidth="1"/>
    <col min="25" max="25" width="16" style="3" hidden="1" customWidth="1"/>
    <col min="26" max="28" width="16" style="3" customWidth="1"/>
    <col min="29" max="29" width="13.26953125" style="3" customWidth="1"/>
    <col min="30" max="31" width="16.7265625" style="3" customWidth="1"/>
    <col min="32" max="32" width="5.26953125" style="3" customWidth="1"/>
    <col min="33" max="35" width="4.81640625" style="3" customWidth="1"/>
    <col min="36" max="36" width="15.7265625" style="3" customWidth="1"/>
    <col min="37" max="37" width="9.1796875" style="3" customWidth="1"/>
    <col min="38" max="38" width="16.26953125" style="3" customWidth="1"/>
    <col min="39" max="39" width="9.1796875" style="3" customWidth="1"/>
    <col min="40" max="40" width="35.81640625" style="3" customWidth="1"/>
    <col min="41" max="41" width="14.81640625" style="3" customWidth="1"/>
    <col min="42" max="42" width="24.26953125" style="3" bestFit="1" customWidth="1"/>
    <col min="43" max="43" width="9.453125" bestFit="1" customWidth="1"/>
    <col min="44" max="44" width="9.1796875" customWidth="1"/>
    <col min="45" max="16384" width="9.1796875" style="3"/>
  </cols>
  <sheetData>
    <row r="1" spans="1:42" s="5" customFormat="1">
      <c r="B1" s="4"/>
      <c r="C1" s="4"/>
      <c r="D1" s="4"/>
      <c r="E1" s="4"/>
      <c r="F1" s="4"/>
      <c r="G1" s="4"/>
      <c r="H1" s="4"/>
      <c r="I1" s="4"/>
      <c r="J1" s="4"/>
      <c r="O1" s="4"/>
      <c r="P1" s="4"/>
      <c r="Q1" s="4"/>
      <c r="R1" s="4"/>
    </row>
    <row r="2" spans="1:42" s="5" customFormat="1" ht="15" thickBot="1">
      <c r="B2" s="4"/>
      <c r="C2" s="4"/>
      <c r="D2" s="4"/>
      <c r="E2" s="4"/>
      <c r="F2" s="4"/>
      <c r="G2" s="4"/>
      <c r="H2" s="4"/>
      <c r="I2" s="4"/>
      <c r="J2" s="4"/>
      <c r="O2" s="4"/>
      <c r="P2" s="4"/>
      <c r="Q2" s="4"/>
      <c r="R2" s="4"/>
    </row>
    <row r="3" spans="1:42" ht="39.75" customHeight="1">
      <c r="A3" s="13"/>
      <c r="B3" s="654" t="s">
        <v>105</v>
      </c>
      <c r="C3" s="655"/>
      <c r="D3" s="655"/>
      <c r="E3" s="655"/>
      <c r="F3" s="656"/>
      <c r="G3" s="14"/>
      <c r="H3" s="15"/>
      <c r="I3" s="4"/>
      <c r="J3" s="458" t="s">
        <v>106</v>
      </c>
      <c r="K3" s="458"/>
      <c r="L3" s="5"/>
      <c r="M3" s="5"/>
      <c r="N3" s="5"/>
      <c r="O3" s="5"/>
      <c r="P3" s="5"/>
      <c r="Q3" s="5"/>
      <c r="R3" s="5"/>
      <c r="S3" s="5"/>
    </row>
    <row r="4" spans="1:42" ht="20.149999999999999" customHeight="1">
      <c r="A4" s="16"/>
      <c r="B4" s="658"/>
      <c r="C4" s="658"/>
      <c r="D4" s="658"/>
      <c r="E4" s="4"/>
      <c r="F4" s="4"/>
      <c r="G4" s="4"/>
      <c r="H4" s="17"/>
      <c r="I4" s="4"/>
      <c r="J4" s="5"/>
      <c r="K4" s="5"/>
      <c r="L4" s="5"/>
      <c r="M4" s="5"/>
      <c r="N4" s="5"/>
      <c r="O4" s="5"/>
      <c r="P4" s="5"/>
      <c r="Q4" s="5"/>
      <c r="R4" s="5"/>
      <c r="S4" s="5"/>
    </row>
    <row r="5" spans="1:42" ht="27.75" customHeight="1">
      <c r="A5" s="16"/>
      <c r="B5" s="41" t="s">
        <v>107</v>
      </c>
      <c r="C5" s="42"/>
      <c r="D5" s="42"/>
      <c r="E5" s="42"/>
      <c r="F5" s="42"/>
      <c r="G5" s="42" t="s">
        <v>108</v>
      </c>
      <c r="H5" s="18"/>
      <c r="I5" s="6"/>
      <c r="J5" s="5"/>
      <c r="K5" s="5"/>
      <c r="L5" s="5"/>
      <c r="M5" s="5"/>
      <c r="N5" s="5"/>
      <c r="O5" s="5"/>
      <c r="P5" s="5"/>
      <c r="Q5" s="5"/>
      <c r="R5" s="5"/>
      <c r="S5" s="5"/>
      <c r="AG5" s="55"/>
      <c r="AN5" s="660"/>
    </row>
    <row r="6" spans="1:42" ht="20.149999999999999" customHeight="1">
      <c r="A6" s="16"/>
      <c r="B6" s="4"/>
      <c r="C6" s="6"/>
      <c r="D6" s="4"/>
      <c r="E6" s="4"/>
      <c r="F6" s="4"/>
      <c r="G6" s="4"/>
      <c r="H6" s="17"/>
      <c r="I6" s="4"/>
      <c r="J6" s="5"/>
      <c r="K6" s="5"/>
      <c r="L6" s="5"/>
      <c r="M6" s="5"/>
      <c r="N6" s="5"/>
      <c r="O6" s="5"/>
      <c r="P6" s="5"/>
      <c r="Q6" s="5"/>
      <c r="R6" s="5"/>
      <c r="S6" s="5"/>
      <c r="AG6" s="55"/>
      <c r="AN6" s="660"/>
    </row>
    <row r="7" spans="1:42" ht="96.75" customHeight="1">
      <c r="A7" s="16"/>
      <c r="B7" s="684" t="s">
        <v>109</v>
      </c>
      <c r="C7" s="684" t="s">
        <v>110</v>
      </c>
      <c r="D7" s="684"/>
      <c r="E7" s="684"/>
      <c r="F7" s="685" t="s">
        <v>111</v>
      </c>
      <c r="G7" s="684" t="s">
        <v>112</v>
      </c>
      <c r="H7" s="690" t="s">
        <v>113</v>
      </c>
      <c r="I7" s="691" t="s">
        <v>114</v>
      </c>
      <c r="J7" s="692" t="s">
        <v>115</v>
      </c>
      <c r="K7" s="684" t="s">
        <v>807</v>
      </c>
      <c r="L7" s="684" t="s">
        <v>808</v>
      </c>
      <c r="M7" s="684"/>
      <c r="N7" s="684" t="s">
        <v>118</v>
      </c>
      <c r="O7" s="684" t="s">
        <v>119</v>
      </c>
      <c r="P7" s="684"/>
      <c r="Q7" s="686" t="s">
        <v>120</v>
      </c>
      <c r="R7" s="687"/>
      <c r="S7" s="688"/>
      <c r="AG7" s="55"/>
    </row>
    <row r="8" spans="1:42" ht="75.75" customHeight="1">
      <c r="A8" s="16"/>
      <c r="B8" s="684"/>
      <c r="C8" s="459" t="s">
        <v>121</v>
      </c>
      <c r="D8" s="459" t="s">
        <v>122</v>
      </c>
      <c r="E8" s="459" t="s">
        <v>123</v>
      </c>
      <c r="F8" s="650"/>
      <c r="G8" s="684"/>
      <c r="H8" s="690"/>
      <c r="I8" s="636"/>
      <c r="J8" s="693"/>
      <c r="K8" s="685"/>
      <c r="L8" s="460" t="s">
        <v>124</v>
      </c>
      <c r="M8" s="460" t="s">
        <v>125</v>
      </c>
      <c r="N8" s="685"/>
      <c r="O8" s="460" t="s">
        <v>126</v>
      </c>
      <c r="P8" s="460" t="s">
        <v>127</v>
      </c>
      <c r="Q8" s="460" t="s">
        <v>128</v>
      </c>
      <c r="R8" s="460" t="s">
        <v>126</v>
      </c>
      <c r="S8" s="460" t="s">
        <v>127</v>
      </c>
      <c r="AG8" s="55"/>
    </row>
    <row r="9" spans="1:42" ht="29.25" customHeight="1">
      <c r="A9" s="16"/>
      <c r="B9" s="461" t="s">
        <v>129</v>
      </c>
      <c r="C9" s="461">
        <v>370</v>
      </c>
      <c r="D9" s="461">
        <v>290</v>
      </c>
      <c r="E9" s="461">
        <v>224</v>
      </c>
      <c r="F9" s="461">
        <v>0.21</v>
      </c>
      <c r="G9" s="461">
        <v>8.7499999999999994E-2</v>
      </c>
      <c r="H9" s="462">
        <v>26</v>
      </c>
      <c r="I9" s="689">
        <v>400</v>
      </c>
      <c r="J9" s="463" t="s">
        <v>131</v>
      </c>
      <c r="K9" s="464">
        <v>1</v>
      </c>
      <c r="L9" s="465">
        <v>0.9</v>
      </c>
      <c r="M9" s="464">
        <v>0.66</v>
      </c>
      <c r="N9" s="464" t="s">
        <v>132</v>
      </c>
      <c r="O9" s="464" t="s">
        <v>132</v>
      </c>
      <c r="P9" s="464" t="s">
        <v>132</v>
      </c>
      <c r="Q9" s="466"/>
      <c r="R9" s="466"/>
      <c r="S9" s="466"/>
      <c r="AJ9" s="660"/>
      <c r="AL9" s="660"/>
      <c r="AN9" s="660"/>
      <c r="AP9" s="660"/>
    </row>
    <row r="10" spans="1:42" ht="29.25" customHeight="1">
      <c r="A10" s="16"/>
      <c r="B10" s="461" t="s">
        <v>133</v>
      </c>
      <c r="C10" s="461">
        <v>445</v>
      </c>
      <c r="D10" s="461">
        <v>340</v>
      </c>
      <c r="E10" s="461">
        <v>283</v>
      </c>
      <c r="F10" s="461">
        <v>0.16</v>
      </c>
      <c r="G10" s="461">
        <v>8.6599999999999996E-2</v>
      </c>
      <c r="H10" s="462">
        <v>28</v>
      </c>
      <c r="I10" s="662"/>
      <c r="J10" s="467" t="s">
        <v>123</v>
      </c>
      <c r="K10" s="468" t="s">
        <v>132</v>
      </c>
      <c r="L10" s="469">
        <v>0.74</v>
      </c>
      <c r="M10" s="468">
        <v>0.71</v>
      </c>
      <c r="N10" s="468">
        <v>0.96</v>
      </c>
      <c r="O10" s="468">
        <v>0.98</v>
      </c>
      <c r="P10" s="468">
        <v>0.98</v>
      </c>
      <c r="Q10" s="470">
        <v>1.5</v>
      </c>
      <c r="R10" s="471">
        <v>1.0900000000000001</v>
      </c>
      <c r="S10" s="235">
        <v>1.05</v>
      </c>
      <c r="AJ10" s="660"/>
      <c r="AL10" s="660"/>
      <c r="AN10" s="660"/>
      <c r="AP10" s="660"/>
    </row>
    <row r="11" spans="1:42" ht="38.25" customHeight="1">
      <c r="A11" s="16"/>
      <c r="B11" s="461" t="s">
        <v>134</v>
      </c>
      <c r="C11" s="461">
        <v>514</v>
      </c>
      <c r="D11" s="461">
        <v>382</v>
      </c>
      <c r="E11" s="461">
        <v>317</v>
      </c>
      <c r="F11" s="461">
        <v>0.128</v>
      </c>
      <c r="G11" s="461">
        <v>8.5699999999999998E-2</v>
      </c>
      <c r="H11" s="462">
        <v>31</v>
      </c>
      <c r="I11" s="4"/>
      <c r="J11" s="472" t="s">
        <v>122</v>
      </c>
      <c r="K11" s="464" t="s">
        <v>132</v>
      </c>
      <c r="L11" s="464">
        <v>0.61</v>
      </c>
      <c r="M11" s="464">
        <v>0.54</v>
      </c>
      <c r="N11" s="464">
        <v>0.96</v>
      </c>
      <c r="O11" s="464">
        <v>0.98</v>
      </c>
      <c r="P11" s="464">
        <v>0.98</v>
      </c>
      <c r="Q11" s="470">
        <v>2.5</v>
      </c>
      <c r="R11" s="471">
        <v>1.0900000000000001</v>
      </c>
      <c r="S11" s="235">
        <v>1.05</v>
      </c>
      <c r="AJ11" s="1"/>
      <c r="AL11" s="2"/>
      <c r="AN11" s="1"/>
      <c r="AP11" s="1"/>
    </row>
    <row r="12" spans="1:42" ht="38.25" customHeight="1">
      <c r="A12" s="16"/>
      <c r="B12" s="461" t="s">
        <v>135</v>
      </c>
      <c r="C12" s="461">
        <v>605</v>
      </c>
      <c r="D12" s="461">
        <v>437</v>
      </c>
      <c r="E12" s="461">
        <v>370</v>
      </c>
      <c r="F12" s="461">
        <v>0.1</v>
      </c>
      <c r="G12" s="461">
        <v>8.5500000000000007E-2</v>
      </c>
      <c r="H12" s="462">
        <v>34</v>
      </c>
      <c r="I12" s="4"/>
      <c r="J12" s="473" t="s">
        <v>136</v>
      </c>
      <c r="K12" s="464">
        <v>1</v>
      </c>
      <c r="L12" s="474">
        <v>0.81</v>
      </c>
      <c r="M12" s="474">
        <v>0.78</v>
      </c>
      <c r="N12" s="464" t="s">
        <v>132</v>
      </c>
      <c r="O12" s="464" t="s">
        <v>132</v>
      </c>
      <c r="P12" s="464" t="s">
        <v>132</v>
      </c>
      <c r="Q12" s="470">
        <v>4</v>
      </c>
      <c r="R12" s="471">
        <v>1.0900000000000001</v>
      </c>
      <c r="S12" s="235">
        <v>1.05</v>
      </c>
      <c r="AJ12" s="1"/>
      <c r="AL12" s="2"/>
      <c r="AN12" s="1"/>
      <c r="AP12" s="1"/>
    </row>
    <row r="13" spans="1:42" ht="49.5" customHeight="1">
      <c r="A13" s="16"/>
      <c r="B13" s="461" t="s">
        <v>137</v>
      </c>
      <c r="C13" s="461">
        <v>704</v>
      </c>
      <c r="D13" s="461">
        <v>500</v>
      </c>
      <c r="E13" s="461">
        <v>428</v>
      </c>
      <c r="F13" s="461">
        <v>7.7399999999999997E-2</v>
      </c>
      <c r="G13" s="461">
        <v>8.5099999999999995E-2</v>
      </c>
      <c r="H13" s="462">
        <v>38</v>
      </c>
      <c r="I13" s="4"/>
      <c r="Q13" s="470">
        <v>6</v>
      </c>
      <c r="R13" s="471">
        <v>1.0900000000000001</v>
      </c>
      <c r="S13" s="235">
        <v>1.05</v>
      </c>
      <c r="AJ13" s="1"/>
      <c r="AL13" s="1"/>
      <c r="AN13" s="1"/>
      <c r="AP13" s="1"/>
    </row>
    <row r="14" spans="1:42" ht="49.5" customHeight="1">
      <c r="A14" s="16"/>
      <c r="B14" s="461" t="s">
        <v>138</v>
      </c>
      <c r="C14" s="461">
        <v>822</v>
      </c>
      <c r="D14" s="461">
        <v>565</v>
      </c>
      <c r="E14" s="461">
        <v>464</v>
      </c>
      <c r="F14" s="461">
        <v>0.06</v>
      </c>
      <c r="G14" s="461">
        <v>8.43E-2</v>
      </c>
      <c r="H14" s="462">
        <v>42</v>
      </c>
      <c r="Q14" s="470">
        <v>10</v>
      </c>
      <c r="R14" s="471">
        <v>1.0900000000000001</v>
      </c>
      <c r="S14" s="235">
        <v>1.06</v>
      </c>
      <c r="AJ14" s="1"/>
      <c r="AL14" s="1"/>
      <c r="AN14" s="1"/>
      <c r="AP14" s="1"/>
    </row>
    <row r="15" spans="1:42" ht="19.5" customHeight="1">
      <c r="A15" s="16"/>
      <c r="B15" s="475"/>
      <c r="C15" s="475"/>
      <c r="D15" s="475"/>
      <c r="E15" s="475"/>
      <c r="F15" s="475"/>
      <c r="G15" s="475"/>
      <c r="H15" s="476"/>
      <c r="Q15" s="470">
        <v>16</v>
      </c>
      <c r="R15" s="471">
        <v>1.0900000000000001</v>
      </c>
      <c r="S15" s="235">
        <v>1.06</v>
      </c>
      <c r="AJ15" s="1"/>
      <c r="AL15" s="2"/>
      <c r="AN15" s="1"/>
      <c r="AP15" s="1"/>
    </row>
    <row r="16" spans="1:42" ht="19.5" customHeight="1">
      <c r="A16" s="16"/>
      <c r="B16" s="41" t="s">
        <v>139</v>
      </c>
      <c r="C16" s="42"/>
      <c r="D16" s="42"/>
      <c r="E16" s="42"/>
      <c r="F16" s="42"/>
      <c r="G16" s="42" t="s">
        <v>108</v>
      </c>
      <c r="H16" s="476"/>
      <c r="Q16" s="470">
        <v>25</v>
      </c>
      <c r="R16" s="471">
        <v>1.0900000000000001</v>
      </c>
      <c r="S16" s="235">
        <v>1.08</v>
      </c>
      <c r="AJ16" s="1"/>
      <c r="AL16" s="2"/>
      <c r="AN16" s="1"/>
      <c r="AP16" s="1"/>
    </row>
    <row r="17" spans="1:42" ht="30.75" customHeight="1">
      <c r="A17" s="16"/>
      <c r="B17" s="684" t="s">
        <v>109</v>
      </c>
      <c r="C17" s="684" t="s">
        <v>110</v>
      </c>
      <c r="D17" s="684"/>
      <c r="E17" s="684"/>
      <c r="F17" s="685" t="s">
        <v>111</v>
      </c>
      <c r="G17" s="684" t="s">
        <v>112</v>
      </c>
      <c r="H17" s="690" t="s">
        <v>113</v>
      </c>
      <c r="K17" s="2"/>
      <c r="Q17" s="470">
        <v>35</v>
      </c>
      <c r="R17" s="471">
        <v>1.0900000000000001</v>
      </c>
      <c r="S17" s="235">
        <v>1.08</v>
      </c>
      <c r="AJ17" s="1"/>
      <c r="AL17" s="2"/>
      <c r="AN17" s="1"/>
      <c r="AP17" s="1"/>
    </row>
    <row r="18" spans="1:42" ht="30" customHeight="1">
      <c r="A18" s="16"/>
      <c r="B18" s="684"/>
      <c r="C18" s="459" t="s">
        <v>121</v>
      </c>
      <c r="D18" s="459" t="s">
        <v>122</v>
      </c>
      <c r="E18" s="459" t="s">
        <v>123</v>
      </c>
      <c r="F18" s="650"/>
      <c r="G18" s="684"/>
      <c r="H18" s="690"/>
      <c r="I18" s="4"/>
      <c r="K18" s="2"/>
      <c r="Q18" s="470">
        <v>50</v>
      </c>
      <c r="R18" s="471">
        <v>1.0900000000000001</v>
      </c>
      <c r="S18" s="235">
        <v>1.08</v>
      </c>
      <c r="AJ18" s="1"/>
      <c r="AL18" s="2"/>
      <c r="AN18" s="1"/>
      <c r="AP18" s="1"/>
    </row>
    <row r="19" spans="1:42" ht="19.5" customHeight="1">
      <c r="A19" s="16"/>
      <c r="B19" s="477" t="s">
        <v>140</v>
      </c>
      <c r="C19" s="477">
        <v>29</v>
      </c>
      <c r="D19" s="477">
        <v>33</v>
      </c>
      <c r="E19" s="477">
        <v>29</v>
      </c>
      <c r="F19" s="477">
        <v>15.5</v>
      </c>
      <c r="G19" s="477">
        <v>0.108</v>
      </c>
      <c r="H19" s="478">
        <v>12</v>
      </c>
      <c r="I19" s="7"/>
      <c r="K19" s="2"/>
      <c r="Q19" s="470">
        <v>70</v>
      </c>
      <c r="R19" s="479">
        <v>1.1000000000000001</v>
      </c>
      <c r="S19" s="235">
        <v>1.08</v>
      </c>
      <c r="AJ19" s="1"/>
      <c r="AL19" s="2"/>
      <c r="AN19" s="1"/>
      <c r="AP19" s="1"/>
    </row>
    <row r="20" spans="1:42" ht="19.5" customHeight="1">
      <c r="A20" s="16"/>
      <c r="B20" s="461" t="s">
        <v>141</v>
      </c>
      <c r="C20" s="461">
        <v>39</v>
      </c>
      <c r="D20" s="461">
        <v>43</v>
      </c>
      <c r="E20" s="461">
        <v>37</v>
      </c>
      <c r="F20" s="461">
        <v>9.48</v>
      </c>
      <c r="G20" s="461">
        <v>0.1007</v>
      </c>
      <c r="H20" s="480">
        <v>13</v>
      </c>
      <c r="I20" s="7"/>
      <c r="K20" s="2"/>
      <c r="Q20" s="470">
        <v>95</v>
      </c>
      <c r="R20" s="479">
        <v>1.1000000000000001</v>
      </c>
      <c r="S20" s="235">
        <v>1.08</v>
      </c>
      <c r="AJ20" s="1"/>
      <c r="AN20" s="1"/>
      <c r="AP20" s="1"/>
    </row>
    <row r="21" spans="1:42" ht="19.5" customHeight="1">
      <c r="A21" s="16"/>
      <c r="B21" s="461" t="s">
        <v>142</v>
      </c>
      <c r="C21" s="461">
        <v>48</v>
      </c>
      <c r="D21" s="461">
        <v>54</v>
      </c>
      <c r="E21" s="461">
        <v>46</v>
      </c>
      <c r="F21" s="461">
        <v>5.9</v>
      </c>
      <c r="G21" s="461">
        <v>9.4700000000000006E-2</v>
      </c>
      <c r="H21" s="480">
        <v>14</v>
      </c>
      <c r="I21" s="7"/>
      <c r="K21" s="2"/>
      <c r="O21" s="3"/>
      <c r="Q21" s="470">
        <v>120</v>
      </c>
      <c r="R21" s="479">
        <v>1.1000000000000001</v>
      </c>
      <c r="S21" s="235">
        <v>1.08</v>
      </c>
      <c r="AJ21" s="1"/>
      <c r="AN21" s="1"/>
      <c r="AP21" s="1"/>
    </row>
    <row r="22" spans="1:42" ht="19.5" customHeight="1">
      <c r="A22" s="16"/>
      <c r="B22" s="461" t="s">
        <v>143</v>
      </c>
      <c r="C22" s="461">
        <v>59</v>
      </c>
      <c r="D22" s="461">
        <v>66</v>
      </c>
      <c r="E22" s="461">
        <v>58</v>
      </c>
      <c r="F22" s="461">
        <v>3.94</v>
      </c>
      <c r="G22" s="461">
        <v>9.0200000000000002E-2</v>
      </c>
      <c r="H22" s="480">
        <v>15</v>
      </c>
      <c r="I22" s="7"/>
      <c r="O22" s="3"/>
      <c r="Q22" s="470">
        <v>150</v>
      </c>
      <c r="R22" s="479">
        <v>1.1000000000000001</v>
      </c>
      <c r="S22" s="235">
        <v>1.0900000000000001</v>
      </c>
      <c r="AJ22" s="1"/>
      <c r="AN22" s="1"/>
      <c r="AP22" s="1"/>
    </row>
    <row r="23" spans="1:42" ht="19.5" customHeight="1">
      <c r="A23" s="16"/>
      <c r="B23" s="461" t="s">
        <v>144</v>
      </c>
      <c r="C23" s="461">
        <v>62</v>
      </c>
      <c r="D23" s="461">
        <v>70</v>
      </c>
      <c r="E23" s="461">
        <v>57</v>
      </c>
      <c r="F23" s="461">
        <v>3.94</v>
      </c>
      <c r="G23" s="461">
        <v>8.5199999999999998E-2</v>
      </c>
      <c r="H23" s="480">
        <v>17</v>
      </c>
      <c r="I23" s="7"/>
      <c r="O23" s="3"/>
      <c r="Q23" s="470">
        <v>185</v>
      </c>
      <c r="R23" s="479">
        <v>1.1000000000000001</v>
      </c>
      <c r="S23" s="235">
        <v>1.0900000000000001</v>
      </c>
      <c r="AJ23" s="1"/>
      <c r="AN23" s="1"/>
      <c r="AP23" s="1"/>
    </row>
    <row r="24" spans="1:42" ht="19.5" customHeight="1">
      <c r="A24" s="16"/>
      <c r="B24" s="461" t="s">
        <v>145</v>
      </c>
      <c r="C24" s="461">
        <v>79</v>
      </c>
      <c r="D24" s="461">
        <v>90</v>
      </c>
      <c r="E24" s="461">
        <v>75</v>
      </c>
      <c r="F24" s="461">
        <v>2.44</v>
      </c>
      <c r="G24" s="461">
        <v>8.1500000000000003E-2</v>
      </c>
      <c r="H24" s="480">
        <v>18</v>
      </c>
      <c r="I24" s="7"/>
      <c r="Q24" s="470">
        <v>240</v>
      </c>
      <c r="R24" s="479">
        <v>1.1000000000000001</v>
      </c>
      <c r="S24" s="235">
        <v>1.0900000000000001</v>
      </c>
      <c r="AJ24" s="1"/>
      <c r="AN24" s="1"/>
      <c r="AP24" s="1"/>
    </row>
    <row r="25" spans="1:42" ht="19.5" customHeight="1">
      <c r="A25" s="16"/>
      <c r="B25" s="461" t="s">
        <v>146</v>
      </c>
      <c r="C25" s="461">
        <v>108</v>
      </c>
      <c r="D25" s="461">
        <v>117</v>
      </c>
      <c r="E25" s="461">
        <v>99</v>
      </c>
      <c r="F25" s="461">
        <v>1.54</v>
      </c>
      <c r="G25" s="461">
        <v>8.1600000000000006E-2</v>
      </c>
      <c r="H25" s="480">
        <v>20</v>
      </c>
      <c r="I25" s="7"/>
      <c r="Q25" s="470">
        <v>300</v>
      </c>
      <c r="R25" s="479">
        <v>1.1000000000000001</v>
      </c>
      <c r="S25" s="235">
        <v>1.0900000000000001</v>
      </c>
      <c r="AJ25" s="1"/>
      <c r="AN25" s="1"/>
      <c r="AP25" s="1"/>
    </row>
    <row r="26" spans="1:42" ht="19.5" customHeight="1">
      <c r="A26" s="16"/>
      <c r="B26" s="461" t="s">
        <v>147</v>
      </c>
      <c r="C26" s="461">
        <v>143</v>
      </c>
      <c r="D26" s="461">
        <v>140</v>
      </c>
      <c r="E26" s="461">
        <v>117</v>
      </c>
      <c r="F26" s="461">
        <v>1.1100000000000001</v>
      </c>
      <c r="G26" s="461">
        <v>7.9399999999999998E-2</v>
      </c>
      <c r="H26" s="480">
        <v>21</v>
      </c>
      <c r="I26" s="7"/>
      <c r="Q26" s="470">
        <v>400</v>
      </c>
      <c r="R26" s="471">
        <v>1.1100000000000001</v>
      </c>
      <c r="S26" s="481">
        <v>1.1000000000000001</v>
      </c>
      <c r="AJ26" s="1"/>
      <c r="AN26" s="1"/>
      <c r="AP26" s="1"/>
    </row>
    <row r="27" spans="1:42" ht="19.5" customHeight="1">
      <c r="A27" s="16"/>
      <c r="B27" s="461" t="s">
        <v>148</v>
      </c>
      <c r="C27" s="461">
        <v>173</v>
      </c>
      <c r="D27" s="461">
        <v>168</v>
      </c>
      <c r="E27" s="461">
        <v>143</v>
      </c>
      <c r="F27" s="461">
        <v>0.82</v>
      </c>
      <c r="G27" s="461">
        <v>7.9200000000000007E-2</v>
      </c>
      <c r="H27" s="480">
        <v>24</v>
      </c>
      <c r="I27" s="7"/>
      <c r="Q27" s="470">
        <v>500</v>
      </c>
      <c r="R27" s="471">
        <v>1.1100000000000001</v>
      </c>
      <c r="S27" s="481">
        <v>1.1000000000000001</v>
      </c>
      <c r="AJ27" s="1"/>
      <c r="AN27" s="1"/>
      <c r="AP27" s="1"/>
    </row>
    <row r="28" spans="1:42" ht="19.5" customHeight="1">
      <c r="A28" s="16"/>
      <c r="B28" s="461" t="s">
        <v>149</v>
      </c>
      <c r="C28" s="461">
        <v>212</v>
      </c>
      <c r="D28" s="461">
        <v>202</v>
      </c>
      <c r="E28" s="461">
        <v>177</v>
      </c>
      <c r="F28" s="461">
        <v>0.56699999999999995</v>
      </c>
      <c r="G28" s="461">
        <v>7.5200000000000003E-2</v>
      </c>
      <c r="H28" s="480">
        <v>27</v>
      </c>
      <c r="I28" s="7"/>
      <c r="Q28" s="470">
        <v>630</v>
      </c>
      <c r="R28" s="471">
        <v>1.1100000000000001</v>
      </c>
      <c r="S28" s="481">
        <v>1.1000000000000001</v>
      </c>
      <c r="AJ28" s="1"/>
      <c r="AN28" s="1"/>
      <c r="AP28" s="1"/>
    </row>
    <row r="29" spans="1:42" ht="19.5" customHeight="1">
      <c r="A29" s="16"/>
      <c r="B29" s="461" t="s">
        <v>150</v>
      </c>
      <c r="C29" s="461">
        <v>257</v>
      </c>
      <c r="D29" s="461">
        <v>243</v>
      </c>
      <c r="E29" s="461">
        <v>217</v>
      </c>
      <c r="F29" s="461">
        <v>0.41</v>
      </c>
      <c r="G29" s="461">
        <v>7.3400000000000007E-2</v>
      </c>
      <c r="H29" s="480">
        <v>30</v>
      </c>
      <c r="I29" s="7"/>
      <c r="Q29" s="482"/>
      <c r="R29" s="482"/>
      <c r="S29" s="483"/>
      <c r="AJ29" s="1"/>
      <c r="AN29" s="1"/>
      <c r="AP29" s="1"/>
    </row>
    <row r="30" spans="1:42" ht="19.5" customHeight="1">
      <c r="A30" s="16"/>
      <c r="B30" s="461" t="s">
        <v>151</v>
      </c>
      <c r="C30" s="461">
        <v>295</v>
      </c>
      <c r="D30" s="461">
        <v>273</v>
      </c>
      <c r="E30" s="461">
        <v>247</v>
      </c>
      <c r="F30" s="461">
        <v>0.32400000000000001</v>
      </c>
      <c r="G30" s="461">
        <v>7.2599999999999998E-2</v>
      </c>
      <c r="H30" s="480">
        <v>32</v>
      </c>
      <c r="I30" s="7"/>
      <c r="Q30" s="482"/>
      <c r="R30" s="482"/>
      <c r="S30" s="483"/>
      <c r="AJ30" s="1"/>
      <c r="AN30" s="1"/>
      <c r="AP30" s="1"/>
    </row>
    <row r="31" spans="1:42" ht="19.5" customHeight="1">
      <c r="A31" s="16"/>
      <c r="B31" s="461" t="s">
        <v>152</v>
      </c>
      <c r="C31" s="461">
        <v>342</v>
      </c>
      <c r="D31" s="461">
        <v>310</v>
      </c>
      <c r="E31" s="461">
        <v>305</v>
      </c>
      <c r="F31" s="461">
        <v>0.26400000000000001</v>
      </c>
      <c r="G31" s="461">
        <v>7.3200000000000001E-2</v>
      </c>
      <c r="H31" s="480">
        <v>35</v>
      </c>
      <c r="I31" s="7"/>
      <c r="Q31" s="482"/>
      <c r="R31" s="482"/>
      <c r="S31" s="483"/>
      <c r="AJ31" s="1"/>
      <c r="AN31" s="1"/>
      <c r="AP31" s="1"/>
    </row>
    <row r="32" spans="1:42" ht="57" customHeight="1">
      <c r="A32" s="16"/>
      <c r="B32" s="461" t="s">
        <v>153</v>
      </c>
      <c r="C32" s="461">
        <v>395</v>
      </c>
      <c r="D32" s="461">
        <v>350</v>
      </c>
      <c r="E32" s="461">
        <v>345</v>
      </c>
      <c r="F32" s="461">
        <v>0.21</v>
      </c>
      <c r="G32" s="461">
        <v>7.2700000000000001E-2</v>
      </c>
      <c r="H32" s="480">
        <v>39</v>
      </c>
      <c r="I32" s="7"/>
      <c r="Q32" s="482"/>
      <c r="R32" s="482"/>
      <c r="S32" s="483"/>
      <c r="AJ32" s="1"/>
      <c r="AN32" s="1"/>
      <c r="AP32" s="1"/>
    </row>
    <row r="33" spans="1:42" ht="19.5" customHeight="1">
      <c r="A33" s="16"/>
      <c r="B33" s="461" t="s">
        <v>154</v>
      </c>
      <c r="C33" s="461">
        <v>465</v>
      </c>
      <c r="D33" s="461">
        <v>401</v>
      </c>
      <c r="E33" s="461">
        <v>393</v>
      </c>
      <c r="F33" s="461">
        <v>0.16</v>
      </c>
      <c r="G33" s="461">
        <v>7.1900000000000006E-2</v>
      </c>
      <c r="H33" s="480">
        <v>44</v>
      </c>
      <c r="I33" s="7"/>
      <c r="Q33" s="482"/>
      <c r="R33" s="482"/>
      <c r="S33" s="483"/>
      <c r="AN33" s="1"/>
      <c r="AP33" s="1"/>
    </row>
    <row r="34" spans="1:42" ht="19.5" customHeight="1">
      <c r="A34" s="16"/>
      <c r="B34" s="461" t="s">
        <v>155</v>
      </c>
      <c r="C34" s="461">
        <v>532</v>
      </c>
      <c r="D34" s="461">
        <v>458</v>
      </c>
      <c r="E34" s="461">
        <v>453</v>
      </c>
      <c r="F34" s="461">
        <v>0.128</v>
      </c>
      <c r="G34" s="461">
        <v>7.1099999999999997E-2</v>
      </c>
      <c r="H34" s="480">
        <v>48</v>
      </c>
      <c r="I34" s="7"/>
      <c r="Q34" s="482"/>
      <c r="R34" s="482"/>
      <c r="S34" s="483"/>
      <c r="AN34" s="1"/>
      <c r="AP34" s="1"/>
    </row>
    <row r="35" spans="1:42" ht="19.5" customHeight="1">
      <c r="A35" s="16"/>
      <c r="B35" s="461" t="s">
        <v>156</v>
      </c>
      <c r="C35" s="461">
        <v>622</v>
      </c>
      <c r="D35" s="461">
        <v>505</v>
      </c>
      <c r="E35" s="461">
        <v>553</v>
      </c>
      <c r="F35" s="461">
        <v>0.1</v>
      </c>
      <c r="G35" s="461">
        <v>7.0499999999999993E-2</v>
      </c>
      <c r="H35" s="480">
        <v>54</v>
      </c>
      <c r="I35" s="7"/>
      <c r="Q35" s="482"/>
      <c r="R35" s="482"/>
      <c r="S35" s="483"/>
      <c r="AJ35" s="1"/>
      <c r="AN35" s="1"/>
      <c r="AP35" s="1"/>
    </row>
    <row r="36" spans="1:42" ht="19.5" customHeight="1">
      <c r="A36" s="16"/>
      <c r="B36" s="7"/>
      <c r="C36" s="5"/>
      <c r="D36" s="5"/>
      <c r="E36" s="5"/>
      <c r="F36" s="5"/>
      <c r="G36" s="4"/>
      <c r="H36" s="19"/>
      <c r="I36" s="7"/>
      <c r="AN36" s="1"/>
    </row>
    <row r="37" spans="1:42" ht="19.5" customHeight="1">
      <c r="A37" s="16"/>
      <c r="B37" s="484" t="s">
        <v>157</v>
      </c>
      <c r="C37" s="485"/>
      <c r="D37" s="485"/>
      <c r="E37" s="485"/>
      <c r="F37" s="485"/>
      <c r="G37" s="485" t="s">
        <v>108</v>
      </c>
      <c r="H37" s="486"/>
      <c r="I37" s="1"/>
      <c r="AN37" s="1"/>
    </row>
    <row r="38" spans="1:42" ht="32.25" customHeight="1">
      <c r="A38" s="16"/>
      <c r="B38" s="684" t="s">
        <v>109</v>
      </c>
      <c r="C38" s="684" t="s">
        <v>110</v>
      </c>
      <c r="D38" s="684"/>
      <c r="E38" s="684"/>
      <c r="F38" s="685" t="s">
        <v>111</v>
      </c>
      <c r="G38" s="684" t="s">
        <v>112</v>
      </c>
      <c r="H38" s="690" t="s">
        <v>113</v>
      </c>
      <c r="I38" s="1"/>
      <c r="AN38" s="1"/>
    </row>
    <row r="39" spans="1:42" ht="32.25" customHeight="1">
      <c r="A39" s="16"/>
      <c r="B39" s="684"/>
      <c r="C39" s="459" t="s">
        <v>121</v>
      </c>
      <c r="D39" s="459" t="s">
        <v>122</v>
      </c>
      <c r="E39" s="459" t="s">
        <v>123</v>
      </c>
      <c r="F39" s="650"/>
      <c r="G39" s="684"/>
      <c r="H39" s="690"/>
      <c r="I39" s="1"/>
    </row>
    <row r="40" spans="1:42" ht="19.5" customHeight="1">
      <c r="A40" s="16"/>
      <c r="B40" s="477" t="s">
        <v>158</v>
      </c>
      <c r="C40" s="477">
        <v>22</v>
      </c>
      <c r="D40" s="477">
        <v>25</v>
      </c>
      <c r="E40" s="477">
        <v>22</v>
      </c>
      <c r="F40" s="477">
        <v>15.5</v>
      </c>
      <c r="G40" s="477">
        <v>0.108</v>
      </c>
      <c r="H40" s="478">
        <v>13</v>
      </c>
      <c r="I40" s="1"/>
      <c r="J40" s="72"/>
    </row>
    <row r="41" spans="1:42" ht="19.5" customHeight="1">
      <c r="A41" s="16"/>
      <c r="B41" s="461" t="s">
        <v>159</v>
      </c>
      <c r="C41" s="461">
        <v>28</v>
      </c>
      <c r="D41" s="461">
        <v>34</v>
      </c>
      <c r="E41" s="461">
        <v>28</v>
      </c>
      <c r="F41" s="461">
        <v>9.48</v>
      </c>
      <c r="G41" s="461">
        <v>0.1007</v>
      </c>
      <c r="H41" s="480">
        <v>14</v>
      </c>
      <c r="I41" s="1"/>
      <c r="J41" s="72"/>
      <c r="K41" s="2"/>
      <c r="L41" s="2"/>
      <c r="M41" s="2"/>
      <c r="N41" s="2"/>
      <c r="S41" s="2"/>
      <c r="T41" s="2"/>
    </row>
    <row r="42" spans="1:42" ht="19.5" customHeight="1">
      <c r="A42" s="16"/>
      <c r="B42" s="461" t="s">
        <v>160</v>
      </c>
      <c r="C42" s="461">
        <v>38</v>
      </c>
      <c r="D42" s="461">
        <v>44</v>
      </c>
      <c r="E42" s="461">
        <v>37</v>
      </c>
      <c r="F42" s="461">
        <v>5.9</v>
      </c>
      <c r="G42" s="461">
        <v>9.4700000000000006E-2</v>
      </c>
      <c r="H42" s="480">
        <v>15</v>
      </c>
      <c r="I42" s="1"/>
      <c r="J42" s="72"/>
      <c r="K42" s="2"/>
      <c r="L42" s="2"/>
      <c r="M42" s="2"/>
      <c r="N42" s="2"/>
      <c r="S42" s="2"/>
      <c r="T42" s="2"/>
    </row>
    <row r="43" spans="1:42" ht="19.5" customHeight="1">
      <c r="A43" s="16"/>
      <c r="B43" s="461" t="s">
        <v>161</v>
      </c>
      <c r="C43" s="461">
        <v>51</v>
      </c>
      <c r="D43" s="461">
        <v>55</v>
      </c>
      <c r="E43" s="461">
        <v>46</v>
      </c>
      <c r="F43" s="461">
        <v>3.94</v>
      </c>
      <c r="G43" s="461">
        <v>9.0200000000000002E-2</v>
      </c>
      <c r="H43" s="480">
        <v>16</v>
      </c>
      <c r="I43" s="1"/>
      <c r="J43" s="72"/>
      <c r="K43" s="2"/>
      <c r="L43" s="2"/>
      <c r="M43" s="2"/>
      <c r="N43" s="2"/>
      <c r="S43" s="2"/>
      <c r="T43" s="2"/>
      <c r="V43" s="5"/>
      <c r="W43" s="5"/>
      <c r="X43" s="5"/>
      <c r="Y43" s="5"/>
      <c r="Z43" s="5"/>
      <c r="AA43" s="5"/>
      <c r="AB43" s="5"/>
      <c r="AC43" s="5"/>
      <c r="AD43" s="5"/>
    </row>
    <row r="44" spans="1:42" ht="19.5" customHeight="1">
      <c r="A44" s="16"/>
      <c r="B44" s="461" t="s">
        <v>162</v>
      </c>
      <c r="C44" s="461">
        <v>60</v>
      </c>
      <c r="D44" s="461">
        <v>57</v>
      </c>
      <c r="E44" s="461">
        <v>48</v>
      </c>
      <c r="F44" s="461">
        <v>3.94</v>
      </c>
      <c r="G44" s="461">
        <v>8.5199999999999998E-2</v>
      </c>
      <c r="H44" s="480">
        <v>19</v>
      </c>
      <c r="J44" s="72"/>
      <c r="K44" s="2"/>
      <c r="L44" s="2"/>
      <c r="M44" s="2"/>
      <c r="N44" s="2"/>
      <c r="S44" s="2"/>
      <c r="T44" s="2"/>
      <c r="V44" s="5"/>
      <c r="W44" s="5"/>
      <c r="X44" s="5"/>
      <c r="Y44" s="5"/>
      <c r="Z44" s="5"/>
      <c r="AA44" s="5"/>
      <c r="AB44" s="5"/>
      <c r="AC44" s="5"/>
      <c r="AD44" s="5"/>
    </row>
    <row r="45" spans="1:42" ht="19.5" customHeight="1">
      <c r="A45" s="16"/>
      <c r="B45" s="461" t="s">
        <v>163</v>
      </c>
      <c r="C45" s="461">
        <v>70</v>
      </c>
      <c r="D45" s="461">
        <v>73</v>
      </c>
      <c r="E45" s="461">
        <v>61</v>
      </c>
      <c r="F45" s="461">
        <v>2.44</v>
      </c>
      <c r="G45" s="461">
        <v>8.1500000000000003E-2</v>
      </c>
      <c r="H45" s="480">
        <v>19</v>
      </c>
      <c r="J45" s="72"/>
      <c r="K45" s="2"/>
      <c r="L45" s="2"/>
      <c r="M45" s="2"/>
      <c r="N45" s="2"/>
      <c r="S45" s="2"/>
      <c r="T45" s="2"/>
      <c r="V45" s="5"/>
      <c r="W45" s="5"/>
      <c r="X45" s="5"/>
      <c r="Y45" s="5"/>
      <c r="Z45" s="5"/>
      <c r="AA45" s="5"/>
      <c r="AB45" s="5"/>
      <c r="AC45" s="5"/>
      <c r="AD45" s="5"/>
    </row>
    <row r="46" spans="1:42" ht="19.5" customHeight="1">
      <c r="A46" s="16"/>
      <c r="B46" s="461" t="s">
        <v>164</v>
      </c>
      <c r="C46" s="461">
        <v>95</v>
      </c>
      <c r="D46" s="461">
        <v>96</v>
      </c>
      <c r="E46" s="461">
        <v>80</v>
      </c>
      <c r="F46" s="461">
        <v>1.54</v>
      </c>
      <c r="G46" s="461">
        <v>8.1600000000000006E-2</v>
      </c>
      <c r="H46" s="480">
        <v>21</v>
      </c>
      <c r="J46" s="72"/>
      <c r="O46" s="3"/>
      <c r="P46" s="3"/>
      <c r="Q46" s="3"/>
      <c r="R46" s="3"/>
      <c r="T46" s="5"/>
      <c r="U46" s="5"/>
      <c r="V46" s="5"/>
      <c r="W46" s="5"/>
      <c r="X46" s="5"/>
      <c r="Y46" s="5"/>
      <c r="Z46" s="5"/>
      <c r="AA46" s="5"/>
      <c r="AB46" s="5"/>
      <c r="AC46" s="5"/>
      <c r="AD46" s="5"/>
    </row>
    <row r="47" spans="1:42" ht="19.5" customHeight="1">
      <c r="A47" s="16"/>
      <c r="B47" s="461" t="s">
        <v>165</v>
      </c>
      <c r="C47" s="461">
        <v>117</v>
      </c>
      <c r="D47" s="461">
        <v>115</v>
      </c>
      <c r="E47" s="461">
        <v>96</v>
      </c>
      <c r="F47" s="461">
        <v>1.1100000000000001</v>
      </c>
      <c r="G47" s="461">
        <v>7.9399999999999998E-2</v>
      </c>
      <c r="H47" s="480">
        <v>23</v>
      </c>
      <c r="J47" s="72"/>
      <c r="T47" s="5"/>
      <c r="U47" s="5"/>
      <c r="V47" s="5"/>
      <c r="W47" s="5"/>
      <c r="X47" s="5"/>
      <c r="Y47" s="5"/>
      <c r="Z47" s="5"/>
      <c r="AA47" s="5"/>
      <c r="AB47" s="5"/>
      <c r="AC47" s="5"/>
      <c r="AD47" s="5"/>
    </row>
    <row r="48" spans="1:42" ht="19.5" customHeight="1">
      <c r="A48" s="16"/>
      <c r="B48" s="461" t="s">
        <v>166</v>
      </c>
      <c r="C48" s="461">
        <v>141</v>
      </c>
      <c r="D48" s="461">
        <v>134</v>
      </c>
      <c r="E48" s="461">
        <v>116</v>
      </c>
      <c r="F48" s="461">
        <v>0.82</v>
      </c>
      <c r="G48" s="461">
        <v>7.9200000000000007E-2</v>
      </c>
      <c r="H48" s="480">
        <v>26</v>
      </c>
      <c r="J48" s="72"/>
      <c r="O48" s="3"/>
      <c r="T48" s="5"/>
      <c r="U48" s="5"/>
      <c r="V48" s="5"/>
      <c r="W48" s="5"/>
      <c r="X48" s="5"/>
      <c r="Y48" s="5"/>
      <c r="Z48" s="5"/>
      <c r="AA48" s="5"/>
      <c r="AB48" s="5"/>
      <c r="AC48" s="5"/>
      <c r="AD48" s="5"/>
    </row>
    <row r="49" spans="1:34" ht="19.5" customHeight="1">
      <c r="A49" s="16"/>
      <c r="B49" s="461" t="s">
        <v>167</v>
      </c>
      <c r="C49" s="461">
        <v>177</v>
      </c>
      <c r="D49" s="461">
        <v>165</v>
      </c>
      <c r="E49" s="461">
        <v>141</v>
      </c>
      <c r="F49" s="461">
        <v>0.56699999999999995</v>
      </c>
      <c r="G49" s="461">
        <v>7.5200000000000003E-2</v>
      </c>
      <c r="H49" s="480">
        <v>30</v>
      </c>
      <c r="J49" s="72"/>
      <c r="P49" s="1"/>
      <c r="Q49" s="1"/>
      <c r="R49" s="4"/>
    </row>
    <row r="50" spans="1:34" ht="19.5" customHeight="1">
      <c r="A50" s="16"/>
      <c r="B50" s="461" t="s">
        <v>168</v>
      </c>
      <c r="C50" s="461">
        <v>221</v>
      </c>
      <c r="D50" s="461">
        <v>198</v>
      </c>
      <c r="E50" s="461">
        <v>168</v>
      </c>
      <c r="F50" s="461">
        <v>0.41</v>
      </c>
      <c r="G50" s="461">
        <v>7.3400000000000007E-2</v>
      </c>
      <c r="H50" s="480">
        <v>33</v>
      </c>
      <c r="J50" s="72"/>
      <c r="P50" s="1"/>
      <c r="Q50" s="1"/>
      <c r="R50" s="4"/>
    </row>
    <row r="51" spans="1:34" ht="19.5" customHeight="1">
      <c r="A51" s="16"/>
      <c r="B51" s="461" t="s">
        <v>169</v>
      </c>
      <c r="C51" s="461">
        <v>257</v>
      </c>
      <c r="D51" s="461">
        <v>225</v>
      </c>
      <c r="E51" s="461">
        <v>189</v>
      </c>
      <c r="F51" s="461">
        <v>0.32400000000000001</v>
      </c>
      <c r="G51" s="461">
        <v>7.2599999999999998E-2</v>
      </c>
      <c r="H51" s="480">
        <v>35</v>
      </c>
      <c r="J51" s="72"/>
      <c r="P51" s="1"/>
      <c r="Q51" s="1"/>
      <c r="R51" s="4"/>
    </row>
    <row r="52" spans="1:34" ht="19.5" customHeight="1">
      <c r="A52" s="16"/>
      <c r="B52" s="461" t="s">
        <v>170</v>
      </c>
      <c r="C52" s="461">
        <v>293</v>
      </c>
      <c r="D52" s="461">
        <v>252</v>
      </c>
      <c r="E52" s="461">
        <v>210</v>
      </c>
      <c r="F52" s="461">
        <v>0.26400000000000001</v>
      </c>
      <c r="G52" s="461">
        <v>7.3200000000000001E-2</v>
      </c>
      <c r="H52" s="480">
        <v>39</v>
      </c>
      <c r="J52" s="72"/>
      <c r="P52" s="1"/>
      <c r="Q52" s="1"/>
      <c r="R52" s="4"/>
    </row>
    <row r="53" spans="1:34" ht="19.5" customHeight="1">
      <c r="A53" s="16"/>
      <c r="B53" s="461" t="s">
        <v>171</v>
      </c>
      <c r="C53" s="461">
        <v>338</v>
      </c>
      <c r="D53" s="461">
        <v>285</v>
      </c>
      <c r="E53" s="461">
        <v>243</v>
      </c>
      <c r="F53" s="461">
        <v>0.21</v>
      </c>
      <c r="G53" s="461">
        <v>7.2700000000000001E-2</v>
      </c>
      <c r="H53" s="480">
        <v>43</v>
      </c>
      <c r="J53" s="72"/>
      <c r="P53" s="1"/>
      <c r="Q53" s="1"/>
      <c r="R53" s="4"/>
    </row>
    <row r="54" spans="1:34" ht="19.5" customHeight="1">
      <c r="A54" s="16"/>
      <c r="B54" s="461" t="s">
        <v>172</v>
      </c>
      <c r="C54" s="461">
        <v>401</v>
      </c>
      <c r="D54" s="461">
        <v>330</v>
      </c>
      <c r="E54" s="461">
        <v>282</v>
      </c>
      <c r="F54" s="461">
        <v>0.16</v>
      </c>
      <c r="G54" s="461">
        <v>7.1900000000000006E-2</v>
      </c>
      <c r="H54" s="480">
        <v>48</v>
      </c>
      <c r="I54" s="4"/>
      <c r="J54" s="72"/>
      <c r="P54" s="4"/>
      <c r="Q54" s="4"/>
      <c r="R54" s="4"/>
    </row>
    <row r="55" spans="1:34" ht="19.5" customHeight="1">
      <c r="A55" s="16"/>
      <c r="B55" s="461" t="s">
        <v>173</v>
      </c>
      <c r="C55" s="461">
        <v>459</v>
      </c>
      <c r="D55" s="461">
        <v>371</v>
      </c>
      <c r="E55" s="461">
        <v>316</v>
      </c>
      <c r="F55" s="461">
        <v>0.128</v>
      </c>
      <c r="G55" s="461">
        <v>7.1099999999999997E-2</v>
      </c>
      <c r="H55" s="480">
        <v>53</v>
      </c>
      <c r="I55" s="4"/>
      <c r="J55" s="72"/>
      <c r="P55" s="4"/>
      <c r="Q55" s="4"/>
      <c r="R55" s="4"/>
    </row>
    <row r="56" spans="1:34" ht="29.25" customHeight="1">
      <c r="A56" s="16"/>
      <c r="B56" s="461" t="s">
        <v>174</v>
      </c>
      <c r="C56" s="461">
        <v>536</v>
      </c>
      <c r="D56" s="461">
        <v>423</v>
      </c>
      <c r="E56" s="461">
        <v>282</v>
      </c>
      <c r="F56" s="461">
        <v>0.1</v>
      </c>
      <c r="G56" s="461">
        <v>7.0499999999999993E-2</v>
      </c>
      <c r="H56" s="480">
        <v>59</v>
      </c>
      <c r="I56" s="4"/>
      <c r="J56" s="72"/>
    </row>
    <row r="57" spans="1:34" ht="19.5" customHeight="1">
      <c r="A57" s="16"/>
      <c r="B57" s="4"/>
      <c r="C57" s="6"/>
      <c r="D57" s="4"/>
      <c r="E57" s="4"/>
      <c r="F57" s="4"/>
      <c r="G57" s="4"/>
      <c r="H57" s="17"/>
      <c r="I57" s="4"/>
    </row>
    <row r="58" spans="1:34" ht="19.5" customHeight="1">
      <c r="A58" s="16"/>
      <c r="B58" s="484" t="s">
        <v>175</v>
      </c>
      <c r="C58" s="485"/>
      <c r="D58" s="485"/>
      <c r="E58" s="485"/>
      <c r="F58" s="485"/>
      <c r="G58" s="485" t="s">
        <v>108</v>
      </c>
      <c r="H58" s="487"/>
      <c r="I58" s="4"/>
    </row>
    <row r="59" spans="1:34" ht="32.25" customHeight="1">
      <c r="A59" s="16"/>
      <c r="B59" s="684" t="s">
        <v>109</v>
      </c>
      <c r="C59" s="684" t="s">
        <v>110</v>
      </c>
      <c r="D59" s="684"/>
      <c r="E59" s="684"/>
      <c r="F59" s="685" t="s">
        <v>111</v>
      </c>
      <c r="G59" s="684" t="s">
        <v>112</v>
      </c>
      <c r="H59" s="690" t="s">
        <v>113</v>
      </c>
      <c r="I59" s="4"/>
    </row>
    <row r="60" spans="1:34" ht="32.25" customHeight="1">
      <c r="A60" s="16"/>
      <c r="B60" s="684"/>
      <c r="C60" s="459" t="s">
        <v>121</v>
      </c>
      <c r="D60" s="459" t="s">
        <v>122</v>
      </c>
      <c r="E60" s="459" t="s">
        <v>123</v>
      </c>
      <c r="F60" s="650"/>
      <c r="G60" s="684"/>
      <c r="H60" s="690"/>
      <c r="I60" s="4"/>
    </row>
    <row r="61" spans="1:34" ht="19.5" customHeight="1">
      <c r="A61" s="16"/>
      <c r="B61" s="470" t="s">
        <v>176</v>
      </c>
      <c r="C61" s="470">
        <v>22</v>
      </c>
      <c r="D61" s="470">
        <v>25</v>
      </c>
      <c r="E61" s="470">
        <v>22</v>
      </c>
      <c r="F61" s="470">
        <v>15.5</v>
      </c>
      <c r="G61" s="470">
        <v>0.108</v>
      </c>
      <c r="H61" s="478">
        <v>13</v>
      </c>
      <c r="I61" s="4"/>
    </row>
    <row r="62" spans="1:34" ht="19.5" customHeight="1">
      <c r="A62" s="16"/>
      <c r="B62" s="488" t="s">
        <v>177</v>
      </c>
      <c r="C62" s="488">
        <v>28</v>
      </c>
      <c r="D62" s="488">
        <v>34</v>
      </c>
      <c r="E62" s="488">
        <v>28</v>
      </c>
      <c r="F62" s="488">
        <v>9.48</v>
      </c>
      <c r="G62" s="488">
        <v>0.1007</v>
      </c>
      <c r="H62" s="480">
        <v>15</v>
      </c>
      <c r="I62" s="4"/>
    </row>
    <row r="63" spans="1:34" ht="19.5" customHeight="1">
      <c r="A63" s="16"/>
      <c r="B63" s="488" t="s">
        <v>178</v>
      </c>
      <c r="C63" s="488">
        <v>38</v>
      </c>
      <c r="D63" s="488">
        <v>44</v>
      </c>
      <c r="E63" s="488">
        <v>37</v>
      </c>
      <c r="F63" s="488">
        <v>5.9</v>
      </c>
      <c r="G63" s="488">
        <v>9.4700000000000006E-2</v>
      </c>
      <c r="H63" s="480">
        <v>16</v>
      </c>
      <c r="I63" s="4"/>
    </row>
    <row r="64" spans="1:34" ht="19.5" customHeight="1">
      <c r="A64" s="16"/>
      <c r="B64" s="488" t="s">
        <v>179</v>
      </c>
      <c r="C64" s="488">
        <v>51</v>
      </c>
      <c r="D64" s="488">
        <v>55</v>
      </c>
      <c r="E64" s="488">
        <v>46</v>
      </c>
      <c r="F64" s="488">
        <v>3.94</v>
      </c>
      <c r="G64" s="488">
        <v>9.0200000000000002E-2</v>
      </c>
      <c r="H64" s="480">
        <v>18</v>
      </c>
      <c r="I64" s="4"/>
      <c r="AH64" s="5"/>
    </row>
    <row r="65" spans="1:34" ht="19.5" customHeight="1">
      <c r="A65" s="16"/>
      <c r="B65" s="488" t="s">
        <v>180</v>
      </c>
      <c r="C65" s="488">
        <v>60</v>
      </c>
      <c r="D65" s="488">
        <v>57</v>
      </c>
      <c r="E65" s="488">
        <v>48</v>
      </c>
      <c r="F65" s="488">
        <v>3.94</v>
      </c>
      <c r="G65" s="488">
        <v>8.5199999999999998E-2</v>
      </c>
      <c r="H65" s="480">
        <v>20</v>
      </c>
      <c r="I65" s="4"/>
      <c r="AH65" s="5"/>
    </row>
    <row r="66" spans="1:34" ht="19.5" customHeight="1">
      <c r="A66" s="16"/>
      <c r="B66" s="488" t="s">
        <v>181</v>
      </c>
      <c r="C66" s="488">
        <v>70</v>
      </c>
      <c r="D66" s="488">
        <v>73</v>
      </c>
      <c r="E66" s="488">
        <v>61</v>
      </c>
      <c r="F66" s="488">
        <v>2.44</v>
      </c>
      <c r="G66" s="488">
        <v>8.1500000000000003E-2</v>
      </c>
      <c r="H66" s="480">
        <v>21</v>
      </c>
      <c r="I66" s="4"/>
      <c r="AH66" s="5"/>
    </row>
    <row r="67" spans="1:34" ht="19.5" customHeight="1">
      <c r="A67" s="16"/>
      <c r="B67" s="488" t="s">
        <v>182</v>
      </c>
      <c r="C67" s="488">
        <v>95</v>
      </c>
      <c r="D67" s="488">
        <v>96</v>
      </c>
      <c r="E67" s="488">
        <v>80</v>
      </c>
      <c r="F67" s="488">
        <v>1.54</v>
      </c>
      <c r="G67" s="488">
        <v>8.1600000000000006E-2</v>
      </c>
      <c r="H67" s="480">
        <v>25</v>
      </c>
      <c r="I67" s="4"/>
      <c r="J67" s="1"/>
      <c r="K67" s="1"/>
      <c r="L67" s="1"/>
      <c r="M67" s="1"/>
      <c r="N67" s="1"/>
      <c r="O67" s="1"/>
      <c r="R67" s="4"/>
      <c r="AH67" s="5"/>
    </row>
    <row r="68" spans="1:34" ht="19.5" customHeight="1">
      <c r="A68" s="16"/>
      <c r="B68" s="488" t="s">
        <v>183</v>
      </c>
      <c r="C68" s="488">
        <v>117</v>
      </c>
      <c r="D68" s="488">
        <v>115</v>
      </c>
      <c r="E68" s="488">
        <v>96</v>
      </c>
      <c r="F68" s="488">
        <v>1.1100000000000001</v>
      </c>
      <c r="G68" s="488">
        <v>7.9399999999999998E-2</v>
      </c>
      <c r="H68" s="480">
        <v>27</v>
      </c>
      <c r="I68" s="4"/>
      <c r="J68" s="1"/>
      <c r="K68" s="1"/>
      <c r="L68" s="1"/>
      <c r="M68" s="1"/>
      <c r="N68" s="1"/>
      <c r="O68" s="1"/>
      <c r="R68" s="4"/>
      <c r="AH68" s="5"/>
    </row>
    <row r="69" spans="1:34" ht="19.5" customHeight="1">
      <c r="A69" s="16"/>
      <c r="B69" s="488" t="s">
        <v>184</v>
      </c>
      <c r="C69" s="488">
        <v>141</v>
      </c>
      <c r="D69" s="488">
        <v>134</v>
      </c>
      <c r="E69" s="488">
        <v>116</v>
      </c>
      <c r="F69" s="488">
        <v>0.82</v>
      </c>
      <c r="G69" s="488">
        <v>7.9200000000000007E-2</v>
      </c>
      <c r="H69" s="480">
        <v>30</v>
      </c>
      <c r="I69" s="4"/>
      <c r="J69" s="1"/>
      <c r="K69" s="1"/>
      <c r="L69" s="1"/>
      <c r="M69" s="1"/>
      <c r="N69" s="1"/>
      <c r="O69" s="1"/>
      <c r="R69" s="4"/>
      <c r="AH69" s="5"/>
    </row>
    <row r="70" spans="1:34" ht="19.5" customHeight="1">
      <c r="A70" s="16"/>
      <c r="B70" s="488" t="s">
        <v>185</v>
      </c>
      <c r="C70" s="488">
        <v>177</v>
      </c>
      <c r="D70" s="488">
        <v>165</v>
      </c>
      <c r="E70" s="488">
        <v>141</v>
      </c>
      <c r="F70" s="488">
        <v>0.56699999999999995</v>
      </c>
      <c r="G70" s="488">
        <v>7.5200000000000003E-2</v>
      </c>
      <c r="H70" s="480">
        <v>36</v>
      </c>
      <c r="I70" s="4"/>
      <c r="J70" s="1"/>
      <c r="K70" s="1"/>
      <c r="L70" s="1"/>
      <c r="M70" s="1"/>
      <c r="N70" s="1"/>
      <c r="O70" s="1"/>
      <c r="R70" s="4"/>
      <c r="AH70" s="5"/>
    </row>
    <row r="71" spans="1:34" ht="19.5" customHeight="1">
      <c r="A71" s="16"/>
      <c r="B71" s="488" t="s">
        <v>186</v>
      </c>
      <c r="C71" s="488">
        <v>221</v>
      </c>
      <c r="D71" s="488">
        <v>198</v>
      </c>
      <c r="E71" s="488">
        <v>168</v>
      </c>
      <c r="F71" s="488">
        <v>0.41</v>
      </c>
      <c r="G71" s="488">
        <v>7.3400000000000007E-2</v>
      </c>
      <c r="H71" s="480">
        <v>39</v>
      </c>
      <c r="I71" s="4"/>
      <c r="J71" s="1"/>
      <c r="K71" s="1"/>
      <c r="L71" s="1"/>
      <c r="M71" s="1"/>
      <c r="N71" s="1"/>
      <c r="O71" s="1"/>
      <c r="R71" s="4"/>
      <c r="AH71" s="5"/>
    </row>
    <row r="72" spans="1:34" ht="19.5" customHeight="1">
      <c r="A72" s="16"/>
      <c r="B72" s="488" t="s">
        <v>187</v>
      </c>
      <c r="C72" s="488">
        <v>257</v>
      </c>
      <c r="D72" s="488">
        <v>225</v>
      </c>
      <c r="E72" s="488">
        <v>189</v>
      </c>
      <c r="F72" s="488">
        <v>0.32400000000000001</v>
      </c>
      <c r="G72" s="488">
        <v>7.2599999999999998E-2</v>
      </c>
      <c r="H72" s="480">
        <v>43</v>
      </c>
      <c r="I72" s="4"/>
      <c r="J72" s="1"/>
      <c r="K72" s="1"/>
      <c r="L72" s="1"/>
      <c r="M72" s="1"/>
      <c r="N72" s="1"/>
      <c r="O72" s="1"/>
      <c r="R72" s="4"/>
      <c r="AH72" s="5"/>
    </row>
    <row r="73" spans="1:34" ht="19.5" customHeight="1">
      <c r="A73" s="16"/>
      <c r="B73" s="488" t="s">
        <v>188</v>
      </c>
      <c r="C73" s="488">
        <v>293</v>
      </c>
      <c r="D73" s="488">
        <v>252</v>
      </c>
      <c r="E73" s="488">
        <v>210</v>
      </c>
      <c r="F73" s="488">
        <v>0.26400000000000001</v>
      </c>
      <c r="G73" s="488">
        <v>7.3200000000000001E-2</v>
      </c>
      <c r="H73" s="480">
        <v>48</v>
      </c>
      <c r="I73" s="4"/>
      <c r="J73" s="1"/>
      <c r="K73" s="1"/>
      <c r="L73" s="1"/>
      <c r="M73" s="1"/>
      <c r="N73" s="1"/>
      <c r="O73" s="1"/>
      <c r="R73" s="4"/>
      <c r="AH73" s="5"/>
    </row>
    <row r="74" spans="1:34">
      <c r="A74" s="16"/>
      <c r="B74" s="488" t="s">
        <v>189</v>
      </c>
      <c r="C74" s="488">
        <v>338</v>
      </c>
      <c r="D74" s="488">
        <v>285</v>
      </c>
      <c r="E74" s="488">
        <v>243</v>
      </c>
      <c r="F74" s="488">
        <v>0.21</v>
      </c>
      <c r="G74" s="488">
        <v>7.2700000000000001E-2</v>
      </c>
      <c r="H74" s="480">
        <v>53</v>
      </c>
      <c r="I74" s="4"/>
      <c r="J74" s="45"/>
      <c r="K74" s="651"/>
      <c r="L74" s="651"/>
      <c r="M74" s="651"/>
      <c r="N74" s="651"/>
      <c r="O74" s="651"/>
      <c r="P74" s="651"/>
      <c r="Q74" s="46"/>
      <c r="R74" s="651"/>
      <c r="S74" s="651"/>
      <c r="T74" s="651"/>
      <c r="U74" s="651"/>
      <c r="AH74" s="5"/>
    </row>
    <row r="75" spans="1:34" ht="19.5" customHeight="1">
      <c r="A75" s="16"/>
      <c r="B75" s="488" t="s">
        <v>190</v>
      </c>
      <c r="C75" s="488">
        <v>401</v>
      </c>
      <c r="D75" s="488">
        <v>330</v>
      </c>
      <c r="E75" s="488">
        <v>282</v>
      </c>
      <c r="F75" s="488">
        <v>0.16</v>
      </c>
      <c r="G75" s="488">
        <v>7.1900000000000006E-2</v>
      </c>
      <c r="H75" s="480">
        <v>58</v>
      </c>
      <c r="I75" s="4"/>
      <c r="J75" s="45"/>
      <c r="K75" s="651"/>
      <c r="L75" s="46"/>
      <c r="M75" s="46"/>
      <c r="N75" s="651"/>
      <c r="O75" s="46"/>
      <c r="P75" s="46"/>
      <c r="Q75" s="46"/>
      <c r="R75" s="46"/>
      <c r="S75" s="46"/>
      <c r="T75" s="46"/>
      <c r="U75" s="46"/>
      <c r="AH75" s="5"/>
    </row>
    <row r="76" spans="1:34" ht="19.5" customHeight="1">
      <c r="A76" s="16"/>
      <c r="B76" s="488" t="s">
        <v>191</v>
      </c>
      <c r="C76" s="488">
        <v>459</v>
      </c>
      <c r="D76" s="488">
        <v>371</v>
      </c>
      <c r="E76" s="488">
        <v>316</v>
      </c>
      <c r="F76" s="488">
        <v>0.128</v>
      </c>
      <c r="G76" s="488">
        <v>7.1099999999999997E-2</v>
      </c>
      <c r="H76" s="480">
        <v>64</v>
      </c>
      <c r="I76" s="4"/>
      <c r="J76" s="45"/>
      <c r="K76" s="45"/>
      <c r="L76" s="47"/>
      <c r="M76" s="47"/>
      <c r="N76" s="45"/>
      <c r="O76" s="47"/>
      <c r="P76" s="47"/>
      <c r="Q76" s="47"/>
      <c r="R76" s="47"/>
      <c r="S76" s="45"/>
      <c r="T76" s="45"/>
      <c r="U76" s="45"/>
      <c r="AH76" s="5"/>
    </row>
    <row r="77" spans="1:34" ht="19.5" customHeight="1">
      <c r="A77" s="16"/>
      <c r="B77" s="488" t="s">
        <v>192</v>
      </c>
      <c r="C77" s="488">
        <v>536</v>
      </c>
      <c r="D77" s="488">
        <v>423</v>
      </c>
      <c r="E77" s="461">
        <v>282</v>
      </c>
      <c r="F77" s="488">
        <v>0.1</v>
      </c>
      <c r="G77" s="488">
        <v>7.0499999999999993E-2</v>
      </c>
      <c r="H77" s="480">
        <v>72</v>
      </c>
      <c r="I77" s="4"/>
      <c r="J77" s="45"/>
      <c r="K77" s="45"/>
      <c r="L77" s="47"/>
      <c r="M77" s="47"/>
      <c r="N77" s="47"/>
      <c r="O77" s="47"/>
      <c r="P77" s="47"/>
      <c r="Q77" s="47"/>
      <c r="R77" s="48"/>
      <c r="S77" s="49"/>
      <c r="T77" s="50"/>
      <c r="U77" s="49"/>
      <c r="AH77" s="5"/>
    </row>
    <row r="78" spans="1:34" ht="19.5" customHeight="1">
      <c r="A78" s="16"/>
      <c r="B78" s="4"/>
      <c r="C78" s="6"/>
      <c r="D78" s="4"/>
      <c r="E78" s="4"/>
      <c r="F78" s="4"/>
      <c r="G78" s="4"/>
      <c r="H78" s="17"/>
      <c r="I78" s="4"/>
      <c r="J78" s="45"/>
      <c r="K78" s="45"/>
      <c r="L78" s="51"/>
      <c r="M78" s="51"/>
      <c r="N78" s="47"/>
      <c r="O78" s="47"/>
      <c r="P78" s="47"/>
      <c r="Q78" s="47"/>
      <c r="R78" s="48"/>
      <c r="S78" s="49"/>
      <c r="T78" s="50"/>
      <c r="U78" s="49"/>
      <c r="V78" s="5"/>
      <c r="W78" s="5"/>
      <c r="X78" s="5"/>
      <c r="Y78" s="5"/>
      <c r="Z78" s="5"/>
      <c r="AA78" s="5"/>
      <c r="AB78" s="5"/>
      <c r="AC78" s="5"/>
      <c r="AD78" s="5"/>
      <c r="AE78" s="5"/>
      <c r="AF78" s="5"/>
      <c r="AG78" s="5"/>
      <c r="AH78" s="5"/>
    </row>
    <row r="79" spans="1:34" ht="19.5" customHeight="1">
      <c r="A79" s="16"/>
      <c r="B79" s="484" t="s">
        <v>193</v>
      </c>
      <c r="C79" s="489"/>
      <c r="D79" s="489"/>
      <c r="E79" s="489"/>
      <c r="F79" s="489"/>
      <c r="G79" s="485" t="s">
        <v>108</v>
      </c>
      <c r="H79" s="490"/>
      <c r="I79" s="4"/>
      <c r="J79" s="52"/>
      <c r="K79" s="52"/>
      <c r="L79" s="52"/>
      <c r="M79" s="52"/>
      <c r="N79" s="52"/>
      <c r="O79" s="52"/>
      <c r="P79" s="52"/>
      <c r="Q79" s="52"/>
      <c r="R79" s="48"/>
      <c r="S79" s="49"/>
      <c r="T79" s="50"/>
      <c r="U79" s="49"/>
      <c r="V79" s="5"/>
      <c r="W79" s="5"/>
      <c r="X79" s="5"/>
      <c r="Y79" s="5"/>
      <c r="Z79" s="5"/>
      <c r="AA79" s="5"/>
      <c r="AB79" s="5"/>
      <c r="AC79" s="5"/>
      <c r="AD79" s="5"/>
      <c r="AE79" s="5"/>
      <c r="AF79" s="5"/>
      <c r="AG79" s="5"/>
      <c r="AH79" s="5"/>
    </row>
    <row r="80" spans="1:34" ht="36" customHeight="1">
      <c r="A80" s="16"/>
      <c r="B80" s="694" t="s">
        <v>194</v>
      </c>
      <c r="C80" s="694" t="s">
        <v>110</v>
      </c>
      <c r="D80" s="694"/>
      <c r="E80" s="694"/>
      <c r="F80" s="685" t="s">
        <v>111</v>
      </c>
      <c r="G80" s="694" t="s">
        <v>112</v>
      </c>
      <c r="H80" s="690" t="s">
        <v>113</v>
      </c>
      <c r="I80" s="4"/>
      <c r="J80" s="53"/>
      <c r="K80" s="46"/>
      <c r="L80" s="54"/>
      <c r="M80" s="54"/>
      <c r="N80" s="54"/>
      <c r="O80" s="54"/>
      <c r="P80" s="54"/>
      <c r="Q80" s="54"/>
      <c r="R80" s="48"/>
      <c r="S80" s="49"/>
      <c r="T80" s="50"/>
      <c r="U80" s="49"/>
      <c r="V80" s="5"/>
      <c r="W80" s="5"/>
      <c r="X80" s="5"/>
      <c r="Y80" s="5"/>
      <c r="Z80" s="5"/>
      <c r="AA80" s="5"/>
      <c r="AB80" s="5"/>
      <c r="AC80" s="5"/>
      <c r="AD80" s="5"/>
      <c r="AE80" s="5"/>
      <c r="AF80" s="5"/>
      <c r="AG80" s="5"/>
      <c r="AH80" s="5"/>
    </row>
    <row r="81" spans="1:34" ht="36" customHeight="1">
      <c r="A81" s="16"/>
      <c r="B81" s="694"/>
      <c r="C81" s="459" t="s">
        <v>121</v>
      </c>
      <c r="D81" s="459" t="s">
        <v>122</v>
      </c>
      <c r="E81" s="459" t="s">
        <v>123</v>
      </c>
      <c r="F81" s="650"/>
      <c r="G81" s="694"/>
      <c r="H81" s="690"/>
      <c r="I81" s="4"/>
      <c r="J81" s="53"/>
      <c r="K81" s="46"/>
      <c r="L81" s="46"/>
      <c r="M81" s="52"/>
      <c r="N81" s="54"/>
      <c r="O81" s="46"/>
      <c r="P81" s="46"/>
      <c r="Q81" s="46"/>
      <c r="R81" s="48"/>
      <c r="S81" s="49"/>
      <c r="T81" s="50"/>
      <c r="U81" s="49"/>
      <c r="V81" s="5"/>
      <c r="W81" s="5"/>
      <c r="X81" s="5"/>
      <c r="Y81" s="5"/>
      <c r="Z81" s="5"/>
      <c r="AA81" s="5"/>
      <c r="AB81" s="5"/>
      <c r="AC81" s="5"/>
      <c r="AD81" s="5"/>
      <c r="AE81" s="5"/>
      <c r="AF81" s="5"/>
      <c r="AG81" s="5"/>
      <c r="AH81" s="5"/>
    </row>
    <row r="82" spans="1:34" ht="19.5" customHeight="1">
      <c r="A82" s="16"/>
      <c r="B82" s="470" t="s">
        <v>195</v>
      </c>
      <c r="C82" s="470">
        <v>22</v>
      </c>
      <c r="D82" s="470">
        <v>25</v>
      </c>
      <c r="E82" s="470">
        <v>22</v>
      </c>
      <c r="F82" s="470">
        <v>15.5</v>
      </c>
      <c r="G82" s="470">
        <v>0.108</v>
      </c>
      <c r="H82" s="491">
        <v>13</v>
      </c>
      <c r="I82" s="4"/>
      <c r="J82" s="53"/>
      <c r="K82" s="45"/>
      <c r="L82" s="52"/>
      <c r="M82" s="52"/>
      <c r="N82" s="45"/>
      <c r="O82" s="47"/>
      <c r="P82" s="47"/>
      <c r="Q82" s="47"/>
      <c r="R82" s="48"/>
      <c r="S82" s="49"/>
      <c r="T82" s="50"/>
      <c r="U82" s="49"/>
      <c r="V82" s="5"/>
      <c r="W82" s="5"/>
      <c r="X82" s="5"/>
      <c r="Y82" s="5"/>
      <c r="Z82" s="5"/>
      <c r="AA82" s="5"/>
      <c r="AB82" s="5"/>
      <c r="AC82" s="5"/>
      <c r="AD82" s="5"/>
      <c r="AE82" s="5"/>
      <c r="AF82" s="5"/>
      <c r="AG82" s="5"/>
      <c r="AH82" s="5"/>
    </row>
    <row r="83" spans="1:34" ht="19.5" customHeight="1">
      <c r="A83" s="16"/>
      <c r="B83" s="488" t="s">
        <v>196</v>
      </c>
      <c r="C83" s="488">
        <v>28</v>
      </c>
      <c r="D83" s="488">
        <v>34</v>
      </c>
      <c r="E83" s="488">
        <v>28</v>
      </c>
      <c r="F83" s="488">
        <v>9.48</v>
      </c>
      <c r="G83" s="488">
        <v>0.1007</v>
      </c>
      <c r="H83" s="492">
        <v>15</v>
      </c>
      <c r="I83" s="4"/>
      <c r="J83" s="53"/>
      <c r="K83" s="45"/>
      <c r="L83" s="52"/>
      <c r="M83" s="52"/>
      <c r="N83" s="47"/>
      <c r="O83" s="47"/>
      <c r="P83" s="47"/>
      <c r="Q83" s="47"/>
      <c r="R83" s="48"/>
      <c r="S83" s="49"/>
      <c r="T83" s="50"/>
      <c r="U83" s="49"/>
      <c r="V83" s="5"/>
      <c r="W83" s="5"/>
      <c r="X83" s="5"/>
      <c r="Y83" s="5"/>
      <c r="Z83" s="5"/>
      <c r="AA83" s="5"/>
      <c r="AB83" s="5"/>
      <c r="AC83" s="5"/>
      <c r="AD83" s="5"/>
      <c r="AE83" s="5"/>
      <c r="AF83" s="5"/>
      <c r="AG83" s="5"/>
      <c r="AH83" s="5"/>
    </row>
    <row r="84" spans="1:34" ht="19.5" customHeight="1">
      <c r="A84" s="16"/>
      <c r="B84" s="488" t="s">
        <v>197</v>
      </c>
      <c r="C84" s="488">
        <v>38</v>
      </c>
      <c r="D84" s="488">
        <v>44</v>
      </c>
      <c r="E84" s="488">
        <v>37</v>
      </c>
      <c r="F84" s="488">
        <v>5.9</v>
      </c>
      <c r="G84" s="488">
        <v>9.4700000000000006E-2</v>
      </c>
      <c r="H84" s="492">
        <v>16</v>
      </c>
      <c r="I84" s="4"/>
      <c r="J84" s="53"/>
      <c r="K84" s="45"/>
      <c r="L84" s="52"/>
      <c r="M84" s="52"/>
      <c r="N84" s="52"/>
      <c r="O84" s="52"/>
      <c r="P84" s="52"/>
      <c r="Q84" s="52"/>
      <c r="R84" s="48"/>
      <c r="S84" s="49"/>
      <c r="T84" s="48"/>
      <c r="U84" s="49"/>
      <c r="V84" s="5"/>
      <c r="W84" s="5"/>
      <c r="X84" s="5"/>
      <c r="Y84" s="5"/>
      <c r="Z84" s="5"/>
      <c r="AA84" s="5"/>
      <c r="AB84" s="5"/>
      <c r="AC84" s="5"/>
      <c r="AD84" s="5"/>
      <c r="AE84" s="5"/>
      <c r="AF84" s="5"/>
      <c r="AG84" s="5"/>
      <c r="AH84" s="5"/>
    </row>
    <row r="85" spans="1:34" ht="19.5" customHeight="1">
      <c r="A85" s="16"/>
      <c r="B85" s="488" t="s">
        <v>198</v>
      </c>
      <c r="C85" s="488">
        <v>51</v>
      </c>
      <c r="D85" s="488">
        <v>55</v>
      </c>
      <c r="E85" s="488">
        <v>46</v>
      </c>
      <c r="F85" s="488">
        <v>3.94</v>
      </c>
      <c r="G85" s="488">
        <v>9.0200000000000002E-2</v>
      </c>
      <c r="H85" s="492">
        <v>18</v>
      </c>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6"/>
      <c r="B86" s="488" t="s">
        <v>199</v>
      </c>
      <c r="C86" s="488">
        <v>60</v>
      </c>
      <c r="D86" s="488">
        <v>57</v>
      </c>
      <c r="E86" s="488">
        <v>48</v>
      </c>
      <c r="F86" s="488">
        <v>3.94</v>
      </c>
      <c r="G86" s="488">
        <v>8.5199999999999998E-2</v>
      </c>
      <c r="H86" s="492">
        <v>20</v>
      </c>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6"/>
      <c r="B87" s="488" t="s">
        <v>200</v>
      </c>
      <c r="C87" s="488">
        <v>70</v>
      </c>
      <c r="D87" s="488">
        <v>73</v>
      </c>
      <c r="E87" s="488">
        <v>61</v>
      </c>
      <c r="F87" s="488">
        <v>2.44</v>
      </c>
      <c r="G87" s="488">
        <v>8.1500000000000003E-2</v>
      </c>
      <c r="H87" s="492">
        <v>20</v>
      </c>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6"/>
      <c r="B88" s="488" t="s">
        <v>201</v>
      </c>
      <c r="C88" s="488">
        <v>95</v>
      </c>
      <c r="D88" s="488">
        <v>96</v>
      </c>
      <c r="E88" s="488">
        <v>80</v>
      </c>
      <c r="F88" s="488">
        <v>1.54</v>
      </c>
      <c r="G88" s="488">
        <v>8.1600000000000006E-2</v>
      </c>
      <c r="H88" s="492">
        <v>24</v>
      </c>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6"/>
      <c r="B89" s="488" t="s">
        <v>202</v>
      </c>
      <c r="C89" s="488">
        <v>117</v>
      </c>
      <c r="D89" s="488">
        <v>115</v>
      </c>
      <c r="E89" s="488">
        <v>96</v>
      </c>
      <c r="F89" s="488">
        <v>1.1100000000000001</v>
      </c>
      <c r="G89" s="488">
        <v>7.9399999999999998E-2</v>
      </c>
      <c r="H89" s="492">
        <v>26</v>
      </c>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6"/>
      <c r="B90" s="488" t="s">
        <v>203</v>
      </c>
      <c r="C90" s="488">
        <v>141</v>
      </c>
      <c r="D90" s="488">
        <v>134</v>
      </c>
      <c r="E90" s="488">
        <v>116</v>
      </c>
      <c r="F90" s="488">
        <v>0.82</v>
      </c>
      <c r="G90" s="488">
        <v>7.9200000000000007E-2</v>
      </c>
      <c r="H90" s="492">
        <v>29</v>
      </c>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6"/>
      <c r="B91" s="488" t="s">
        <v>204</v>
      </c>
      <c r="C91" s="488">
        <v>177</v>
      </c>
      <c r="D91" s="488">
        <v>165</v>
      </c>
      <c r="E91" s="488">
        <v>141</v>
      </c>
      <c r="F91" s="488">
        <v>0.56699999999999995</v>
      </c>
      <c r="G91" s="488">
        <v>7.5200000000000003E-2</v>
      </c>
      <c r="H91" s="492">
        <v>33</v>
      </c>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6"/>
      <c r="B92" s="7"/>
      <c r="C92" s="7"/>
      <c r="D92" s="7"/>
      <c r="E92" s="7"/>
      <c r="F92" s="56"/>
      <c r="G92" s="56"/>
      <c r="H92" s="57"/>
      <c r="I92" s="4"/>
      <c r="U92" s="5"/>
      <c r="V92" s="5"/>
      <c r="W92" s="5"/>
      <c r="X92" s="5"/>
      <c r="Y92" s="5"/>
      <c r="Z92" s="5"/>
      <c r="AA92" s="5"/>
      <c r="AB92" s="5"/>
      <c r="AC92" s="5"/>
      <c r="AD92" s="5"/>
      <c r="AE92" s="5"/>
      <c r="AF92" s="5"/>
      <c r="AG92" s="5"/>
      <c r="AH92" s="5"/>
    </row>
    <row r="93" spans="1:34" ht="19.5" customHeight="1" thickBot="1">
      <c r="A93" s="21"/>
      <c r="B93" s="22"/>
      <c r="C93" s="23"/>
      <c r="D93" s="22"/>
      <c r="E93" s="22"/>
      <c r="F93" s="22"/>
      <c r="G93" s="22"/>
      <c r="H93" s="24"/>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3"/>
      <c r="B95" s="647" t="s">
        <v>205</v>
      </c>
      <c r="C95" s="648"/>
      <c r="D95" s="648"/>
      <c r="E95" s="648"/>
      <c r="F95" s="649"/>
      <c r="G95" s="25"/>
      <c r="H95" s="15"/>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6"/>
      <c r="B96" s="4"/>
      <c r="C96" s="4"/>
      <c r="D96" s="4"/>
      <c r="E96" s="4"/>
      <c r="F96" s="4"/>
      <c r="G96" s="4"/>
      <c r="H96" s="17"/>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6"/>
      <c r="B97" s="43" t="s">
        <v>206</v>
      </c>
      <c r="C97" s="42"/>
      <c r="D97" s="43"/>
      <c r="E97" s="43"/>
      <c r="F97" s="43" t="s">
        <v>207</v>
      </c>
      <c r="G97" s="44"/>
      <c r="H97" s="17"/>
      <c r="I97" s="4"/>
      <c r="P97" s="4"/>
      <c r="Q97" s="4"/>
      <c r="R97" s="4"/>
      <c r="S97" s="5"/>
      <c r="T97" s="5"/>
      <c r="U97" s="5"/>
      <c r="V97" s="5"/>
      <c r="W97" s="5"/>
      <c r="X97" s="5"/>
      <c r="Y97" s="5"/>
      <c r="Z97" s="5"/>
      <c r="AA97" s="5"/>
      <c r="AB97" s="5"/>
      <c r="AC97" s="5"/>
      <c r="AD97" s="5"/>
      <c r="AE97" s="5"/>
      <c r="AF97" s="5"/>
      <c r="AG97" s="5"/>
      <c r="AH97" s="5"/>
    </row>
    <row r="98" spans="1:34" ht="19.5" customHeight="1">
      <c r="A98" s="16"/>
      <c r="B98" s="7"/>
      <c r="C98" s="7"/>
      <c r="D98" s="7"/>
      <c r="E98" s="7"/>
      <c r="F98" s="7"/>
      <c r="G98" s="7"/>
      <c r="H98" s="17"/>
      <c r="I98" s="4"/>
      <c r="P98" s="4"/>
      <c r="Q98" s="4"/>
      <c r="R98" s="4"/>
      <c r="S98" s="5"/>
      <c r="T98" s="5"/>
      <c r="U98" s="5"/>
      <c r="V98" s="5"/>
      <c r="W98" s="5"/>
      <c r="X98" s="5"/>
      <c r="Y98" s="5"/>
      <c r="Z98" s="5"/>
      <c r="AA98" s="5"/>
      <c r="AB98" s="5"/>
      <c r="AC98" s="5"/>
      <c r="AD98" s="5"/>
      <c r="AE98" s="5"/>
      <c r="AF98" s="5"/>
      <c r="AG98" s="5"/>
      <c r="AH98" s="5"/>
    </row>
    <row r="99" spans="1:34" ht="73.5" customHeight="1">
      <c r="A99" s="16"/>
      <c r="B99" s="685" t="s">
        <v>109</v>
      </c>
      <c r="C99" s="686" t="s">
        <v>110</v>
      </c>
      <c r="D99" s="687"/>
      <c r="E99" s="688"/>
      <c r="F99" s="685" t="s">
        <v>208</v>
      </c>
      <c r="G99" s="685" t="s">
        <v>209</v>
      </c>
      <c r="H99" s="695" t="s">
        <v>210</v>
      </c>
      <c r="I99" s="691" t="s">
        <v>211</v>
      </c>
      <c r="J99" s="692" t="s">
        <v>115</v>
      </c>
      <c r="K99" s="684" t="s">
        <v>807</v>
      </c>
      <c r="L99" s="684" t="s">
        <v>212</v>
      </c>
      <c r="M99" s="684"/>
      <c r="N99" s="684" t="s">
        <v>118</v>
      </c>
      <c r="O99" s="684" t="s">
        <v>213</v>
      </c>
      <c r="P99" s="684"/>
      <c r="Q99" s="686" t="s">
        <v>214</v>
      </c>
      <c r="R99" s="687"/>
      <c r="S99" s="688"/>
      <c r="U99" s="10"/>
      <c r="V99" s="10"/>
      <c r="X99" s="10"/>
      <c r="Y99" s="10"/>
      <c r="Z99" s="5"/>
      <c r="AA99" s="5"/>
      <c r="AB99" s="5"/>
      <c r="AC99" s="5"/>
      <c r="AD99" s="5"/>
      <c r="AE99" s="5"/>
      <c r="AF99" s="5"/>
      <c r="AG99" s="5"/>
      <c r="AH99" s="5"/>
    </row>
    <row r="100" spans="1:34" ht="60" customHeight="1">
      <c r="A100" s="16"/>
      <c r="B100" s="650"/>
      <c r="C100" s="459" t="s">
        <v>215</v>
      </c>
      <c r="D100" s="459" t="s">
        <v>216</v>
      </c>
      <c r="E100" s="459" t="s">
        <v>217</v>
      </c>
      <c r="F100" s="650"/>
      <c r="G100" s="650"/>
      <c r="H100" s="653"/>
      <c r="I100" s="636"/>
      <c r="J100" s="693"/>
      <c r="K100" s="685"/>
      <c r="L100" s="460" t="s">
        <v>218</v>
      </c>
      <c r="M100" s="460" t="s">
        <v>125</v>
      </c>
      <c r="N100" s="685"/>
      <c r="O100" s="460" t="s">
        <v>126</v>
      </c>
      <c r="P100" s="460" t="s">
        <v>127</v>
      </c>
      <c r="Q100" s="460" t="s">
        <v>128</v>
      </c>
      <c r="R100" s="460" t="s">
        <v>126</v>
      </c>
      <c r="S100" s="460" t="s">
        <v>127</v>
      </c>
      <c r="U100" s="10"/>
      <c r="V100" s="10"/>
      <c r="W100" s="10"/>
      <c r="X100" s="10"/>
      <c r="Y100" s="10"/>
      <c r="Z100" s="5"/>
      <c r="AA100" s="5"/>
      <c r="AB100" s="5"/>
      <c r="AC100" s="5"/>
      <c r="AD100" s="5"/>
      <c r="AE100" s="5"/>
      <c r="AF100" s="5"/>
      <c r="AG100" s="5"/>
      <c r="AH100" s="5"/>
    </row>
    <row r="101" spans="1:34" ht="19.5" customHeight="1">
      <c r="A101" s="16"/>
      <c r="B101" s="488" t="s">
        <v>219</v>
      </c>
      <c r="C101" s="488">
        <v>230</v>
      </c>
      <c r="D101" s="488">
        <v>186</v>
      </c>
      <c r="E101" s="488">
        <v>176</v>
      </c>
      <c r="F101" s="488">
        <v>0.56799999999999995</v>
      </c>
      <c r="G101" s="488">
        <v>0.125</v>
      </c>
      <c r="H101" s="462">
        <v>26</v>
      </c>
      <c r="I101" s="632" t="s">
        <v>220</v>
      </c>
      <c r="J101" s="463" t="s">
        <v>131</v>
      </c>
      <c r="K101" s="464">
        <v>0.91</v>
      </c>
      <c r="L101" s="464">
        <v>0.9</v>
      </c>
      <c r="M101" s="464">
        <v>0.97</v>
      </c>
      <c r="N101" s="464" t="s">
        <v>132</v>
      </c>
      <c r="O101" s="464" t="s">
        <v>132</v>
      </c>
      <c r="P101" s="464" t="s">
        <v>132</v>
      </c>
      <c r="Q101" s="466"/>
      <c r="R101" s="466"/>
      <c r="S101" s="466"/>
      <c r="U101" s="10"/>
      <c r="V101" s="10"/>
      <c r="W101" s="10"/>
      <c r="X101" s="10"/>
      <c r="Y101" s="10"/>
      <c r="Z101" s="5"/>
      <c r="AA101" s="5"/>
      <c r="AB101" s="5"/>
      <c r="AC101" s="5"/>
      <c r="AD101" s="5"/>
      <c r="AE101" s="5"/>
      <c r="AF101" s="5"/>
      <c r="AG101" s="5"/>
      <c r="AH101" s="5"/>
    </row>
    <row r="102" spans="1:34" ht="19.5" customHeight="1">
      <c r="A102" s="16"/>
      <c r="B102" s="488" t="s">
        <v>221</v>
      </c>
      <c r="C102" s="488">
        <v>280</v>
      </c>
      <c r="D102" s="488">
        <v>221</v>
      </c>
      <c r="E102" s="488">
        <v>210</v>
      </c>
      <c r="F102" s="488">
        <v>0.41099999999999998</v>
      </c>
      <c r="G102" s="488">
        <v>0.12</v>
      </c>
      <c r="H102" s="462">
        <v>27</v>
      </c>
      <c r="I102" s="633"/>
      <c r="J102" s="493" t="s">
        <v>123</v>
      </c>
      <c r="K102" s="464" t="s">
        <v>132</v>
      </c>
      <c r="L102" s="464">
        <v>0.64</v>
      </c>
      <c r="M102" s="464">
        <v>0.8</v>
      </c>
      <c r="N102" s="464">
        <v>0.89</v>
      </c>
      <c r="O102" s="464">
        <v>0.95</v>
      </c>
      <c r="P102" s="464">
        <v>0.97</v>
      </c>
      <c r="Q102" s="470">
        <v>120</v>
      </c>
      <c r="R102" s="471">
        <v>1.0900000000000001</v>
      </c>
      <c r="S102" s="235">
        <v>1.05</v>
      </c>
      <c r="U102" s="10"/>
      <c r="V102" s="10"/>
      <c r="W102" s="10"/>
      <c r="X102" s="10"/>
      <c r="Y102" s="10"/>
      <c r="Z102" s="5"/>
      <c r="AA102" s="5"/>
      <c r="AB102" s="5"/>
      <c r="AC102" s="5"/>
      <c r="AD102" s="5"/>
      <c r="AE102" s="5"/>
      <c r="AF102" s="5"/>
      <c r="AG102" s="5"/>
      <c r="AH102" s="5"/>
    </row>
    <row r="103" spans="1:34" ht="19.5" customHeight="1">
      <c r="A103" s="16"/>
      <c r="B103" s="488" t="s">
        <v>222</v>
      </c>
      <c r="C103" s="488">
        <v>324</v>
      </c>
      <c r="D103" s="488">
        <v>252</v>
      </c>
      <c r="E103" s="488">
        <v>240</v>
      </c>
      <c r="F103" s="488">
        <v>0.32500000000000001</v>
      </c>
      <c r="G103" s="488">
        <v>0.115</v>
      </c>
      <c r="H103" s="462">
        <v>29</v>
      </c>
      <c r="I103" s="4"/>
      <c r="J103" s="493" t="s">
        <v>122</v>
      </c>
      <c r="K103" s="464" t="s">
        <v>132</v>
      </c>
      <c r="L103" s="464">
        <v>0.64</v>
      </c>
      <c r="M103" s="464">
        <v>0.8</v>
      </c>
      <c r="N103" s="464">
        <v>0.89</v>
      </c>
      <c r="O103" s="464">
        <v>0.95</v>
      </c>
      <c r="P103" s="464">
        <v>0.96</v>
      </c>
      <c r="Q103" s="470">
        <v>150</v>
      </c>
      <c r="R103" s="471">
        <v>1.0900000000000001</v>
      </c>
      <c r="S103" s="235">
        <v>1.05</v>
      </c>
      <c r="U103" s="10"/>
      <c r="V103" s="10"/>
      <c r="W103" s="10"/>
      <c r="X103" s="10"/>
      <c r="Y103" s="10"/>
      <c r="Z103" s="5"/>
      <c r="AA103" s="5"/>
      <c r="AB103" s="5"/>
      <c r="AC103" s="5"/>
      <c r="AD103" s="5"/>
      <c r="AE103" s="5"/>
      <c r="AF103" s="5"/>
      <c r="AG103" s="5"/>
      <c r="AH103" s="5"/>
    </row>
    <row r="104" spans="1:34" ht="38.25" customHeight="1">
      <c r="A104" s="16"/>
      <c r="B104" s="488" t="s">
        <v>223</v>
      </c>
      <c r="C104" s="488">
        <v>368</v>
      </c>
      <c r="D104" s="488">
        <v>281</v>
      </c>
      <c r="E104" s="488">
        <v>267</v>
      </c>
      <c r="F104" s="488">
        <v>0.26500000000000001</v>
      </c>
      <c r="G104" s="488">
        <v>0.114</v>
      </c>
      <c r="H104" s="462">
        <v>30</v>
      </c>
      <c r="I104" s="4"/>
      <c r="J104" s="473" t="s">
        <v>136</v>
      </c>
      <c r="K104" s="464">
        <v>0.91</v>
      </c>
      <c r="L104" s="464">
        <v>0.9</v>
      </c>
      <c r="M104" s="464">
        <v>0.97</v>
      </c>
      <c r="N104" s="464" t="s">
        <v>132</v>
      </c>
      <c r="O104" s="464" t="s">
        <v>132</v>
      </c>
      <c r="P104" s="464" t="s">
        <v>132</v>
      </c>
      <c r="Q104" s="470">
        <v>185</v>
      </c>
      <c r="R104" s="471">
        <v>1.0900000000000001</v>
      </c>
      <c r="S104" s="235">
        <v>1.05</v>
      </c>
      <c r="U104" s="10"/>
      <c r="V104" s="10"/>
      <c r="W104" s="10"/>
      <c r="X104" s="10"/>
      <c r="Y104" s="10"/>
      <c r="Z104" s="5"/>
      <c r="AA104" s="5"/>
      <c r="AB104" s="5"/>
      <c r="AC104" s="5"/>
      <c r="AD104" s="5"/>
      <c r="AE104" s="5"/>
      <c r="AF104" s="5"/>
      <c r="AG104" s="5"/>
      <c r="AH104" s="5"/>
    </row>
    <row r="105" spans="1:34" ht="44.25" customHeight="1">
      <c r="A105" s="16"/>
      <c r="B105" s="488" t="s">
        <v>129</v>
      </c>
      <c r="C105" s="488">
        <v>424</v>
      </c>
      <c r="D105" s="488">
        <v>317</v>
      </c>
      <c r="E105" s="488">
        <v>303</v>
      </c>
      <c r="F105" s="488">
        <v>0.21099999999999999</v>
      </c>
      <c r="G105" s="488">
        <v>0.109</v>
      </c>
      <c r="H105" s="462">
        <v>33</v>
      </c>
      <c r="I105" s="4"/>
      <c r="Q105" s="470">
        <v>240</v>
      </c>
      <c r="R105" s="471">
        <v>1.0900000000000001</v>
      </c>
      <c r="S105" s="235">
        <v>1.05</v>
      </c>
      <c r="U105" s="10"/>
      <c r="V105" s="10"/>
      <c r="W105" s="10"/>
      <c r="X105" s="10"/>
      <c r="Y105" s="10"/>
      <c r="Z105" s="5"/>
      <c r="AA105" s="5"/>
      <c r="AB105" s="5"/>
      <c r="AC105" s="5"/>
      <c r="AD105" s="5"/>
      <c r="AE105" s="5"/>
      <c r="AF105" s="5"/>
      <c r="AG105" s="5"/>
      <c r="AH105" s="5"/>
    </row>
    <row r="106" spans="1:34" ht="19.5" customHeight="1">
      <c r="A106" s="16"/>
      <c r="B106" s="488" t="s">
        <v>133</v>
      </c>
      <c r="C106" s="488">
        <v>502</v>
      </c>
      <c r="D106" s="488">
        <v>367</v>
      </c>
      <c r="E106" s="488">
        <v>350</v>
      </c>
      <c r="F106" s="488">
        <v>0.161</v>
      </c>
      <c r="G106" s="488">
        <v>0.105</v>
      </c>
      <c r="H106" s="462">
        <v>35</v>
      </c>
      <c r="Q106" s="470">
        <v>300</v>
      </c>
      <c r="R106" s="471">
        <v>1.0900000000000001</v>
      </c>
      <c r="S106" s="235">
        <v>1.05</v>
      </c>
      <c r="U106" s="10"/>
      <c r="V106" s="10"/>
      <c r="W106" s="10"/>
      <c r="X106" s="10"/>
      <c r="Y106" s="10"/>
      <c r="Z106" s="5"/>
      <c r="AA106" s="5"/>
      <c r="AB106" s="5"/>
      <c r="AC106" s="5"/>
      <c r="AD106" s="5"/>
      <c r="AE106" s="5"/>
      <c r="AF106" s="5"/>
      <c r="AG106" s="5"/>
      <c r="AH106" s="5"/>
    </row>
    <row r="107" spans="1:34" ht="19.5" customHeight="1">
      <c r="A107" s="16"/>
      <c r="B107" s="488" t="s">
        <v>134</v>
      </c>
      <c r="C107" s="488">
        <v>577</v>
      </c>
      <c r="D107" s="488">
        <v>414</v>
      </c>
      <c r="E107" s="488">
        <v>397</v>
      </c>
      <c r="F107" s="488">
        <v>0.13</v>
      </c>
      <c r="G107" s="488">
        <v>0.10199999999999999</v>
      </c>
      <c r="H107" s="462">
        <v>38</v>
      </c>
      <c r="Q107" s="470">
        <v>400</v>
      </c>
      <c r="R107" s="471">
        <v>1.0900000000000001</v>
      </c>
      <c r="S107" s="235">
        <v>1.05</v>
      </c>
      <c r="U107" s="10"/>
      <c r="V107" s="10"/>
      <c r="W107" s="10"/>
      <c r="X107" s="10"/>
      <c r="Y107" s="10"/>
      <c r="Z107" s="5"/>
      <c r="AA107" s="5"/>
      <c r="AB107" s="5"/>
      <c r="AC107" s="5"/>
      <c r="AD107" s="5"/>
      <c r="AE107" s="5"/>
      <c r="AF107" s="5"/>
      <c r="AG107" s="5"/>
      <c r="AH107" s="5"/>
    </row>
    <row r="108" spans="1:34" ht="19.5" customHeight="1">
      <c r="A108" s="16"/>
      <c r="B108" s="488" t="s">
        <v>135</v>
      </c>
      <c r="C108" s="488">
        <v>673</v>
      </c>
      <c r="D108" s="488">
        <v>470</v>
      </c>
      <c r="E108" s="488">
        <v>451</v>
      </c>
      <c r="F108" s="488">
        <v>0.10199999999999999</v>
      </c>
      <c r="G108" s="488">
        <v>9.8000000000000004E-2</v>
      </c>
      <c r="H108" s="462">
        <v>41</v>
      </c>
      <c r="Q108" s="470">
        <v>500</v>
      </c>
      <c r="R108" s="471">
        <v>1.0900000000000001</v>
      </c>
      <c r="S108" s="235">
        <v>1.05</v>
      </c>
      <c r="U108" s="10"/>
      <c r="V108" s="10"/>
      <c r="W108" s="10"/>
      <c r="X108" s="10"/>
      <c r="Y108" s="10"/>
      <c r="Z108" s="5"/>
      <c r="AA108" s="5"/>
      <c r="AB108" s="5"/>
      <c r="AC108" s="5"/>
      <c r="AD108" s="5"/>
      <c r="AE108" s="5"/>
      <c r="AF108" s="5"/>
      <c r="AG108" s="5"/>
      <c r="AH108" s="5"/>
    </row>
    <row r="109" spans="1:34" ht="19.5" customHeight="1">
      <c r="A109" s="16"/>
      <c r="B109" s="488" t="s">
        <v>137</v>
      </c>
      <c r="C109" s="488">
        <v>757</v>
      </c>
      <c r="D109" s="488">
        <v>519</v>
      </c>
      <c r="E109" s="488">
        <v>493</v>
      </c>
      <c r="F109" s="488">
        <v>0.08</v>
      </c>
      <c r="G109" s="488">
        <v>9.6000000000000002E-2</v>
      </c>
      <c r="H109" s="462">
        <v>46</v>
      </c>
      <c r="Q109" s="470">
        <v>630</v>
      </c>
      <c r="R109" s="471">
        <v>1.0900000000000001</v>
      </c>
      <c r="S109" s="235">
        <v>1.05</v>
      </c>
      <c r="U109" s="10"/>
      <c r="V109" s="10"/>
      <c r="W109" s="10"/>
      <c r="X109" s="10"/>
      <c r="Y109" s="10"/>
      <c r="Z109" s="5"/>
      <c r="AA109" s="5"/>
      <c r="AB109" s="5"/>
      <c r="AC109" s="5"/>
      <c r="AD109" s="5"/>
      <c r="AE109" s="5"/>
      <c r="AF109" s="5"/>
      <c r="AG109" s="5"/>
      <c r="AH109" s="5"/>
    </row>
    <row r="110" spans="1:34" ht="19.5" customHeight="1">
      <c r="A110" s="16"/>
      <c r="B110" s="488" t="s">
        <v>138</v>
      </c>
      <c r="C110" s="488">
        <v>876</v>
      </c>
      <c r="D110" s="488">
        <v>586</v>
      </c>
      <c r="E110" s="488">
        <v>557</v>
      </c>
      <c r="F110" s="488">
        <v>6.3E-2</v>
      </c>
      <c r="G110" s="488">
        <v>9.4E-2</v>
      </c>
      <c r="H110" s="462">
        <v>50</v>
      </c>
      <c r="Q110" s="482"/>
      <c r="R110" s="482"/>
      <c r="S110" s="483"/>
      <c r="U110" s="10"/>
      <c r="V110" s="10"/>
      <c r="W110" s="10"/>
      <c r="X110" s="10"/>
      <c r="Y110" s="10"/>
      <c r="Z110" s="5"/>
      <c r="AA110" s="5"/>
      <c r="AB110" s="5"/>
      <c r="AC110" s="5"/>
      <c r="AD110" s="5"/>
      <c r="AE110" s="5"/>
      <c r="AF110" s="5"/>
      <c r="AG110" s="5"/>
      <c r="AH110" s="5"/>
    </row>
    <row r="111" spans="1:34" ht="19.5" customHeight="1">
      <c r="A111" s="16"/>
      <c r="B111" s="488" t="s">
        <v>224</v>
      </c>
      <c r="C111" s="488">
        <v>1005</v>
      </c>
      <c r="D111" s="488">
        <v>655</v>
      </c>
      <c r="E111" s="488">
        <v>622</v>
      </c>
      <c r="F111" s="488">
        <v>5.0999999999999997E-2</v>
      </c>
      <c r="G111" s="488">
        <v>0.09</v>
      </c>
      <c r="H111" s="462">
        <v>54</v>
      </c>
      <c r="Q111" s="482"/>
      <c r="R111" s="482"/>
      <c r="S111" s="483"/>
      <c r="U111" s="10"/>
      <c r="V111" s="10"/>
      <c r="W111" s="10"/>
      <c r="X111" s="10"/>
      <c r="Y111" s="10"/>
      <c r="Z111" s="5"/>
      <c r="AA111" s="5"/>
      <c r="AB111" s="5"/>
      <c r="AC111" s="5"/>
      <c r="AD111" s="5"/>
      <c r="AE111" s="5"/>
      <c r="AF111" s="5"/>
      <c r="AG111" s="5"/>
      <c r="AH111" s="5"/>
    </row>
    <row r="112" spans="1:34" ht="19.5" customHeight="1">
      <c r="A112" s="16"/>
      <c r="B112" s="488" t="s">
        <v>225</v>
      </c>
      <c r="C112" s="488">
        <v>1138</v>
      </c>
      <c r="D112" s="488">
        <v>723</v>
      </c>
      <c r="E112" s="488">
        <v>687</v>
      </c>
      <c r="F112" s="488">
        <v>4.2999999999999997E-2</v>
      </c>
      <c r="G112" s="488">
        <v>8.7999999999999995E-2</v>
      </c>
      <c r="H112" s="462">
        <v>58</v>
      </c>
      <c r="Q112" s="482"/>
      <c r="R112" s="482"/>
      <c r="S112" s="483"/>
      <c r="U112" s="10"/>
      <c r="V112" s="10"/>
      <c r="W112" s="10"/>
      <c r="X112" s="10"/>
      <c r="Y112" s="10"/>
      <c r="Z112" s="5"/>
      <c r="AA112" s="5"/>
      <c r="AB112" s="5"/>
      <c r="AC112" s="5"/>
      <c r="AD112" s="5"/>
      <c r="AE112" s="5"/>
      <c r="AF112" s="5"/>
      <c r="AG112" s="5"/>
      <c r="AH112" s="5"/>
    </row>
    <row r="113" spans="1:34" ht="19.5" customHeight="1">
      <c r="A113" s="16"/>
      <c r="B113" s="488"/>
      <c r="C113" s="488"/>
      <c r="D113" s="488"/>
      <c r="E113" s="488"/>
      <c r="F113" s="488"/>
      <c r="G113" s="488"/>
      <c r="H113" s="494"/>
      <c r="Q113" s="482"/>
      <c r="R113" s="482"/>
      <c r="S113" s="483"/>
      <c r="U113" s="10"/>
      <c r="V113" s="10"/>
      <c r="W113" s="10"/>
      <c r="X113" s="10"/>
      <c r="Y113" s="10"/>
      <c r="Z113" s="5"/>
      <c r="AA113" s="5"/>
      <c r="AB113" s="5"/>
      <c r="AC113" s="5"/>
      <c r="AD113" s="5"/>
      <c r="AE113" s="5"/>
      <c r="AF113" s="5"/>
      <c r="AG113" s="5"/>
      <c r="AH113" s="5"/>
    </row>
    <row r="114" spans="1:34" ht="19.5" customHeight="1">
      <c r="A114" s="16"/>
      <c r="H114" s="17"/>
      <c r="I114" s="7"/>
      <c r="J114" s="3"/>
      <c r="O114" s="3"/>
      <c r="T114" s="5"/>
      <c r="U114" s="5"/>
      <c r="V114" s="5"/>
      <c r="W114" s="5"/>
      <c r="X114" s="5"/>
      <c r="Y114" s="5"/>
      <c r="Z114" s="5"/>
      <c r="AA114" s="5"/>
      <c r="AB114" s="5"/>
      <c r="AC114" s="5"/>
      <c r="AD114" s="5"/>
      <c r="AE114" s="5"/>
      <c r="AF114" s="5"/>
      <c r="AG114" s="5"/>
      <c r="AH114" s="5"/>
    </row>
    <row r="115" spans="1:34" ht="19.5" customHeight="1">
      <c r="A115" s="26"/>
      <c r="H115" s="20"/>
      <c r="I115" s="7"/>
      <c r="J115" s="3"/>
      <c r="O115" s="3"/>
    </row>
    <row r="116" spans="1:34" ht="27.75" customHeight="1">
      <c r="A116" s="26"/>
      <c r="B116" s="43" t="s">
        <v>226</v>
      </c>
      <c r="C116" s="42"/>
      <c r="D116" s="43"/>
      <c r="E116" s="43"/>
      <c r="F116" s="43" t="s">
        <v>207</v>
      </c>
      <c r="G116" s="44"/>
      <c r="H116" s="20"/>
    </row>
    <row r="117" spans="1:34" ht="42" customHeight="1">
      <c r="A117" s="26"/>
      <c r="B117" s="685" t="s">
        <v>109</v>
      </c>
      <c r="C117" s="686" t="s">
        <v>110</v>
      </c>
      <c r="D117" s="687"/>
      <c r="E117" s="688"/>
      <c r="F117" s="685" t="s">
        <v>208</v>
      </c>
      <c r="G117" s="685" t="s">
        <v>209</v>
      </c>
      <c r="H117" s="695" t="s">
        <v>210</v>
      </c>
    </row>
    <row r="118" spans="1:34" ht="32.25" customHeight="1">
      <c r="A118" s="26"/>
      <c r="B118" s="650"/>
      <c r="C118" s="459" t="s">
        <v>121</v>
      </c>
      <c r="D118" s="459" t="s">
        <v>122</v>
      </c>
      <c r="E118" s="459" t="s">
        <v>123</v>
      </c>
      <c r="F118" s="650"/>
      <c r="G118" s="650"/>
      <c r="H118" s="653"/>
    </row>
    <row r="119" spans="1:34" ht="19.5" customHeight="1">
      <c r="A119" s="26"/>
      <c r="B119" s="488" t="s">
        <v>167</v>
      </c>
      <c r="C119" s="488">
        <v>196</v>
      </c>
      <c r="D119" s="488">
        <v>171</v>
      </c>
      <c r="E119" s="488">
        <v>150</v>
      </c>
      <c r="F119" s="488">
        <v>0.56799999999999995</v>
      </c>
      <c r="G119" s="488">
        <v>9.7000000000000003E-2</v>
      </c>
      <c r="H119" s="495">
        <v>49</v>
      </c>
    </row>
    <row r="120" spans="1:34" ht="32.25" customHeight="1">
      <c r="A120" s="26"/>
      <c r="B120" s="488" t="s">
        <v>168</v>
      </c>
      <c r="C120" s="488">
        <v>238</v>
      </c>
      <c r="D120" s="488">
        <v>24</v>
      </c>
      <c r="E120" s="488">
        <v>180</v>
      </c>
      <c r="F120" s="488">
        <v>0.41099999999999998</v>
      </c>
      <c r="G120" s="488">
        <v>9.2999999999999999E-2</v>
      </c>
      <c r="H120" s="495">
        <v>52</v>
      </c>
    </row>
    <row r="121" spans="1:34" ht="19.5" customHeight="1">
      <c r="A121" s="26"/>
      <c r="B121" s="488" t="s">
        <v>169</v>
      </c>
      <c r="C121" s="488">
        <v>274</v>
      </c>
      <c r="D121" s="488">
        <v>232</v>
      </c>
      <c r="E121" s="488">
        <v>206</v>
      </c>
      <c r="F121" s="488">
        <v>0.32500000000000001</v>
      </c>
      <c r="G121" s="488">
        <v>0.09</v>
      </c>
      <c r="H121" s="495">
        <v>56</v>
      </c>
    </row>
    <row r="122" spans="1:34" ht="19.5" customHeight="1">
      <c r="A122" s="26"/>
      <c r="B122" s="488" t="s">
        <v>170</v>
      </c>
      <c r="C122" s="488">
        <v>309</v>
      </c>
      <c r="D122" s="488">
        <v>259</v>
      </c>
      <c r="E122" s="488">
        <v>231</v>
      </c>
      <c r="F122" s="488">
        <v>0.26500000000000001</v>
      </c>
      <c r="G122" s="488">
        <v>8.7999999999999995E-2</v>
      </c>
      <c r="H122" s="495">
        <v>58</v>
      </c>
    </row>
    <row r="123" spans="1:34" ht="19.5" customHeight="1">
      <c r="A123" s="26"/>
      <c r="B123" s="488" t="s">
        <v>171</v>
      </c>
      <c r="C123" s="488">
        <v>354</v>
      </c>
      <c r="D123" s="488">
        <v>293</v>
      </c>
      <c r="E123" s="488">
        <v>262</v>
      </c>
      <c r="F123" s="488">
        <v>0.21099999999999999</v>
      </c>
      <c r="G123" s="488">
        <v>8.5000000000000006E-2</v>
      </c>
      <c r="H123" s="495">
        <v>63</v>
      </c>
    </row>
    <row r="124" spans="1:34" ht="19.5" customHeight="1">
      <c r="A124" s="26"/>
      <c r="B124" s="488" t="s">
        <v>172</v>
      </c>
      <c r="C124" s="488">
        <v>415</v>
      </c>
      <c r="D124" s="488">
        <v>338</v>
      </c>
      <c r="E124" s="488">
        <v>304</v>
      </c>
      <c r="F124" s="488">
        <v>0.16200000000000001</v>
      </c>
      <c r="G124" s="488">
        <v>8.3000000000000004E-2</v>
      </c>
      <c r="H124" s="495">
        <v>69</v>
      </c>
    </row>
    <row r="125" spans="1:34" ht="19.5" customHeight="1">
      <c r="A125" s="26"/>
      <c r="B125" s="488" t="s">
        <v>173</v>
      </c>
      <c r="C125" s="488">
        <v>472</v>
      </c>
      <c r="D125" s="488">
        <v>380</v>
      </c>
      <c r="E125" s="488">
        <v>343</v>
      </c>
      <c r="F125" s="488">
        <v>0.13</v>
      </c>
      <c r="G125" s="488">
        <v>8.2000000000000003E-2</v>
      </c>
      <c r="H125" s="495">
        <v>75</v>
      </c>
    </row>
    <row r="126" spans="1:34" ht="19.5" customHeight="1">
      <c r="A126" s="26"/>
      <c r="B126" s="488" t="s">
        <v>174</v>
      </c>
      <c r="C126" s="488">
        <v>545</v>
      </c>
      <c r="D126" s="488">
        <v>432</v>
      </c>
      <c r="E126" s="488">
        <v>393</v>
      </c>
      <c r="F126" s="488">
        <v>0.10199999999999999</v>
      </c>
      <c r="G126" s="488">
        <v>0.08</v>
      </c>
      <c r="H126" s="495">
        <v>84</v>
      </c>
    </row>
    <row r="127" spans="1:34" ht="19.5" customHeight="1">
      <c r="A127" s="26"/>
      <c r="H127" s="20"/>
    </row>
    <row r="128" spans="1:34" ht="19.5" customHeight="1">
      <c r="A128" s="26"/>
      <c r="H128" s="20"/>
      <c r="I128" s="8"/>
      <c r="K128" s="2"/>
      <c r="L128" s="2"/>
      <c r="M128" s="2"/>
      <c r="N128" s="2"/>
    </row>
    <row r="129" spans="1:34" ht="19.5" customHeight="1">
      <c r="A129" s="26"/>
      <c r="H129" s="20"/>
      <c r="I129" s="8"/>
      <c r="K129" s="2"/>
      <c r="L129" s="2"/>
      <c r="M129" s="2"/>
      <c r="N129" s="2"/>
    </row>
    <row r="130" spans="1:34" ht="19.5" customHeight="1" thickBot="1">
      <c r="A130" s="27"/>
      <c r="B130" s="28"/>
      <c r="C130" s="28"/>
      <c r="D130" s="28"/>
      <c r="E130" s="28"/>
      <c r="F130" s="28"/>
      <c r="G130" s="28"/>
      <c r="H130" s="29"/>
      <c r="I130" s="8"/>
    </row>
    <row r="131" spans="1:34" ht="19.5" customHeight="1">
      <c r="I131" s="8"/>
    </row>
    <row r="132" spans="1:34" ht="19.5" customHeight="1">
      <c r="I132" s="8"/>
    </row>
    <row r="133" spans="1:34" ht="19.5" customHeight="1">
      <c r="I133" s="8"/>
    </row>
    <row r="134" spans="1:34" ht="19.5" customHeight="1" thickBot="1">
      <c r="I134" s="8"/>
    </row>
    <row r="135" spans="1:34" ht="19.5" customHeight="1">
      <c r="A135" s="13"/>
      <c r="B135" s="647" t="s">
        <v>205</v>
      </c>
      <c r="C135" s="648"/>
      <c r="D135" s="648"/>
      <c r="E135" s="648"/>
      <c r="F135" s="649"/>
      <c r="G135" s="25"/>
      <c r="H135" s="15"/>
      <c r="I135" s="4"/>
      <c r="J135" s="9"/>
      <c r="K135" s="9"/>
      <c r="L135" s="9"/>
      <c r="M135" s="9"/>
      <c r="N135" s="9"/>
      <c r="O135" s="10"/>
      <c r="P135" s="4"/>
      <c r="Q135" s="4"/>
      <c r="R135" s="4"/>
      <c r="S135" s="5"/>
      <c r="T135" s="5"/>
      <c r="U135" s="5"/>
      <c r="V135" s="5"/>
      <c r="W135" s="5"/>
      <c r="X135" s="5"/>
      <c r="Y135" s="5"/>
      <c r="Z135" s="5"/>
      <c r="AA135" s="5"/>
      <c r="AB135" s="5"/>
      <c r="AC135" s="5"/>
      <c r="AD135" s="5"/>
      <c r="AE135" s="5"/>
      <c r="AF135" s="5"/>
      <c r="AG135" s="5"/>
      <c r="AH135" s="5"/>
    </row>
    <row r="136" spans="1:34" ht="19.5" customHeight="1">
      <c r="A136" s="16"/>
      <c r="B136" s="4"/>
      <c r="C136" s="4"/>
      <c r="D136" s="4"/>
      <c r="E136" s="4"/>
      <c r="F136" s="4"/>
      <c r="G136" s="4"/>
      <c r="H136" s="17"/>
      <c r="I136" s="4"/>
      <c r="J136" s="4"/>
      <c r="K136" s="4"/>
      <c r="L136" s="4"/>
      <c r="M136" s="4"/>
      <c r="N136" s="4"/>
      <c r="O136" s="4"/>
      <c r="P136" s="4"/>
      <c r="Q136" s="4"/>
      <c r="R136" s="4"/>
      <c r="S136" s="5"/>
      <c r="T136" s="5"/>
      <c r="U136" s="5"/>
      <c r="V136" s="5"/>
      <c r="W136" s="5"/>
      <c r="X136" s="5"/>
      <c r="Y136" s="5"/>
      <c r="Z136" s="5"/>
      <c r="AA136" s="5"/>
      <c r="AB136" s="5"/>
      <c r="AC136" s="5"/>
      <c r="AD136" s="5"/>
      <c r="AE136" s="5"/>
      <c r="AF136" s="5"/>
      <c r="AG136" s="5"/>
      <c r="AH136" s="5"/>
    </row>
    <row r="137" spans="1:34" ht="19.5" customHeight="1">
      <c r="A137" s="16"/>
      <c r="B137" s="43" t="s">
        <v>206</v>
      </c>
      <c r="C137" s="42"/>
      <c r="D137" s="43"/>
      <c r="E137" s="43"/>
      <c r="F137" s="43" t="s">
        <v>227</v>
      </c>
      <c r="G137" s="44"/>
      <c r="H137" s="17"/>
      <c r="I137" s="4"/>
      <c r="P137" s="4"/>
      <c r="Q137" s="4"/>
      <c r="R137" s="4"/>
      <c r="S137" s="5"/>
      <c r="T137" s="5"/>
      <c r="U137" s="5"/>
      <c r="V137" s="5"/>
      <c r="W137" s="5"/>
      <c r="X137" s="5"/>
      <c r="Y137" s="5"/>
      <c r="Z137" s="5"/>
      <c r="AA137" s="5"/>
      <c r="AB137" s="5"/>
      <c r="AC137" s="5"/>
      <c r="AD137" s="5"/>
      <c r="AE137" s="5"/>
      <c r="AF137" s="5"/>
      <c r="AG137" s="5"/>
      <c r="AH137" s="5"/>
    </row>
    <row r="138" spans="1:34" ht="19.5" customHeight="1">
      <c r="A138" s="16"/>
      <c r="B138" s="7"/>
      <c r="C138" s="7"/>
      <c r="D138" s="7"/>
      <c r="E138" s="7"/>
      <c r="F138" s="7"/>
      <c r="G138" s="7"/>
      <c r="H138" s="17"/>
      <c r="I138" s="4"/>
      <c r="P138" s="4"/>
      <c r="Q138" s="4"/>
      <c r="R138" s="4"/>
      <c r="S138" s="5"/>
      <c r="T138" s="5"/>
      <c r="U138" s="5"/>
      <c r="V138" s="5"/>
      <c r="W138" s="5"/>
      <c r="X138" s="5"/>
      <c r="Y138" s="5"/>
      <c r="Z138" s="5"/>
      <c r="AA138" s="5"/>
      <c r="AB138" s="5"/>
      <c r="AC138" s="5"/>
      <c r="AD138" s="5"/>
      <c r="AE138" s="5"/>
      <c r="AF138" s="5"/>
      <c r="AG138" s="5"/>
      <c r="AH138" s="5"/>
    </row>
    <row r="139" spans="1:34" ht="73.5" customHeight="1">
      <c r="A139" s="16"/>
      <c r="B139" s="685" t="s">
        <v>109</v>
      </c>
      <c r="C139" s="686" t="s">
        <v>110</v>
      </c>
      <c r="D139" s="687"/>
      <c r="E139" s="688"/>
      <c r="F139" s="685" t="s">
        <v>208</v>
      </c>
      <c r="G139" s="685" t="s">
        <v>209</v>
      </c>
      <c r="H139" s="695" t="s">
        <v>210</v>
      </c>
      <c r="I139" s="691" t="s">
        <v>211</v>
      </c>
      <c r="J139" s="692" t="s">
        <v>115</v>
      </c>
      <c r="K139" s="684" t="s">
        <v>807</v>
      </c>
      <c r="L139" s="684" t="s">
        <v>212</v>
      </c>
      <c r="M139" s="684"/>
      <c r="N139" s="684" t="s">
        <v>118</v>
      </c>
      <c r="O139" s="684" t="s">
        <v>213</v>
      </c>
      <c r="P139" s="684"/>
      <c r="Q139" s="686" t="s">
        <v>214</v>
      </c>
      <c r="R139" s="687"/>
      <c r="S139" s="688"/>
      <c r="U139" s="10"/>
      <c r="V139" s="10"/>
      <c r="X139" s="10"/>
      <c r="Y139" s="10"/>
      <c r="Z139" s="5"/>
      <c r="AA139" s="5"/>
      <c r="AB139" s="5"/>
      <c r="AC139" s="5"/>
      <c r="AD139" s="5"/>
      <c r="AE139" s="5"/>
      <c r="AF139" s="5"/>
      <c r="AG139" s="5"/>
      <c r="AH139" s="5"/>
    </row>
    <row r="140" spans="1:34" ht="60" customHeight="1">
      <c r="A140" s="16"/>
      <c r="B140" s="650"/>
      <c r="C140" s="459" t="s">
        <v>215</v>
      </c>
      <c r="D140" s="459" t="s">
        <v>216</v>
      </c>
      <c r="E140" s="459" t="s">
        <v>217</v>
      </c>
      <c r="F140" s="650"/>
      <c r="G140" s="650"/>
      <c r="H140" s="653"/>
      <c r="I140" s="636"/>
      <c r="J140" s="693"/>
      <c r="K140" s="685"/>
      <c r="L140" s="460" t="s">
        <v>218</v>
      </c>
      <c r="M140" s="460" t="s">
        <v>125</v>
      </c>
      <c r="N140" s="685"/>
      <c r="O140" s="460" t="s">
        <v>126</v>
      </c>
      <c r="P140" s="460" t="s">
        <v>127</v>
      </c>
      <c r="Q140" s="460" t="s">
        <v>128</v>
      </c>
      <c r="R140" s="460" t="s">
        <v>126</v>
      </c>
      <c r="S140" s="460" t="s">
        <v>127</v>
      </c>
      <c r="U140" s="10"/>
      <c r="V140" s="10"/>
      <c r="W140" s="10"/>
      <c r="X140" s="10"/>
      <c r="Y140" s="10"/>
      <c r="Z140" s="5"/>
      <c r="AA140" s="5"/>
      <c r="AB140" s="5"/>
      <c r="AC140" s="5"/>
      <c r="AD140" s="5"/>
      <c r="AE140" s="5"/>
      <c r="AF140" s="5"/>
      <c r="AG140" s="5"/>
      <c r="AH140" s="5"/>
    </row>
    <row r="141" spans="1:34" ht="19.5" customHeight="1">
      <c r="A141" s="16"/>
      <c r="B141" s="488" t="s">
        <v>219</v>
      </c>
      <c r="C141" s="488">
        <v>230</v>
      </c>
      <c r="D141" s="488">
        <v>186</v>
      </c>
      <c r="E141" s="488">
        <v>176</v>
      </c>
      <c r="F141" s="488">
        <v>0.56799999999999995</v>
      </c>
      <c r="G141" s="488">
        <v>0.125</v>
      </c>
      <c r="H141" s="462">
        <v>27</v>
      </c>
      <c r="I141" s="632" t="s">
        <v>220</v>
      </c>
      <c r="J141" s="463" t="s">
        <v>131</v>
      </c>
      <c r="K141" s="464">
        <v>0.91</v>
      </c>
      <c r="L141" s="464">
        <v>0.9</v>
      </c>
      <c r="M141" s="464">
        <v>0.97</v>
      </c>
      <c r="N141" s="464" t="s">
        <v>132</v>
      </c>
      <c r="O141" s="464" t="s">
        <v>132</v>
      </c>
      <c r="P141" s="464" t="s">
        <v>132</v>
      </c>
      <c r="Q141" s="466"/>
      <c r="R141" s="466"/>
      <c r="S141" s="466"/>
      <c r="U141" s="10"/>
      <c r="V141" s="10"/>
      <c r="W141" s="10"/>
      <c r="X141" s="10"/>
      <c r="Y141" s="10"/>
      <c r="Z141" s="5"/>
      <c r="AA141" s="5"/>
      <c r="AB141" s="5"/>
      <c r="AC141" s="5"/>
      <c r="AD141" s="5"/>
      <c r="AE141" s="5"/>
      <c r="AF141" s="5"/>
      <c r="AG141" s="5"/>
      <c r="AH141" s="5"/>
    </row>
    <row r="142" spans="1:34" ht="19.5" customHeight="1">
      <c r="A142" s="16"/>
      <c r="B142" s="488" t="s">
        <v>221</v>
      </c>
      <c r="C142" s="488">
        <v>280</v>
      </c>
      <c r="D142" s="488">
        <v>221</v>
      </c>
      <c r="E142" s="488">
        <v>210</v>
      </c>
      <c r="F142" s="488">
        <v>0.41099999999999998</v>
      </c>
      <c r="G142" s="488">
        <v>0.12</v>
      </c>
      <c r="H142" s="462">
        <v>29</v>
      </c>
      <c r="I142" s="633"/>
      <c r="J142" s="493" t="s">
        <v>123</v>
      </c>
      <c r="K142" s="464" t="s">
        <v>132</v>
      </c>
      <c r="L142" s="464">
        <v>0.64</v>
      </c>
      <c r="M142" s="464">
        <v>0.8</v>
      </c>
      <c r="N142" s="464">
        <v>0.89</v>
      </c>
      <c r="O142" s="464">
        <v>0.95</v>
      </c>
      <c r="P142" s="464">
        <v>0.97</v>
      </c>
      <c r="Q142" s="470">
        <v>120</v>
      </c>
      <c r="R142" s="471">
        <v>1.0900000000000001</v>
      </c>
      <c r="S142" s="235">
        <v>1.05</v>
      </c>
      <c r="U142" s="10"/>
      <c r="V142" s="10"/>
      <c r="W142" s="10"/>
      <c r="X142" s="10"/>
      <c r="Y142" s="10"/>
      <c r="Z142" s="5"/>
      <c r="AA142" s="5"/>
      <c r="AB142" s="5"/>
      <c r="AC142" s="5"/>
      <c r="AD142" s="5"/>
      <c r="AE142" s="5"/>
      <c r="AF142" s="5"/>
      <c r="AG142" s="5"/>
      <c r="AH142" s="5"/>
    </row>
    <row r="143" spans="1:34" ht="19.5" customHeight="1">
      <c r="A143" s="16"/>
      <c r="B143" s="488" t="s">
        <v>222</v>
      </c>
      <c r="C143" s="488">
        <v>324</v>
      </c>
      <c r="D143" s="488">
        <v>252</v>
      </c>
      <c r="E143" s="488">
        <v>240</v>
      </c>
      <c r="F143" s="488">
        <v>0.32500000000000001</v>
      </c>
      <c r="G143" s="488">
        <v>0.115</v>
      </c>
      <c r="H143" s="462">
        <v>30</v>
      </c>
      <c r="I143" s="4"/>
      <c r="J143" s="493" t="s">
        <v>122</v>
      </c>
      <c r="K143" s="464" t="s">
        <v>132</v>
      </c>
      <c r="L143" s="464">
        <v>0.64</v>
      </c>
      <c r="M143" s="464">
        <v>0.8</v>
      </c>
      <c r="N143" s="464">
        <v>0.89</v>
      </c>
      <c r="O143" s="464">
        <v>0.95</v>
      </c>
      <c r="P143" s="464">
        <v>0.96</v>
      </c>
      <c r="Q143" s="470">
        <v>150</v>
      </c>
      <c r="R143" s="471">
        <v>1.0900000000000001</v>
      </c>
      <c r="S143" s="235">
        <v>1.05</v>
      </c>
      <c r="U143" s="10"/>
      <c r="V143" s="10"/>
      <c r="W143" s="10"/>
      <c r="X143" s="10"/>
      <c r="Y143" s="10"/>
      <c r="Z143" s="5"/>
      <c r="AA143" s="5"/>
      <c r="AB143" s="5"/>
      <c r="AC143" s="5"/>
      <c r="AD143" s="5"/>
      <c r="AE143" s="5"/>
      <c r="AF143" s="5"/>
      <c r="AG143" s="5"/>
      <c r="AH143" s="5"/>
    </row>
    <row r="144" spans="1:34" ht="38.25" customHeight="1">
      <c r="A144" s="16"/>
      <c r="B144" s="488" t="s">
        <v>223</v>
      </c>
      <c r="C144" s="488">
        <v>368</v>
      </c>
      <c r="D144" s="488">
        <v>281</v>
      </c>
      <c r="E144" s="488">
        <v>267</v>
      </c>
      <c r="F144" s="488">
        <v>0.26500000000000001</v>
      </c>
      <c r="G144" s="488">
        <v>0.114</v>
      </c>
      <c r="H144" s="462">
        <v>33</v>
      </c>
      <c r="I144" s="4"/>
      <c r="J144" s="473" t="s">
        <v>136</v>
      </c>
      <c r="K144" s="464">
        <v>0.91</v>
      </c>
      <c r="L144" s="464">
        <v>0.9</v>
      </c>
      <c r="M144" s="464">
        <v>0.97</v>
      </c>
      <c r="N144" s="464" t="s">
        <v>132</v>
      </c>
      <c r="O144" s="464" t="s">
        <v>132</v>
      </c>
      <c r="P144" s="464" t="s">
        <v>132</v>
      </c>
      <c r="Q144" s="470">
        <v>185</v>
      </c>
      <c r="R144" s="471">
        <v>1.0900000000000001</v>
      </c>
      <c r="S144" s="235">
        <v>1.05</v>
      </c>
      <c r="U144" s="10"/>
      <c r="V144" s="10"/>
      <c r="W144" s="10"/>
      <c r="X144" s="10"/>
      <c r="Y144" s="10"/>
      <c r="Z144" s="5"/>
      <c r="AA144" s="5"/>
      <c r="AB144" s="5"/>
      <c r="AC144" s="5"/>
      <c r="AD144" s="5"/>
      <c r="AE144" s="5"/>
      <c r="AF144" s="5"/>
      <c r="AG144" s="5"/>
      <c r="AH144" s="5"/>
    </row>
    <row r="145" spans="1:34" ht="44.25" customHeight="1">
      <c r="A145" s="16"/>
      <c r="B145" s="488" t="s">
        <v>129</v>
      </c>
      <c r="C145" s="488">
        <v>424</v>
      </c>
      <c r="D145" s="488">
        <v>317</v>
      </c>
      <c r="E145" s="488">
        <v>303</v>
      </c>
      <c r="F145" s="488">
        <v>0.21099999999999999</v>
      </c>
      <c r="G145" s="488">
        <v>0.109</v>
      </c>
      <c r="H145" s="462">
        <v>34</v>
      </c>
      <c r="I145" s="4"/>
      <c r="Q145" s="470">
        <v>240</v>
      </c>
      <c r="R145" s="471">
        <v>1.0900000000000001</v>
      </c>
      <c r="S145" s="235">
        <v>1.05</v>
      </c>
      <c r="U145" s="10"/>
      <c r="V145" s="10"/>
      <c r="W145" s="10"/>
      <c r="X145" s="10"/>
      <c r="Y145" s="10"/>
      <c r="Z145" s="5"/>
      <c r="AA145" s="5"/>
      <c r="AB145" s="5"/>
      <c r="AC145" s="5"/>
      <c r="AD145" s="5"/>
      <c r="AE145" s="5"/>
      <c r="AF145" s="5"/>
      <c r="AG145" s="5"/>
      <c r="AH145" s="5"/>
    </row>
    <row r="146" spans="1:34" ht="19.5" customHeight="1">
      <c r="A146" s="16"/>
      <c r="B146" s="488" t="s">
        <v>133</v>
      </c>
      <c r="C146" s="488">
        <v>502</v>
      </c>
      <c r="D146" s="488">
        <v>367</v>
      </c>
      <c r="E146" s="488">
        <v>350</v>
      </c>
      <c r="F146" s="488">
        <v>0.161</v>
      </c>
      <c r="G146" s="488">
        <v>0.105</v>
      </c>
      <c r="H146" s="462">
        <v>36</v>
      </c>
      <c r="Q146" s="470">
        <v>300</v>
      </c>
      <c r="R146" s="471">
        <v>1.0900000000000001</v>
      </c>
      <c r="S146" s="235">
        <v>1.05</v>
      </c>
      <c r="U146" s="10"/>
      <c r="V146" s="10"/>
      <c r="W146" s="10"/>
      <c r="X146" s="10"/>
      <c r="Y146" s="10"/>
      <c r="Z146" s="5"/>
      <c r="AA146" s="5"/>
      <c r="AB146" s="5"/>
      <c r="AC146" s="5"/>
      <c r="AD146" s="5"/>
      <c r="AE146" s="5"/>
      <c r="AF146" s="5"/>
      <c r="AG146" s="5"/>
      <c r="AH146" s="5"/>
    </row>
    <row r="147" spans="1:34" ht="19.5" customHeight="1">
      <c r="A147" s="16"/>
      <c r="B147" s="488" t="s">
        <v>134</v>
      </c>
      <c r="C147" s="488">
        <v>577</v>
      </c>
      <c r="D147" s="488">
        <v>414</v>
      </c>
      <c r="E147" s="488">
        <v>397</v>
      </c>
      <c r="F147" s="488">
        <v>0.13</v>
      </c>
      <c r="G147" s="488">
        <v>0.10199999999999999</v>
      </c>
      <c r="H147" s="462">
        <v>39</v>
      </c>
      <c r="Q147" s="470">
        <v>400</v>
      </c>
      <c r="R147" s="471">
        <v>1.0900000000000001</v>
      </c>
      <c r="S147" s="235">
        <v>1.05</v>
      </c>
      <c r="U147" s="10"/>
      <c r="V147" s="10"/>
      <c r="W147" s="10"/>
      <c r="X147" s="10"/>
      <c r="Y147" s="10"/>
      <c r="Z147" s="5"/>
      <c r="AA147" s="5"/>
      <c r="AB147" s="5"/>
      <c r="AC147" s="5"/>
      <c r="AD147" s="5"/>
      <c r="AE147" s="5"/>
      <c r="AF147" s="5"/>
      <c r="AG147" s="5"/>
      <c r="AH147" s="5"/>
    </row>
    <row r="148" spans="1:34" ht="19.5" customHeight="1">
      <c r="A148" s="16"/>
      <c r="B148" s="488" t="s">
        <v>135</v>
      </c>
      <c r="C148" s="488">
        <v>673</v>
      </c>
      <c r="D148" s="488">
        <v>470</v>
      </c>
      <c r="E148" s="488">
        <v>451</v>
      </c>
      <c r="F148" s="488">
        <v>0.10199999999999999</v>
      </c>
      <c r="G148" s="488">
        <v>9.8000000000000004E-2</v>
      </c>
      <c r="H148" s="462">
        <v>42</v>
      </c>
      <c r="Q148" s="470">
        <v>500</v>
      </c>
      <c r="R148" s="471">
        <v>1.0900000000000001</v>
      </c>
      <c r="S148" s="235">
        <v>1.05</v>
      </c>
      <c r="U148" s="10"/>
      <c r="V148" s="10"/>
      <c r="W148" s="10"/>
      <c r="X148" s="10"/>
      <c r="Y148" s="10"/>
      <c r="Z148" s="5"/>
      <c r="AA148" s="5"/>
      <c r="AB148" s="5"/>
      <c r="AC148" s="5"/>
      <c r="AD148" s="5"/>
      <c r="AE148" s="5"/>
      <c r="AF148" s="5"/>
      <c r="AG148" s="5"/>
      <c r="AH148" s="5"/>
    </row>
    <row r="149" spans="1:34" ht="19.5" customHeight="1">
      <c r="A149" s="16"/>
      <c r="B149" s="488" t="s">
        <v>137</v>
      </c>
      <c r="C149" s="488">
        <v>757</v>
      </c>
      <c r="D149" s="488">
        <v>519</v>
      </c>
      <c r="E149" s="488">
        <v>493</v>
      </c>
      <c r="F149" s="488">
        <v>0.08</v>
      </c>
      <c r="G149" s="488">
        <v>9.6000000000000002E-2</v>
      </c>
      <c r="H149" s="462">
        <v>46</v>
      </c>
      <c r="Q149" s="470">
        <v>630</v>
      </c>
      <c r="R149" s="471">
        <v>1.0900000000000001</v>
      </c>
      <c r="S149" s="235">
        <v>1.05</v>
      </c>
      <c r="U149" s="10"/>
      <c r="V149" s="10"/>
      <c r="W149" s="10"/>
      <c r="X149" s="10"/>
      <c r="Y149" s="10"/>
      <c r="Z149" s="5"/>
      <c r="AA149" s="5"/>
      <c r="AB149" s="5"/>
      <c r="AC149" s="5"/>
      <c r="AD149" s="5"/>
      <c r="AE149" s="5"/>
      <c r="AF149" s="5"/>
      <c r="AG149" s="5"/>
      <c r="AH149" s="5"/>
    </row>
    <row r="150" spans="1:34" ht="19.5" customHeight="1">
      <c r="A150" s="16"/>
      <c r="B150" s="488" t="s">
        <v>138</v>
      </c>
      <c r="C150" s="488">
        <v>876</v>
      </c>
      <c r="D150" s="488">
        <v>586</v>
      </c>
      <c r="E150" s="488">
        <v>557</v>
      </c>
      <c r="F150" s="488">
        <v>6.3E-2</v>
      </c>
      <c r="G150" s="488">
        <v>9.4E-2</v>
      </c>
      <c r="H150" s="462">
        <v>50</v>
      </c>
      <c r="Q150" s="482"/>
      <c r="R150" s="482"/>
      <c r="S150" s="483"/>
      <c r="U150" s="10"/>
      <c r="V150" s="10"/>
      <c r="W150" s="10"/>
      <c r="X150" s="10"/>
      <c r="Y150" s="10"/>
      <c r="Z150" s="5"/>
      <c r="AA150" s="5"/>
      <c r="AB150" s="5"/>
      <c r="AC150" s="5"/>
      <c r="AD150" s="5"/>
      <c r="AE150" s="5"/>
      <c r="AF150" s="5"/>
      <c r="AG150" s="5"/>
      <c r="AH150" s="5"/>
    </row>
    <row r="151" spans="1:34" ht="19.5" customHeight="1">
      <c r="A151" s="16"/>
      <c r="B151" s="488" t="s">
        <v>224</v>
      </c>
      <c r="C151" s="488">
        <v>1005</v>
      </c>
      <c r="D151" s="488">
        <v>655</v>
      </c>
      <c r="E151" s="488">
        <v>622</v>
      </c>
      <c r="F151" s="488">
        <v>5.0999999999999997E-2</v>
      </c>
      <c r="G151" s="488">
        <v>0.09</v>
      </c>
      <c r="H151" s="462">
        <v>54</v>
      </c>
      <c r="Q151" s="482"/>
      <c r="R151" s="482"/>
      <c r="S151" s="483"/>
      <c r="U151" s="10"/>
      <c r="V151" s="10"/>
      <c r="W151" s="10"/>
      <c r="X151" s="10"/>
      <c r="Y151" s="10"/>
      <c r="Z151" s="5"/>
      <c r="AA151" s="5"/>
      <c r="AB151" s="5"/>
      <c r="AC151" s="5"/>
      <c r="AD151" s="5"/>
      <c r="AE151" s="5"/>
      <c r="AF151" s="5"/>
      <c r="AG151" s="5"/>
      <c r="AH151" s="5"/>
    </row>
    <row r="152" spans="1:34" ht="19.5" customHeight="1">
      <c r="A152" s="16"/>
      <c r="B152" s="488" t="s">
        <v>225</v>
      </c>
      <c r="C152" s="488">
        <v>1138</v>
      </c>
      <c r="D152" s="488">
        <v>723</v>
      </c>
      <c r="E152" s="488">
        <v>687</v>
      </c>
      <c r="F152" s="488">
        <v>4.2999999999999997E-2</v>
      </c>
      <c r="G152" s="488">
        <v>8.7999999999999995E-2</v>
      </c>
      <c r="H152" s="462">
        <v>59</v>
      </c>
      <c r="Q152" s="482"/>
      <c r="R152" s="482"/>
      <c r="S152" s="483"/>
      <c r="U152" s="10"/>
      <c r="V152" s="10"/>
      <c r="W152" s="10"/>
      <c r="X152" s="10"/>
      <c r="Y152" s="10"/>
      <c r="Z152" s="5"/>
      <c r="AA152" s="5"/>
      <c r="AB152" s="5"/>
      <c r="AC152" s="5"/>
      <c r="AD152" s="5"/>
      <c r="AE152" s="5"/>
      <c r="AF152" s="5"/>
      <c r="AG152" s="5"/>
      <c r="AH152" s="5"/>
    </row>
    <row r="153" spans="1:34" ht="19.5" customHeight="1">
      <c r="A153" s="16"/>
      <c r="B153" s="488"/>
      <c r="C153" s="488"/>
      <c r="D153" s="488"/>
      <c r="E153" s="488"/>
      <c r="F153" s="488"/>
      <c r="G153" s="488"/>
      <c r="H153" s="494"/>
      <c r="Q153" s="482"/>
      <c r="R153" s="482"/>
      <c r="S153" s="483"/>
      <c r="U153" s="10"/>
      <c r="V153" s="10"/>
      <c r="W153" s="10"/>
      <c r="X153" s="10"/>
      <c r="Y153" s="10"/>
      <c r="Z153" s="5"/>
      <c r="AA153" s="5"/>
      <c r="AB153" s="5"/>
      <c r="AC153" s="5"/>
      <c r="AD153" s="5"/>
      <c r="AE153" s="5"/>
      <c r="AF153" s="5"/>
      <c r="AG153" s="5"/>
      <c r="AH153" s="5"/>
    </row>
    <row r="154" spans="1:34" ht="19.5" customHeight="1">
      <c r="A154" s="16"/>
      <c r="H154" s="17"/>
      <c r="I154" s="7"/>
      <c r="J154" s="3"/>
      <c r="O154" s="3"/>
      <c r="T154" s="5"/>
      <c r="U154" s="5"/>
      <c r="V154" s="5"/>
      <c r="W154" s="5"/>
      <c r="X154" s="5"/>
      <c r="Y154" s="5"/>
      <c r="Z154" s="5"/>
      <c r="AA154" s="5"/>
      <c r="AB154" s="5"/>
      <c r="AC154" s="5"/>
      <c r="AD154" s="5"/>
      <c r="AE154" s="5"/>
      <c r="AF154" s="5"/>
      <c r="AG154" s="5"/>
      <c r="AH154" s="5"/>
    </row>
    <row r="155" spans="1:34" ht="19.5" customHeight="1">
      <c r="A155" s="26"/>
      <c r="H155" s="20"/>
      <c r="I155" s="7"/>
      <c r="J155" s="3"/>
      <c r="O155" s="3"/>
    </row>
    <row r="156" spans="1:34" ht="27.75" customHeight="1">
      <c r="A156" s="26"/>
      <c r="B156" s="43" t="s">
        <v>226</v>
      </c>
      <c r="C156" s="42"/>
      <c r="D156" s="43"/>
      <c r="E156" s="43"/>
      <c r="F156" s="43" t="s">
        <v>227</v>
      </c>
      <c r="G156" s="44"/>
      <c r="H156" s="20"/>
    </row>
    <row r="157" spans="1:34" ht="42" customHeight="1">
      <c r="A157" s="26"/>
      <c r="B157" s="685" t="s">
        <v>109</v>
      </c>
      <c r="C157" s="686" t="s">
        <v>110</v>
      </c>
      <c r="D157" s="687"/>
      <c r="E157" s="688"/>
      <c r="F157" s="685" t="s">
        <v>208</v>
      </c>
      <c r="G157" s="685" t="s">
        <v>209</v>
      </c>
      <c r="H157" s="695" t="s">
        <v>210</v>
      </c>
    </row>
    <row r="158" spans="1:34" ht="32.25" customHeight="1">
      <c r="A158" s="26"/>
      <c r="B158" s="650"/>
      <c r="C158" s="459" t="s">
        <v>121</v>
      </c>
      <c r="D158" s="459" t="s">
        <v>122</v>
      </c>
      <c r="E158" s="459" t="s">
        <v>123</v>
      </c>
      <c r="F158" s="650"/>
      <c r="G158" s="650"/>
      <c r="H158" s="653"/>
    </row>
    <row r="159" spans="1:34" ht="19.5" customHeight="1">
      <c r="A159" s="26"/>
      <c r="B159" s="488" t="s">
        <v>167</v>
      </c>
      <c r="C159" s="488">
        <v>196</v>
      </c>
      <c r="D159" s="488">
        <v>171</v>
      </c>
      <c r="E159" s="488">
        <v>150</v>
      </c>
      <c r="F159" s="488">
        <v>0.56799999999999995</v>
      </c>
      <c r="G159" s="488">
        <v>0.10299999999999999</v>
      </c>
      <c r="H159" s="495">
        <v>52</v>
      </c>
    </row>
    <row r="160" spans="1:34" ht="32.25" customHeight="1">
      <c r="A160" s="26"/>
      <c r="B160" s="488" t="s">
        <v>168</v>
      </c>
      <c r="C160" s="488">
        <v>238</v>
      </c>
      <c r="D160" s="488">
        <v>204</v>
      </c>
      <c r="E160" s="488">
        <v>180</v>
      </c>
      <c r="F160" s="488">
        <v>0.41099999999999998</v>
      </c>
      <c r="G160" s="488">
        <v>9.9000000000000005E-2</v>
      </c>
      <c r="H160" s="495">
        <v>55</v>
      </c>
    </row>
    <row r="161" spans="1:44" s="2" customFormat="1" ht="19.5" customHeight="1">
      <c r="A161" s="26"/>
      <c r="B161" s="488" t="s">
        <v>169</v>
      </c>
      <c r="C161" s="488">
        <v>274</v>
      </c>
      <c r="D161" s="488">
        <v>232</v>
      </c>
      <c r="E161" s="488">
        <v>206</v>
      </c>
      <c r="F161" s="488">
        <v>0.32500000000000001</v>
      </c>
      <c r="G161" s="488">
        <v>9.5000000000000001E-2</v>
      </c>
      <c r="H161" s="495">
        <v>59</v>
      </c>
      <c r="K161" s="3"/>
      <c r="L161" s="3"/>
      <c r="M161" s="3"/>
      <c r="N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c r="AR161"/>
    </row>
    <row r="162" spans="1:44" s="2" customFormat="1" ht="19.5" customHeight="1">
      <c r="A162" s="26"/>
      <c r="B162" s="488" t="s">
        <v>170</v>
      </c>
      <c r="C162" s="488">
        <v>309</v>
      </c>
      <c r="D162" s="488">
        <v>259</v>
      </c>
      <c r="E162" s="488">
        <v>231</v>
      </c>
      <c r="F162" s="488">
        <v>0.26500000000000001</v>
      </c>
      <c r="G162" s="488">
        <v>9.2999999999999999E-2</v>
      </c>
      <c r="H162" s="495">
        <v>62</v>
      </c>
      <c r="K162" s="3"/>
      <c r="L162" s="3"/>
      <c r="M162" s="3"/>
      <c r="N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c r="AR162"/>
    </row>
    <row r="163" spans="1:44" s="2" customFormat="1" ht="19.5" customHeight="1">
      <c r="A163" s="26"/>
      <c r="B163" s="488" t="s">
        <v>171</v>
      </c>
      <c r="C163" s="488">
        <v>354</v>
      </c>
      <c r="D163" s="488">
        <v>293</v>
      </c>
      <c r="E163" s="488">
        <v>262</v>
      </c>
      <c r="F163" s="488">
        <v>0.21099999999999999</v>
      </c>
      <c r="G163" s="488">
        <v>8.8999999999999996E-2</v>
      </c>
      <c r="H163" s="495">
        <v>66</v>
      </c>
      <c r="K163" s="3"/>
      <c r="L163" s="3"/>
      <c r="M163" s="3"/>
      <c r="N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c r="AR163"/>
    </row>
    <row r="164" spans="1:44" s="2" customFormat="1" ht="19.5" customHeight="1">
      <c r="A164" s="26"/>
      <c r="B164" s="488" t="s">
        <v>172</v>
      </c>
      <c r="C164" s="488">
        <v>415</v>
      </c>
      <c r="D164" s="488">
        <v>338</v>
      </c>
      <c r="E164" s="488">
        <v>304</v>
      </c>
      <c r="F164" s="488">
        <v>0.16200000000000001</v>
      </c>
      <c r="G164" s="488">
        <v>8.6999999999999994E-2</v>
      </c>
      <c r="H164" s="495">
        <v>72</v>
      </c>
      <c r="K164" s="3"/>
      <c r="L164" s="3"/>
      <c r="M164" s="3"/>
      <c r="N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c r="AR164"/>
    </row>
    <row r="165" spans="1:44" s="2" customFormat="1" ht="19.5" customHeight="1">
      <c r="A165" s="26"/>
      <c r="B165" s="488" t="s">
        <v>173</v>
      </c>
      <c r="C165" s="488">
        <v>472</v>
      </c>
      <c r="D165" s="488">
        <v>380</v>
      </c>
      <c r="E165" s="488">
        <v>343</v>
      </c>
      <c r="F165" s="488">
        <v>0.13</v>
      </c>
      <c r="G165" s="488">
        <v>8.4000000000000005E-2</v>
      </c>
      <c r="H165" s="495">
        <v>78</v>
      </c>
      <c r="K165" s="3"/>
      <c r="L165" s="3"/>
      <c r="M165" s="3"/>
      <c r="N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c r="AR165"/>
    </row>
    <row r="166" spans="1:44" s="2" customFormat="1" ht="19.5" customHeight="1">
      <c r="A166" s="26"/>
      <c r="B166" s="488" t="s">
        <v>174</v>
      </c>
      <c r="C166" s="488">
        <v>545</v>
      </c>
      <c r="D166" s="488">
        <v>432</v>
      </c>
      <c r="E166" s="488">
        <v>393</v>
      </c>
      <c r="F166" s="488">
        <v>0.10199999999999999</v>
      </c>
      <c r="G166" s="488">
        <v>8.1000000000000003E-2</v>
      </c>
      <c r="H166" s="495">
        <v>84</v>
      </c>
      <c r="K166" s="3"/>
      <c r="L166" s="3"/>
      <c r="M166" s="3"/>
      <c r="N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c r="AR166"/>
    </row>
    <row r="167" spans="1:44" s="2" customFormat="1" ht="19.5" customHeight="1">
      <c r="A167" s="26"/>
      <c r="H167" s="20"/>
      <c r="K167" s="3"/>
      <c r="L167" s="3"/>
      <c r="M167" s="3"/>
      <c r="N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c r="AR167"/>
    </row>
    <row r="168" spans="1:44" s="2" customFormat="1" ht="19.5" customHeight="1">
      <c r="A168" s="26"/>
      <c r="H168" s="20"/>
      <c r="I168" s="8"/>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c r="AR168"/>
    </row>
    <row r="169" spans="1:44" s="2" customFormat="1" ht="19.5" customHeight="1">
      <c r="A169" s="26"/>
      <c r="H169" s="20"/>
      <c r="I169" s="8"/>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c r="AR169"/>
    </row>
    <row r="170" spans="1:44" s="2" customFormat="1" ht="19.5" customHeight="1" thickBot="1">
      <c r="A170" s="27"/>
      <c r="B170" s="28"/>
      <c r="C170" s="28"/>
      <c r="D170" s="28"/>
      <c r="E170" s="28"/>
      <c r="F170" s="28"/>
      <c r="G170" s="28"/>
      <c r="H170" s="29"/>
      <c r="I170" s="8"/>
      <c r="K170" s="3"/>
      <c r="L170" s="3"/>
      <c r="M170" s="3"/>
      <c r="N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c r="AR170"/>
    </row>
    <row r="171" spans="1:44" s="2" customFormat="1" ht="19.5" customHeight="1">
      <c r="A171" s="3"/>
      <c r="I171" s="8"/>
      <c r="K171" s="3"/>
      <c r="L171" s="3"/>
      <c r="M171" s="3"/>
      <c r="N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c r="AR171"/>
    </row>
    <row r="172" spans="1:44" s="2" customFormat="1" ht="19.5" customHeight="1">
      <c r="A172" s="3"/>
      <c r="I172" s="8"/>
      <c r="K172" s="3"/>
      <c r="L172" s="3"/>
      <c r="M172" s="3"/>
      <c r="N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c r="AR172"/>
    </row>
    <row r="173" spans="1:44" s="2" customFormat="1" ht="19.5" customHeight="1">
      <c r="A173" s="3"/>
      <c r="I173" s="8"/>
      <c r="K173" s="3"/>
      <c r="L173" s="3"/>
      <c r="M173" s="3"/>
      <c r="N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c r="AR173"/>
    </row>
    <row r="174" spans="1:44" s="2" customFormat="1" ht="19.5" customHeight="1" thickBot="1">
      <c r="A174" s="3"/>
      <c r="I174" s="8"/>
      <c r="K174" s="74"/>
      <c r="L174" s="3"/>
      <c r="M174" s="3"/>
      <c r="N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c r="AR174"/>
    </row>
    <row r="175" spans="1:44" s="2" customFormat="1" ht="19.5" customHeight="1">
      <c r="A175" s="30"/>
      <c r="B175" s="647" t="s">
        <v>228</v>
      </c>
      <c r="C175" s="648"/>
      <c r="D175" s="648"/>
      <c r="E175" s="648"/>
      <c r="F175" s="649"/>
      <c r="G175" s="31"/>
      <c r="H175" s="32"/>
      <c r="I175" s="8"/>
      <c r="K175" s="3"/>
      <c r="L175" s="3"/>
      <c r="M175" s="3"/>
      <c r="N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c r="AR175"/>
    </row>
    <row r="176" spans="1:44" s="2" customFormat="1" ht="19.5" customHeight="1">
      <c r="A176" s="26"/>
      <c r="H176" s="20"/>
      <c r="I176" s="8"/>
      <c r="K176" s="3"/>
      <c r="L176" s="3"/>
      <c r="M176" s="3"/>
      <c r="N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c r="AR176"/>
    </row>
    <row r="177" spans="1:34" ht="28.5" customHeight="1">
      <c r="A177" s="26"/>
      <c r="B177" s="230" t="s">
        <v>206</v>
      </c>
      <c r="C177" s="485"/>
      <c r="D177" s="231"/>
      <c r="E177" s="231"/>
      <c r="F177" s="231" t="s">
        <v>229</v>
      </c>
      <c r="G177" s="232"/>
      <c r="H177" s="233"/>
    </row>
    <row r="178" spans="1:34" ht="19.5" customHeight="1">
      <c r="A178" s="16"/>
      <c r="B178" s="7"/>
      <c r="C178" s="7"/>
      <c r="D178" s="7"/>
      <c r="E178" s="7"/>
      <c r="F178" s="7"/>
      <c r="G178" s="7"/>
      <c r="H178" s="17"/>
      <c r="I178" s="4"/>
      <c r="P178" s="4"/>
      <c r="Q178" s="4"/>
      <c r="R178" s="4"/>
      <c r="S178" s="5"/>
      <c r="T178" s="5"/>
      <c r="U178" s="5"/>
      <c r="V178" s="5"/>
      <c r="W178" s="5"/>
      <c r="X178" s="5"/>
      <c r="Y178" s="5"/>
      <c r="Z178" s="5"/>
      <c r="AA178" s="5"/>
      <c r="AB178" s="5"/>
      <c r="AC178" s="5"/>
      <c r="AD178" s="5"/>
      <c r="AE178" s="5"/>
      <c r="AF178" s="5"/>
      <c r="AG178" s="5"/>
      <c r="AH178" s="5"/>
    </row>
    <row r="179" spans="1:34" ht="98.25" customHeight="1">
      <c r="A179" s="26"/>
      <c r="B179" s="685" t="s">
        <v>109</v>
      </c>
      <c r="C179" s="686" t="s">
        <v>110</v>
      </c>
      <c r="D179" s="687"/>
      <c r="E179" s="688"/>
      <c r="F179" s="685" t="s">
        <v>208</v>
      </c>
      <c r="G179" s="685" t="s">
        <v>209</v>
      </c>
      <c r="H179" s="685" t="s">
        <v>210</v>
      </c>
      <c r="I179" s="634" t="s">
        <v>211</v>
      </c>
      <c r="J179" s="692" t="s">
        <v>115</v>
      </c>
      <c r="K179" s="684" t="s">
        <v>807</v>
      </c>
      <c r="L179" s="684" t="s">
        <v>809</v>
      </c>
      <c r="M179" s="684"/>
      <c r="N179" s="684" t="s">
        <v>118</v>
      </c>
      <c r="O179" s="684" t="s">
        <v>230</v>
      </c>
      <c r="P179" s="684"/>
      <c r="Q179" s="686" t="s">
        <v>231</v>
      </c>
      <c r="R179" s="687"/>
      <c r="S179" s="688"/>
      <c r="U179" s="460" t="s">
        <v>232</v>
      </c>
      <c r="V179" s="460" t="s">
        <v>233</v>
      </c>
      <c r="X179" s="460" t="s">
        <v>232</v>
      </c>
      <c r="Y179" s="460" t="s">
        <v>233</v>
      </c>
    </row>
    <row r="180" spans="1:34" ht="75" customHeight="1">
      <c r="A180" s="26"/>
      <c r="B180" s="650"/>
      <c r="C180" s="459" t="s">
        <v>234</v>
      </c>
      <c r="D180" s="459" t="s">
        <v>216</v>
      </c>
      <c r="E180" s="459" t="s">
        <v>217</v>
      </c>
      <c r="F180" s="650"/>
      <c r="G180" s="650"/>
      <c r="H180" s="650"/>
      <c r="I180" s="635"/>
      <c r="J180" s="693"/>
      <c r="K180" s="685"/>
      <c r="L180" s="460" t="s">
        <v>218</v>
      </c>
      <c r="M180" s="460" t="s">
        <v>125</v>
      </c>
      <c r="N180" s="685"/>
      <c r="O180" s="460" t="s">
        <v>126</v>
      </c>
      <c r="P180" s="460" t="s">
        <v>127</v>
      </c>
      <c r="Q180" s="460" t="s">
        <v>128</v>
      </c>
      <c r="R180" s="460" t="s">
        <v>126</v>
      </c>
      <c r="S180" s="460" t="s">
        <v>127</v>
      </c>
      <c r="U180" s="460" t="s">
        <v>126</v>
      </c>
      <c r="V180" s="460" t="s">
        <v>126</v>
      </c>
      <c r="X180" s="460" t="s">
        <v>127</v>
      </c>
      <c r="Y180" s="460" t="s">
        <v>127</v>
      </c>
    </row>
    <row r="181" spans="1:34" ht="20.149999999999999" customHeight="1">
      <c r="A181" s="26"/>
      <c r="B181" s="461" t="s">
        <v>219</v>
      </c>
      <c r="C181" s="461">
        <v>230</v>
      </c>
      <c r="D181" s="461">
        <v>186</v>
      </c>
      <c r="E181" s="461">
        <v>176</v>
      </c>
      <c r="F181" s="488">
        <v>0.56799999999999995</v>
      </c>
      <c r="G181" s="488">
        <v>0.14599999999999999</v>
      </c>
      <c r="H181" s="234">
        <v>38</v>
      </c>
      <c r="I181" s="632" t="s">
        <v>235</v>
      </c>
      <c r="J181" s="463" t="s">
        <v>131</v>
      </c>
      <c r="K181" s="464">
        <v>0.91</v>
      </c>
      <c r="L181" s="464">
        <v>0.9</v>
      </c>
      <c r="M181" s="464">
        <v>0.97</v>
      </c>
      <c r="N181" s="464" t="s">
        <v>132</v>
      </c>
      <c r="O181" s="464" t="s">
        <v>132</v>
      </c>
      <c r="P181" s="464" t="s">
        <v>132</v>
      </c>
      <c r="Q181" s="466"/>
      <c r="R181" s="466"/>
      <c r="S181" s="466"/>
    </row>
    <row r="182" spans="1:34" ht="20.149999999999999" customHeight="1">
      <c r="A182" s="26"/>
      <c r="B182" s="461" t="s">
        <v>221</v>
      </c>
      <c r="C182" s="461">
        <v>280</v>
      </c>
      <c r="D182" s="461">
        <v>221</v>
      </c>
      <c r="E182" s="461">
        <v>210</v>
      </c>
      <c r="F182" s="488">
        <v>0.41099999999999998</v>
      </c>
      <c r="G182" s="488">
        <v>0.14000000000000001</v>
      </c>
      <c r="H182" s="234">
        <v>39</v>
      </c>
      <c r="I182" s="633"/>
      <c r="J182" s="493" t="s">
        <v>123</v>
      </c>
      <c r="K182" s="464" t="s">
        <v>132</v>
      </c>
      <c r="L182" s="464">
        <v>0.64</v>
      </c>
      <c r="M182" s="464">
        <v>0.8</v>
      </c>
      <c r="N182" s="464">
        <v>0.89</v>
      </c>
      <c r="O182" s="464">
        <v>0.93</v>
      </c>
      <c r="P182" s="464">
        <v>0.95</v>
      </c>
      <c r="Q182" s="470">
        <v>120</v>
      </c>
      <c r="R182" s="471">
        <v>1.0900000000000001</v>
      </c>
      <c r="S182" s="235">
        <v>1.05</v>
      </c>
      <c r="U182" s="471">
        <v>1.1299999999999999</v>
      </c>
      <c r="V182" s="471">
        <v>0.91</v>
      </c>
      <c r="X182" s="235">
        <v>1.0900000000000001</v>
      </c>
      <c r="Y182" s="235">
        <v>0.93</v>
      </c>
    </row>
    <row r="183" spans="1:34" ht="20.149999999999999" customHeight="1">
      <c r="A183" s="26"/>
      <c r="B183" s="461" t="s">
        <v>222</v>
      </c>
      <c r="C183" s="461">
        <v>324</v>
      </c>
      <c r="D183" s="461">
        <v>252</v>
      </c>
      <c r="E183" s="461">
        <v>240</v>
      </c>
      <c r="F183" s="488">
        <v>0.32500000000000001</v>
      </c>
      <c r="G183" s="488">
        <v>0.13400000000000001</v>
      </c>
      <c r="H183" s="234">
        <v>41</v>
      </c>
      <c r="I183" s="4"/>
      <c r="J183" s="493" t="s">
        <v>122</v>
      </c>
      <c r="K183" s="464" t="s">
        <v>132</v>
      </c>
      <c r="L183" s="464">
        <v>0.64</v>
      </c>
      <c r="M183" s="464">
        <v>0.8</v>
      </c>
      <c r="N183" s="464">
        <v>0.89</v>
      </c>
      <c r="O183" s="464">
        <v>0.93</v>
      </c>
      <c r="P183" s="464">
        <v>0.96</v>
      </c>
      <c r="Q183" s="470">
        <v>150</v>
      </c>
      <c r="R183" s="471">
        <v>1.0900000000000001</v>
      </c>
      <c r="S183" s="235">
        <v>1.05</v>
      </c>
      <c r="U183" s="471">
        <v>1.1299999999999999</v>
      </c>
      <c r="V183" s="471">
        <v>0.91</v>
      </c>
      <c r="X183" s="235">
        <v>1.0900000000000001</v>
      </c>
      <c r="Y183" s="235">
        <v>0.93</v>
      </c>
    </row>
    <row r="184" spans="1:34" ht="37.5" customHeight="1">
      <c r="A184" s="26"/>
      <c r="B184" s="461" t="s">
        <v>223</v>
      </c>
      <c r="C184" s="461">
        <v>368</v>
      </c>
      <c r="D184" s="461">
        <v>281</v>
      </c>
      <c r="E184" s="461">
        <v>267</v>
      </c>
      <c r="F184" s="488">
        <v>0.26500000000000001</v>
      </c>
      <c r="G184" s="488">
        <v>0.13200000000000001</v>
      </c>
      <c r="H184" s="234">
        <v>43</v>
      </c>
      <c r="I184" s="4"/>
      <c r="J184" s="473" t="s">
        <v>136</v>
      </c>
      <c r="K184" s="464">
        <v>0.91</v>
      </c>
      <c r="L184" s="464">
        <v>0.9</v>
      </c>
      <c r="M184" s="464">
        <v>0.97</v>
      </c>
      <c r="N184" s="464" t="s">
        <v>132</v>
      </c>
      <c r="O184" s="464" t="s">
        <v>132</v>
      </c>
      <c r="P184" s="464" t="s">
        <v>132</v>
      </c>
      <c r="Q184" s="470">
        <v>185</v>
      </c>
      <c r="R184" s="471">
        <v>1.0900000000000001</v>
      </c>
      <c r="S184" s="235">
        <v>1.05</v>
      </c>
      <c r="U184" s="471">
        <v>1.1299999999999999</v>
      </c>
      <c r="V184" s="471">
        <v>0.91</v>
      </c>
      <c r="X184" s="235">
        <v>1.0900000000000001</v>
      </c>
      <c r="Y184" s="235">
        <v>0.93</v>
      </c>
    </row>
    <row r="185" spans="1:34" ht="20.149999999999999" customHeight="1">
      <c r="A185" s="26"/>
      <c r="B185" s="461" t="s">
        <v>129</v>
      </c>
      <c r="C185" s="461">
        <v>424</v>
      </c>
      <c r="D185" s="461">
        <v>317</v>
      </c>
      <c r="E185" s="461">
        <v>303</v>
      </c>
      <c r="F185" s="488">
        <v>0.21099999999999999</v>
      </c>
      <c r="G185" s="488">
        <v>0.126</v>
      </c>
      <c r="H185" s="234">
        <v>45</v>
      </c>
      <c r="I185" s="4"/>
      <c r="Q185" s="470">
        <v>240</v>
      </c>
      <c r="R185" s="471">
        <v>1.0900000000000001</v>
      </c>
      <c r="S185" s="235">
        <v>1.05</v>
      </c>
      <c r="U185" s="471">
        <v>1.1399999999999999</v>
      </c>
      <c r="V185" s="471">
        <v>0.91</v>
      </c>
      <c r="X185" s="235">
        <v>1.1000000000000001</v>
      </c>
      <c r="Y185" s="235">
        <v>0.93</v>
      </c>
    </row>
    <row r="186" spans="1:34" ht="20.149999999999999" customHeight="1">
      <c r="A186" s="26"/>
      <c r="B186" s="461" t="s">
        <v>133</v>
      </c>
      <c r="C186" s="461">
        <v>502</v>
      </c>
      <c r="D186" s="461">
        <v>367</v>
      </c>
      <c r="E186" s="461">
        <v>350</v>
      </c>
      <c r="F186" s="488">
        <v>0.161</v>
      </c>
      <c r="G186" s="488">
        <v>0.122</v>
      </c>
      <c r="H186" s="234">
        <v>47</v>
      </c>
      <c r="Q186" s="470">
        <v>300</v>
      </c>
      <c r="R186" s="471">
        <v>1.0900000000000001</v>
      </c>
      <c r="S186" s="235">
        <v>1.05</v>
      </c>
      <c r="U186" s="471">
        <v>1.1399999999999999</v>
      </c>
      <c r="V186" s="471">
        <v>0.9</v>
      </c>
      <c r="X186" s="235">
        <v>1.1000000000000001</v>
      </c>
      <c r="Y186" s="235">
        <v>0.92</v>
      </c>
    </row>
    <row r="187" spans="1:34" ht="20.149999999999999" customHeight="1">
      <c r="A187" s="26"/>
      <c r="B187" s="461" t="s">
        <v>134</v>
      </c>
      <c r="C187" s="461">
        <v>577</v>
      </c>
      <c r="D187" s="461">
        <v>414</v>
      </c>
      <c r="E187" s="461">
        <v>397</v>
      </c>
      <c r="F187" s="488">
        <v>0.13</v>
      </c>
      <c r="G187" s="488">
        <v>0.11799999999999999</v>
      </c>
      <c r="H187" s="234">
        <v>50</v>
      </c>
      <c r="Q187" s="470">
        <v>400</v>
      </c>
      <c r="R187" s="471">
        <v>1.0900000000000001</v>
      </c>
      <c r="S187" s="235">
        <v>1.05</v>
      </c>
      <c r="U187" s="471">
        <v>1.1399999999999999</v>
      </c>
      <c r="V187" s="471">
        <v>0.9</v>
      </c>
      <c r="X187" s="235">
        <v>1.1000000000000001</v>
      </c>
      <c r="Y187" s="235">
        <v>0.92</v>
      </c>
    </row>
    <row r="188" spans="1:34" ht="20.149999999999999" customHeight="1">
      <c r="A188" s="26"/>
      <c r="B188" s="461" t="s">
        <v>135</v>
      </c>
      <c r="C188" s="461">
        <v>673</v>
      </c>
      <c r="D188" s="461">
        <v>470</v>
      </c>
      <c r="E188" s="461">
        <v>451</v>
      </c>
      <c r="F188" s="488">
        <v>0.10199999999999999</v>
      </c>
      <c r="G188" s="488">
        <v>0.113</v>
      </c>
      <c r="H188" s="234">
        <v>53</v>
      </c>
      <c r="Q188" s="470">
        <v>500</v>
      </c>
      <c r="R188" s="471">
        <v>1.0900000000000001</v>
      </c>
      <c r="S188" s="235">
        <v>1.05</v>
      </c>
      <c r="U188" s="471">
        <v>1.1399999999999999</v>
      </c>
      <c r="V188" s="471">
        <v>0.9</v>
      </c>
      <c r="X188" s="235">
        <v>1.1000000000000001</v>
      </c>
      <c r="Y188" s="235">
        <v>0.92</v>
      </c>
    </row>
    <row r="189" spans="1:34" ht="20.149999999999999" customHeight="1">
      <c r="A189" s="26"/>
      <c r="B189" s="461" t="s">
        <v>137</v>
      </c>
      <c r="C189" s="461">
        <v>757</v>
      </c>
      <c r="D189" s="461">
        <v>519</v>
      </c>
      <c r="E189" s="461">
        <v>493</v>
      </c>
      <c r="F189" s="488">
        <v>0.08</v>
      </c>
      <c r="G189" s="488">
        <v>0.109</v>
      </c>
      <c r="H189" s="234">
        <v>56</v>
      </c>
      <c r="Q189" s="470">
        <v>630</v>
      </c>
      <c r="R189" s="471">
        <v>1.0900000000000001</v>
      </c>
      <c r="S189" s="235">
        <v>1.05</v>
      </c>
      <c r="U189" s="471">
        <v>1.1399999999999999</v>
      </c>
      <c r="V189" s="471">
        <v>0.9</v>
      </c>
      <c r="X189" s="235">
        <v>1.1000000000000001</v>
      </c>
      <c r="Y189" s="235">
        <v>0.92</v>
      </c>
    </row>
    <row r="190" spans="1:34" ht="20.149999999999999" customHeight="1">
      <c r="A190" s="26"/>
      <c r="B190" s="461" t="s">
        <v>138</v>
      </c>
      <c r="C190" s="461">
        <v>876</v>
      </c>
      <c r="D190" s="461">
        <v>586</v>
      </c>
      <c r="E190" s="461">
        <v>557</v>
      </c>
      <c r="F190" s="488">
        <v>6.3E-2</v>
      </c>
      <c r="G190" s="488">
        <v>0.105</v>
      </c>
      <c r="H190" s="234">
        <v>60</v>
      </c>
      <c r="I190" s="4"/>
      <c r="Q190" s="482"/>
      <c r="R190" s="482"/>
      <c r="S190" s="483"/>
    </row>
    <row r="191" spans="1:34" ht="20.149999999999999" customHeight="1">
      <c r="A191" s="26"/>
      <c r="B191" s="461" t="s">
        <v>224</v>
      </c>
      <c r="C191" s="461">
        <v>1005</v>
      </c>
      <c r="D191" s="461">
        <v>655</v>
      </c>
      <c r="E191" s="461">
        <v>622</v>
      </c>
      <c r="F191" s="488">
        <v>5.0999999999999997E-2</v>
      </c>
      <c r="G191" s="488">
        <v>0.10100000000000001</v>
      </c>
      <c r="H191" s="234">
        <v>65</v>
      </c>
      <c r="I191" s="4"/>
      <c r="Q191" s="482"/>
      <c r="R191" s="482"/>
      <c r="S191" s="483"/>
    </row>
    <row r="192" spans="1:34" ht="20.149999999999999" customHeight="1">
      <c r="A192" s="26"/>
      <c r="B192" s="461" t="s">
        <v>225</v>
      </c>
      <c r="C192" s="461">
        <v>1138</v>
      </c>
      <c r="D192" s="461">
        <v>723</v>
      </c>
      <c r="E192" s="461">
        <v>687</v>
      </c>
      <c r="F192" s="488">
        <v>4.2999999999999997E-2</v>
      </c>
      <c r="G192" s="488">
        <v>9.9000000000000005E-2</v>
      </c>
      <c r="H192" s="234">
        <v>69</v>
      </c>
      <c r="I192" s="4"/>
      <c r="Q192" s="482"/>
      <c r="R192" s="482"/>
      <c r="S192" s="483"/>
    </row>
    <row r="193" spans="1:44" s="2" customFormat="1" ht="20.149999999999999" customHeight="1">
      <c r="A193" s="26"/>
      <c r="B193" s="461"/>
      <c r="C193" s="461"/>
      <c r="D193" s="461"/>
      <c r="E193" s="461"/>
      <c r="F193" s="488"/>
      <c r="G193" s="488"/>
      <c r="H193" s="234"/>
      <c r="I193" s="7"/>
      <c r="K193" s="3"/>
      <c r="L193" s="3"/>
      <c r="M193" s="3"/>
      <c r="N193" s="3"/>
      <c r="Q193" s="482"/>
      <c r="R193" s="482"/>
      <c r="S193" s="48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c r="AR193"/>
    </row>
    <row r="194" spans="1:44" s="2" customFormat="1">
      <c r="A194" s="26"/>
      <c r="H194" s="20"/>
      <c r="L194" s="3"/>
      <c r="M194" s="3"/>
      <c r="N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c r="AR194"/>
    </row>
    <row r="195" spans="1:44" s="2" customFormat="1">
      <c r="A195" s="26"/>
      <c r="L195" s="3"/>
      <c r="M195" s="3"/>
      <c r="N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c r="AR195"/>
    </row>
    <row r="196" spans="1:44" s="2" customFormat="1">
      <c r="A196" s="26"/>
      <c r="B196" s="230" t="s">
        <v>226</v>
      </c>
      <c r="C196" s="485"/>
      <c r="D196" s="231"/>
      <c r="E196" s="231"/>
      <c r="F196" s="231" t="s">
        <v>229</v>
      </c>
      <c r="G196" s="232"/>
      <c r="H196" s="23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c r="AR196"/>
    </row>
    <row r="197" spans="1:44" s="2" customFormat="1" ht="30" customHeight="1">
      <c r="A197" s="26"/>
      <c r="B197" s="685" t="s">
        <v>109</v>
      </c>
      <c r="C197" s="686" t="s">
        <v>110</v>
      </c>
      <c r="D197" s="687"/>
      <c r="E197" s="688"/>
      <c r="F197" s="685" t="s">
        <v>208</v>
      </c>
      <c r="G197" s="685" t="s">
        <v>209</v>
      </c>
      <c r="H197" s="685" t="s">
        <v>210</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c r="AR197"/>
    </row>
    <row r="198" spans="1:44" s="2" customFormat="1" ht="30" customHeight="1">
      <c r="A198" s="26"/>
      <c r="B198" s="650"/>
      <c r="C198" s="459" t="s">
        <v>121</v>
      </c>
      <c r="D198" s="459" t="s">
        <v>122</v>
      </c>
      <c r="E198" s="459" t="s">
        <v>123</v>
      </c>
      <c r="F198" s="650"/>
      <c r="G198" s="650"/>
      <c r="H198" s="65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c r="AR198"/>
    </row>
    <row r="199" spans="1:44" s="2" customFormat="1" ht="15" customHeight="1">
      <c r="A199" s="26"/>
      <c r="B199" s="488" t="s">
        <v>167</v>
      </c>
      <c r="C199" s="488">
        <v>196</v>
      </c>
      <c r="D199" s="488">
        <v>171</v>
      </c>
      <c r="E199" s="488">
        <v>150</v>
      </c>
      <c r="F199" s="488">
        <v>0.56799999999999995</v>
      </c>
      <c r="G199" s="488">
        <v>0.129</v>
      </c>
      <c r="H199" s="234">
        <v>76</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c r="AR199"/>
    </row>
    <row r="200" spans="1:44" s="2" customFormat="1">
      <c r="A200" s="26"/>
      <c r="B200" s="488" t="s">
        <v>168</v>
      </c>
      <c r="C200" s="488">
        <v>238</v>
      </c>
      <c r="D200" s="488">
        <v>204</v>
      </c>
      <c r="E200" s="488">
        <v>180</v>
      </c>
      <c r="F200" s="488">
        <v>0.41099999999999998</v>
      </c>
      <c r="G200" s="488">
        <v>0.124</v>
      </c>
      <c r="H200" s="234">
        <v>79</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c r="AR200"/>
    </row>
    <row r="201" spans="1:44" s="2" customFormat="1">
      <c r="A201" s="26"/>
      <c r="B201" s="488" t="s">
        <v>169</v>
      </c>
      <c r="C201" s="488">
        <v>274</v>
      </c>
      <c r="D201" s="488">
        <v>232</v>
      </c>
      <c r="E201" s="488">
        <v>206</v>
      </c>
      <c r="F201" s="488">
        <v>0.32500000000000001</v>
      </c>
      <c r="G201" s="488">
        <v>0.11899999999999999</v>
      </c>
      <c r="H201" s="234">
        <v>83</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c r="AR201"/>
    </row>
    <row r="202" spans="1:44" s="2" customFormat="1">
      <c r="A202" s="26"/>
      <c r="B202" s="488" t="s">
        <v>170</v>
      </c>
      <c r="C202" s="488">
        <v>309</v>
      </c>
      <c r="D202" s="488">
        <v>259</v>
      </c>
      <c r="E202" s="488">
        <v>231</v>
      </c>
      <c r="F202" s="488">
        <v>0.26500000000000001</v>
      </c>
      <c r="G202" s="488">
        <v>0.115</v>
      </c>
      <c r="H202" s="234">
        <v>86</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c r="AR202"/>
    </row>
    <row r="203" spans="1:44" s="2" customFormat="1">
      <c r="A203" s="26"/>
      <c r="B203" s="488" t="s">
        <v>171</v>
      </c>
      <c r="C203" s="488">
        <v>354</v>
      </c>
      <c r="D203" s="488">
        <v>293</v>
      </c>
      <c r="E203" s="488">
        <v>262</v>
      </c>
      <c r="F203" s="488">
        <v>0.21099999999999999</v>
      </c>
      <c r="G203" s="488">
        <v>0.11</v>
      </c>
      <c r="H203" s="234">
        <v>90</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c r="AR203"/>
    </row>
    <row r="204" spans="1:44" s="2" customFormat="1">
      <c r="A204" s="26"/>
      <c r="B204" s="488" t="s">
        <v>172</v>
      </c>
      <c r="C204" s="488">
        <v>415</v>
      </c>
      <c r="D204" s="488">
        <v>338</v>
      </c>
      <c r="E204" s="488">
        <v>304</v>
      </c>
      <c r="F204" s="488">
        <v>0.16200000000000001</v>
      </c>
      <c r="G204" s="488">
        <v>0.106</v>
      </c>
      <c r="H204" s="234">
        <v>88</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c r="AR204"/>
    </row>
    <row r="205" spans="1:44" s="2" customFormat="1">
      <c r="A205" s="26"/>
      <c r="B205" s="488" t="s">
        <v>173</v>
      </c>
      <c r="C205" s="488">
        <v>472</v>
      </c>
      <c r="D205" s="488">
        <v>380</v>
      </c>
      <c r="E205" s="488">
        <v>343</v>
      </c>
      <c r="F205" s="488">
        <v>0.13</v>
      </c>
      <c r="G205" s="488">
        <v>0.10299999999999999</v>
      </c>
      <c r="H205" s="234">
        <v>93</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c r="AR205"/>
    </row>
    <row r="206" spans="1:44" s="2" customFormat="1">
      <c r="A206" s="26"/>
      <c r="B206" s="488" t="s">
        <v>174</v>
      </c>
      <c r="C206" s="488">
        <v>545</v>
      </c>
      <c r="D206" s="488">
        <v>432</v>
      </c>
      <c r="E206" s="488">
        <v>393</v>
      </c>
      <c r="F206" s="488">
        <v>0.10199999999999999</v>
      </c>
      <c r="G206" s="488">
        <v>9.8000000000000004E-2</v>
      </c>
      <c r="H206" s="234">
        <v>100</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c r="AR206"/>
    </row>
    <row r="207" spans="1:44" s="2" customFormat="1">
      <c r="A207" s="26"/>
      <c r="H207" s="20"/>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c r="AR207"/>
    </row>
    <row r="208" spans="1:44" s="2" customFormat="1">
      <c r="A208" s="26"/>
      <c r="H208" s="2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c r="AR208"/>
    </row>
    <row r="209" spans="1:44" s="2" customFormat="1">
      <c r="A209" s="26"/>
      <c r="H209" s="2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c r="AR209"/>
    </row>
    <row r="210" spans="1:44" s="2" customFormat="1" ht="15" thickBot="1">
      <c r="A210" s="27"/>
      <c r="B210" s="28"/>
      <c r="C210" s="28"/>
      <c r="D210" s="28"/>
      <c r="E210" s="28"/>
      <c r="F210" s="28"/>
      <c r="G210" s="28"/>
      <c r="H210" s="29"/>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c r="AR210"/>
    </row>
    <row r="211" spans="1:44" s="2" customFormat="1">
      <c r="A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c r="AR211"/>
    </row>
    <row r="212" spans="1:44" s="2" customFormat="1">
      <c r="A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c r="AR212"/>
    </row>
    <row r="230" spans="11:24">
      <c r="K230" s="2"/>
      <c r="L230" s="2"/>
      <c r="M230" s="2"/>
      <c r="N230" s="2"/>
      <c r="S230" s="2"/>
      <c r="T230" s="2"/>
      <c r="U230" s="2"/>
      <c r="V230" s="2"/>
      <c r="W230" s="2"/>
      <c r="X230" s="2"/>
    </row>
    <row r="231" spans="11:24">
      <c r="K231" s="2"/>
      <c r="L231" s="2"/>
      <c r="M231" s="2"/>
      <c r="N231" s="2"/>
      <c r="S231" s="2"/>
      <c r="T231" s="2"/>
      <c r="U231" s="2"/>
      <c r="V231" s="2"/>
      <c r="W231" s="2"/>
      <c r="X231" s="2"/>
    </row>
    <row r="232" spans="11:24">
      <c r="K232" s="2"/>
      <c r="L232" s="2"/>
      <c r="M232" s="2"/>
      <c r="N232" s="2"/>
      <c r="S232" s="2"/>
      <c r="T232" s="2"/>
      <c r="U232" s="2"/>
      <c r="V232" s="2"/>
      <c r="W232" s="2"/>
      <c r="X232" s="2"/>
    </row>
    <row r="233" spans="11:24" ht="15" customHeight="1">
      <c r="K233" s="2"/>
      <c r="L233" s="2"/>
      <c r="M233" s="2"/>
      <c r="N233" s="2"/>
      <c r="S233" s="2"/>
      <c r="T233" s="2"/>
      <c r="U233" s="2"/>
      <c r="V233" s="2"/>
      <c r="W233" s="2"/>
      <c r="X233" s="2"/>
    </row>
    <row r="234" spans="11:24">
      <c r="K234" s="2"/>
      <c r="L234" s="2"/>
      <c r="M234" s="2"/>
      <c r="N234" s="2"/>
      <c r="S234" s="2"/>
      <c r="T234" s="2"/>
      <c r="U234" s="2"/>
      <c r="V234" s="2"/>
      <c r="W234" s="2"/>
      <c r="X234" s="2"/>
    </row>
    <row r="235" spans="11:24">
      <c r="K235" s="2"/>
      <c r="L235" s="2"/>
      <c r="M235" s="2"/>
      <c r="N235" s="2"/>
      <c r="S235" s="2"/>
      <c r="T235" s="2"/>
      <c r="U235" s="2"/>
      <c r="V235" s="2"/>
      <c r="W235" s="2"/>
      <c r="X235" s="2"/>
    </row>
    <row r="236" spans="11:24">
      <c r="K236" s="2"/>
      <c r="L236" s="2"/>
      <c r="M236" s="2"/>
      <c r="N236" s="2"/>
      <c r="S236" s="2"/>
      <c r="T236" s="2"/>
      <c r="U236" s="2"/>
      <c r="V236" s="2"/>
      <c r="W236" s="2"/>
      <c r="X236" s="2"/>
    </row>
    <row r="237" spans="11:24">
      <c r="K237" s="2"/>
      <c r="L237" s="2"/>
      <c r="M237" s="2"/>
      <c r="N237" s="2"/>
      <c r="S237" s="2"/>
      <c r="T237" s="2"/>
      <c r="U237" s="2"/>
      <c r="V237" s="2"/>
      <c r="W237" s="2"/>
      <c r="X237" s="2"/>
    </row>
    <row r="238" spans="11:24">
      <c r="K238" s="2"/>
      <c r="L238" s="2"/>
      <c r="M238" s="2"/>
      <c r="N238" s="2"/>
      <c r="S238" s="2"/>
      <c r="T238" s="2"/>
      <c r="U238" s="2"/>
      <c r="V238" s="2"/>
      <c r="W238" s="2"/>
      <c r="X238" s="2"/>
    </row>
    <row r="239" spans="11:24">
      <c r="K239" s="2"/>
      <c r="L239" s="2"/>
      <c r="M239" s="2"/>
      <c r="N239" s="2"/>
      <c r="S239" s="2"/>
      <c r="T239" s="2"/>
      <c r="U239" s="2"/>
      <c r="V239" s="2"/>
      <c r="W239" s="2"/>
      <c r="X239" s="2"/>
    </row>
    <row r="240" spans="11:24">
      <c r="K240" s="2"/>
      <c r="L240" s="2"/>
      <c r="M240" s="2"/>
      <c r="N240" s="2"/>
      <c r="S240" s="2"/>
      <c r="T240" s="2"/>
      <c r="U240" s="2"/>
      <c r="V240" s="2"/>
      <c r="W240" s="2"/>
      <c r="X240" s="2"/>
    </row>
    <row r="241" spans="11:24">
      <c r="K241" s="2"/>
      <c r="L241" s="2"/>
      <c r="M241" s="2"/>
      <c r="N241" s="2"/>
      <c r="S241" s="2"/>
      <c r="T241" s="2"/>
      <c r="U241" s="2"/>
      <c r="V241" s="2"/>
      <c r="W241" s="2"/>
      <c r="X241" s="2"/>
    </row>
  </sheetData>
  <mergeCells count="102">
    <mergeCell ref="I181:I182"/>
    <mergeCell ref="B197:B198"/>
    <mergeCell ref="C197:E197"/>
    <mergeCell ref="F197:F198"/>
    <mergeCell ref="G197:G198"/>
    <mergeCell ref="H197:H198"/>
    <mergeCell ref="I179:I180"/>
    <mergeCell ref="J179:J180"/>
    <mergeCell ref="K179:K180"/>
    <mergeCell ref="B175:F175"/>
    <mergeCell ref="B179:B180"/>
    <mergeCell ref="C179:E179"/>
    <mergeCell ref="F179:F180"/>
    <mergeCell ref="G179:G180"/>
    <mergeCell ref="H179:H180"/>
    <mergeCell ref="Q139:S139"/>
    <mergeCell ref="I141:I142"/>
    <mergeCell ref="B157:B158"/>
    <mergeCell ref="C157:E157"/>
    <mergeCell ref="F157:F158"/>
    <mergeCell ref="G157:G158"/>
    <mergeCell ref="H157:H158"/>
    <mergeCell ref="I139:I140"/>
    <mergeCell ref="J139:J140"/>
    <mergeCell ref="K139:K140"/>
    <mergeCell ref="L139:M139"/>
    <mergeCell ref="N139:N140"/>
    <mergeCell ref="O139:P139"/>
    <mergeCell ref="Q179:S179"/>
    <mergeCell ref="L179:M179"/>
    <mergeCell ref="N179:N180"/>
    <mergeCell ref="O179:P179"/>
    <mergeCell ref="B135:F135"/>
    <mergeCell ref="B139:B140"/>
    <mergeCell ref="C139:E139"/>
    <mergeCell ref="F139:F140"/>
    <mergeCell ref="G139:G140"/>
    <mergeCell ref="H139:H14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B95:F95"/>
    <mergeCell ref="B99:B100"/>
    <mergeCell ref="C99:E99"/>
    <mergeCell ref="F99:F100"/>
    <mergeCell ref="G99:G100"/>
    <mergeCell ref="H99:H100"/>
    <mergeCell ref="K74:K75"/>
    <mergeCell ref="L74:M74"/>
    <mergeCell ref="N74:N75"/>
    <mergeCell ref="AP9:AP10"/>
    <mergeCell ref="B17:B18"/>
    <mergeCell ref="C17:E17"/>
    <mergeCell ref="F17:F18"/>
    <mergeCell ref="G17:G18"/>
    <mergeCell ref="H17:H18"/>
    <mergeCell ref="O74:P74"/>
    <mergeCell ref="R74:U74"/>
    <mergeCell ref="B80:B81"/>
    <mergeCell ref="C80:E80"/>
    <mergeCell ref="F80:F81"/>
    <mergeCell ref="G80:G81"/>
    <mergeCell ref="H80:H81"/>
    <mergeCell ref="B38:B39"/>
    <mergeCell ref="C38:E38"/>
    <mergeCell ref="F38:F39"/>
    <mergeCell ref="G38:G39"/>
    <mergeCell ref="H38:H39"/>
    <mergeCell ref="B59:B60"/>
    <mergeCell ref="C59:E59"/>
    <mergeCell ref="F59:F60"/>
    <mergeCell ref="G59:G60"/>
    <mergeCell ref="H59:H60"/>
    <mergeCell ref="K7:K8"/>
    <mergeCell ref="L7:M7"/>
    <mergeCell ref="N7:N8"/>
    <mergeCell ref="O7:P7"/>
    <mergeCell ref="Q7:S7"/>
    <mergeCell ref="I9:I10"/>
    <mergeCell ref="B3:F3"/>
    <mergeCell ref="B4:D4"/>
    <mergeCell ref="AN5:AN6"/>
    <mergeCell ref="B7:B8"/>
    <mergeCell ref="C7:E7"/>
    <mergeCell ref="F7:F8"/>
    <mergeCell ref="G7:G8"/>
    <mergeCell ref="H7:H8"/>
    <mergeCell ref="I7:I8"/>
    <mergeCell ref="J7:J8"/>
    <mergeCell ref="AJ9:AJ10"/>
    <mergeCell ref="AL9:AL10"/>
    <mergeCell ref="AN9:AN10"/>
  </mergeCells>
  <pageMargins left="0.7" right="0.7" top="0.75" bottom="0.75" header="0.3" footer="0.3"/>
  <pageSetup paperSize="9" scale="3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FBED-1018-43F5-BD2D-C20B6354CD3D}">
  <sheetPr codeName="Sheet11"/>
  <dimension ref="A1:AP201"/>
  <sheetViews>
    <sheetView view="pageBreakPreview" topLeftCell="A13" zoomScale="70" zoomScaleNormal="25" zoomScaleSheetLayoutView="70" workbookViewId="0">
      <selection activeCell="M35" sqref="M35"/>
    </sheetView>
  </sheetViews>
  <sheetFormatPr defaultColWidth="9.1796875" defaultRowHeight="14.5"/>
  <cols>
    <col min="1" max="1" width="9.1796875" style="3"/>
    <col min="2" max="2" width="13.7265625" style="2" customWidth="1"/>
    <col min="3" max="3" width="14.26953125" style="2" customWidth="1"/>
    <col min="4" max="4" width="12.453125" style="2" customWidth="1"/>
    <col min="5" max="5" width="11.26953125" style="2" customWidth="1"/>
    <col min="6" max="6" width="15" style="2" customWidth="1"/>
    <col min="7" max="7" width="15.7265625" style="2" customWidth="1"/>
    <col min="8" max="8" width="13" style="2" customWidth="1"/>
    <col min="9" max="9" width="9.26953125" style="2" customWidth="1"/>
    <col min="10" max="10" width="11.81640625" style="2" customWidth="1"/>
    <col min="11" max="11" width="12.7265625" style="3" customWidth="1"/>
    <col min="12" max="12" width="19.26953125" style="3" customWidth="1"/>
    <col min="13" max="13" width="13.54296875" style="3" customWidth="1"/>
    <col min="14" max="14" width="11.1796875" style="3" customWidth="1"/>
    <col min="15" max="16" width="10.54296875" style="2" customWidth="1"/>
    <col min="17" max="18" width="10.26953125" style="2" customWidth="1"/>
    <col min="19" max="19" width="10.26953125" style="3" customWidth="1"/>
    <col min="20" max="20" width="4" style="3" customWidth="1"/>
    <col min="21" max="22" width="21.7265625" style="3" hidden="1" customWidth="1"/>
    <col min="23" max="23" width="4.54296875" style="3" hidden="1" customWidth="1"/>
    <col min="24" max="24" width="21.7265625" style="3" hidden="1" customWidth="1"/>
    <col min="25" max="25" width="16" style="3" hidden="1" customWidth="1"/>
    <col min="26" max="28" width="16" style="3" customWidth="1"/>
    <col min="29" max="29" width="13.26953125" style="3" customWidth="1"/>
    <col min="30" max="31" width="16.7265625" style="3" customWidth="1"/>
    <col min="32" max="32" width="5.26953125" style="3" customWidth="1"/>
    <col min="33" max="35" width="4.81640625" style="3" customWidth="1"/>
    <col min="36" max="36" width="15.7265625" style="3" customWidth="1"/>
    <col min="37" max="37" width="9.1796875" style="3" customWidth="1"/>
    <col min="38" max="38" width="16.26953125" style="3" customWidth="1"/>
    <col min="39" max="39" width="9.1796875" style="3" customWidth="1"/>
    <col min="40" max="40" width="35.81640625" style="3" customWidth="1"/>
    <col min="41" max="41" width="14.81640625" style="3" customWidth="1"/>
    <col min="42" max="42" width="24.26953125" style="3" bestFit="1" customWidth="1"/>
    <col min="43" max="43" width="9.453125" style="3" bestFit="1" customWidth="1"/>
    <col min="44" max="44" width="9.1796875" style="3" customWidth="1"/>
    <col min="45" max="16384" width="9.1796875" style="3"/>
  </cols>
  <sheetData>
    <row r="1" spans="1:42" s="5" customFormat="1">
      <c r="B1" s="4"/>
      <c r="C1" s="4"/>
      <c r="D1" s="4"/>
      <c r="E1" s="4"/>
      <c r="F1" s="4"/>
      <c r="G1" s="4"/>
      <c r="H1" s="4"/>
      <c r="I1" s="4"/>
      <c r="J1" s="4"/>
      <c r="O1" s="4"/>
      <c r="P1" s="4"/>
      <c r="Q1" s="4"/>
      <c r="R1" s="4"/>
    </row>
    <row r="2" spans="1:42" s="5" customFormat="1" ht="15" thickBot="1">
      <c r="B2" s="4"/>
      <c r="C2" s="4"/>
      <c r="D2" s="4"/>
      <c r="E2" s="4"/>
      <c r="F2" s="4"/>
      <c r="G2" s="4"/>
      <c r="H2" s="4"/>
      <c r="I2" s="4"/>
      <c r="J2" s="4"/>
      <c r="O2" s="4"/>
      <c r="P2" s="4"/>
      <c r="Q2" s="4"/>
      <c r="R2" s="4"/>
    </row>
    <row r="3" spans="1:42" ht="39.75" customHeight="1">
      <c r="A3" s="13"/>
      <c r="B3" s="654" t="s">
        <v>105</v>
      </c>
      <c r="C3" s="655"/>
      <c r="D3" s="655"/>
      <c r="E3" s="655"/>
      <c r="F3" s="656"/>
      <c r="G3" s="14"/>
      <c r="H3" s="15"/>
      <c r="I3" s="4"/>
      <c r="J3" s="458" t="s">
        <v>106</v>
      </c>
      <c r="K3" s="458"/>
      <c r="L3" s="5"/>
      <c r="M3" s="5"/>
      <c r="N3" s="5"/>
      <c r="O3" s="5"/>
      <c r="P3" s="5"/>
      <c r="Q3" s="5"/>
      <c r="R3" s="5"/>
      <c r="S3" s="5"/>
    </row>
    <row r="4" spans="1:42" ht="20.149999999999999" customHeight="1">
      <c r="A4" s="16"/>
      <c r="B4" s="658"/>
      <c r="C4" s="658"/>
      <c r="D4" s="658"/>
      <c r="E4" s="4"/>
      <c r="F4" s="4"/>
      <c r="G4" s="4"/>
      <c r="H4" s="17"/>
      <c r="I4" s="4"/>
      <c r="J4" s="5"/>
      <c r="K4" s="5"/>
      <c r="L4" s="5"/>
      <c r="M4" s="5"/>
      <c r="N4" s="5"/>
      <c r="O4" s="5"/>
      <c r="P4" s="5"/>
      <c r="Q4" s="5"/>
      <c r="R4" s="5"/>
      <c r="S4" s="5"/>
    </row>
    <row r="5" spans="1:42" ht="27.75" customHeight="1">
      <c r="A5" s="16"/>
      <c r="B5" s="41" t="s">
        <v>107</v>
      </c>
      <c r="C5" s="42"/>
      <c r="D5" s="42"/>
      <c r="E5" s="42"/>
      <c r="F5" s="42"/>
      <c r="G5" s="42" t="s">
        <v>108</v>
      </c>
      <c r="H5" s="18"/>
      <c r="I5" s="6"/>
      <c r="J5" s="5"/>
      <c r="K5" s="5"/>
      <c r="L5" s="5"/>
      <c r="M5" s="5"/>
      <c r="N5" s="5"/>
      <c r="O5" s="5"/>
      <c r="P5" s="5"/>
      <c r="Q5" s="5"/>
      <c r="R5" s="5"/>
      <c r="S5" s="5"/>
      <c r="AG5" s="55"/>
      <c r="AN5" s="660"/>
    </row>
    <row r="6" spans="1:42" ht="20.149999999999999" customHeight="1">
      <c r="A6" s="16"/>
      <c r="B6" s="4"/>
      <c r="C6" s="6"/>
      <c r="D6" s="4"/>
      <c r="E6" s="4"/>
      <c r="F6" s="4"/>
      <c r="G6" s="4"/>
      <c r="H6" s="17"/>
      <c r="I6" s="4"/>
      <c r="J6" s="5"/>
      <c r="K6" s="5"/>
      <c r="L6" s="5"/>
      <c r="M6" s="5"/>
      <c r="N6" s="5"/>
      <c r="O6" s="5"/>
      <c r="P6" s="5"/>
      <c r="Q6" s="5"/>
      <c r="R6" s="5"/>
      <c r="S6" s="5"/>
      <c r="AG6" s="55"/>
      <c r="AN6" s="660"/>
    </row>
    <row r="7" spans="1:42" ht="96.75" customHeight="1">
      <c r="A7" s="16"/>
      <c r="B7" s="684" t="s">
        <v>109</v>
      </c>
      <c r="C7" s="684" t="s">
        <v>110</v>
      </c>
      <c r="D7" s="684"/>
      <c r="E7" s="684"/>
      <c r="F7" s="696" t="s">
        <v>111</v>
      </c>
      <c r="G7" s="684" t="s">
        <v>112</v>
      </c>
      <c r="H7" s="690" t="s">
        <v>113</v>
      </c>
      <c r="I7" s="698" t="s">
        <v>114</v>
      </c>
      <c r="J7" s="692" t="s">
        <v>115</v>
      </c>
      <c r="K7" s="684" t="s">
        <v>807</v>
      </c>
      <c r="L7" s="684" t="s">
        <v>808</v>
      </c>
      <c r="M7" s="684"/>
      <c r="N7" s="684" t="s">
        <v>118</v>
      </c>
      <c r="O7" s="684" t="s">
        <v>119</v>
      </c>
      <c r="P7" s="684"/>
      <c r="Q7" s="686" t="s">
        <v>120</v>
      </c>
      <c r="R7" s="687"/>
      <c r="S7" s="688"/>
      <c r="AG7" s="55"/>
    </row>
    <row r="8" spans="1:42" ht="75.75" customHeight="1">
      <c r="A8" s="16"/>
      <c r="B8" s="684"/>
      <c r="C8" s="459" t="s">
        <v>121</v>
      </c>
      <c r="D8" s="459" t="s">
        <v>122</v>
      </c>
      <c r="E8" s="459" t="s">
        <v>123</v>
      </c>
      <c r="F8" s="650"/>
      <c r="G8" s="684"/>
      <c r="H8" s="690"/>
      <c r="I8" s="636"/>
      <c r="J8" s="697"/>
      <c r="K8" s="696"/>
      <c r="L8" s="496" t="s">
        <v>124</v>
      </c>
      <c r="M8" s="496" t="s">
        <v>125</v>
      </c>
      <c r="N8" s="696"/>
      <c r="O8" s="496" t="s">
        <v>126</v>
      </c>
      <c r="P8" s="496" t="s">
        <v>127</v>
      </c>
      <c r="Q8" s="496" t="s">
        <v>128</v>
      </c>
      <c r="R8" s="496" t="s">
        <v>126</v>
      </c>
      <c r="S8" s="496" t="s">
        <v>127</v>
      </c>
      <c r="AG8" s="55"/>
    </row>
    <row r="9" spans="1:42" ht="29.25" customHeight="1">
      <c r="A9" s="16"/>
      <c r="B9" s="488" t="s">
        <v>129</v>
      </c>
      <c r="C9" s="497">
        <v>479</v>
      </c>
      <c r="D9" s="497">
        <v>370</v>
      </c>
      <c r="E9" s="497">
        <v>315</v>
      </c>
      <c r="F9" s="497">
        <v>0.127</v>
      </c>
      <c r="G9" s="497">
        <v>8.7499999999999994E-2</v>
      </c>
      <c r="H9" s="462">
        <v>27</v>
      </c>
      <c r="I9" s="699" t="s">
        <v>130</v>
      </c>
      <c r="J9" s="463" t="s">
        <v>131</v>
      </c>
      <c r="K9" s="464">
        <v>1</v>
      </c>
      <c r="L9" s="465">
        <v>0.9</v>
      </c>
      <c r="M9" s="464">
        <v>0.66</v>
      </c>
      <c r="N9" s="464" t="s">
        <v>132</v>
      </c>
      <c r="O9" s="464" t="s">
        <v>132</v>
      </c>
      <c r="P9" s="464" t="s">
        <v>132</v>
      </c>
      <c r="Q9" s="466"/>
      <c r="R9" s="466"/>
      <c r="S9" s="466"/>
      <c r="AJ9" s="660"/>
      <c r="AL9" s="660"/>
      <c r="AN9" s="660"/>
      <c r="AP9" s="660"/>
    </row>
    <row r="10" spans="1:42" ht="29.25" customHeight="1">
      <c r="A10" s="16"/>
      <c r="B10" s="488" t="s">
        <v>133</v>
      </c>
      <c r="C10" s="497">
        <v>569</v>
      </c>
      <c r="D10" s="497">
        <v>424</v>
      </c>
      <c r="E10" s="497">
        <v>350</v>
      </c>
      <c r="F10" s="497">
        <v>9.6500000000000002E-2</v>
      </c>
      <c r="G10" s="497">
        <v>8.6599999999999996E-2</v>
      </c>
      <c r="H10" s="462">
        <v>29</v>
      </c>
      <c r="I10" s="662"/>
      <c r="J10" s="498" t="s">
        <v>123</v>
      </c>
      <c r="K10" s="499" t="s">
        <v>132</v>
      </c>
      <c r="L10" s="500">
        <v>0.74</v>
      </c>
      <c r="M10" s="499">
        <v>0.71</v>
      </c>
      <c r="N10" s="499">
        <v>0.96</v>
      </c>
      <c r="O10" s="499">
        <v>0.98</v>
      </c>
      <c r="P10" s="499">
        <v>0.98</v>
      </c>
      <c r="Q10" s="470">
        <v>1.5</v>
      </c>
      <c r="R10" s="471">
        <v>1.0900000000000001</v>
      </c>
      <c r="S10" s="235">
        <v>1.05</v>
      </c>
      <c r="AJ10" s="660"/>
      <c r="AL10" s="660"/>
      <c r="AN10" s="660"/>
      <c r="AP10" s="660"/>
    </row>
    <row r="11" spans="1:42" ht="38.25" customHeight="1">
      <c r="A11" s="16"/>
      <c r="B11" s="488" t="s">
        <v>134</v>
      </c>
      <c r="C11" s="497">
        <v>659</v>
      </c>
      <c r="D11" s="497">
        <v>470</v>
      </c>
      <c r="E11" s="497">
        <v>389</v>
      </c>
      <c r="F11" s="497">
        <v>7.6899999999999996E-2</v>
      </c>
      <c r="G11" s="497">
        <v>8.5699999999999998E-2</v>
      </c>
      <c r="H11" s="462">
        <v>32</v>
      </c>
      <c r="I11" s="4"/>
      <c r="J11" s="472" t="s">
        <v>122</v>
      </c>
      <c r="K11" s="464" t="s">
        <v>132</v>
      </c>
      <c r="L11" s="464">
        <v>0.61</v>
      </c>
      <c r="M11" s="464">
        <v>0.54</v>
      </c>
      <c r="N11" s="464">
        <v>0.96</v>
      </c>
      <c r="O11" s="464">
        <v>0.98</v>
      </c>
      <c r="P11" s="464">
        <v>0.98</v>
      </c>
      <c r="Q11" s="470">
        <v>2.5</v>
      </c>
      <c r="R11" s="471">
        <v>1.0900000000000001</v>
      </c>
      <c r="S11" s="235">
        <v>1.05</v>
      </c>
      <c r="AJ11" s="1"/>
      <c r="AL11" s="2"/>
      <c r="AN11" s="1"/>
      <c r="AP11" s="1"/>
    </row>
    <row r="12" spans="1:42" ht="38.25" customHeight="1">
      <c r="A12" s="16"/>
      <c r="B12" s="488" t="s">
        <v>135</v>
      </c>
      <c r="C12" s="497">
        <v>769</v>
      </c>
      <c r="D12" s="497">
        <v>556</v>
      </c>
      <c r="E12" s="497">
        <v>466</v>
      </c>
      <c r="F12" s="497">
        <v>6.0199999999999997E-2</v>
      </c>
      <c r="G12" s="497">
        <v>8.5500000000000007E-2</v>
      </c>
      <c r="H12" s="462">
        <v>36</v>
      </c>
      <c r="I12" s="4"/>
      <c r="J12" s="501" t="s">
        <v>136</v>
      </c>
      <c r="K12" s="464">
        <v>1</v>
      </c>
      <c r="L12" s="474">
        <v>0.81</v>
      </c>
      <c r="M12" s="474">
        <v>0.78</v>
      </c>
      <c r="N12" s="464" t="s">
        <v>132</v>
      </c>
      <c r="O12" s="464" t="s">
        <v>132</v>
      </c>
      <c r="P12" s="464" t="s">
        <v>132</v>
      </c>
      <c r="Q12" s="470">
        <v>4</v>
      </c>
      <c r="R12" s="471">
        <v>1.0900000000000001</v>
      </c>
      <c r="S12" s="235">
        <v>1.05</v>
      </c>
      <c r="AJ12" s="1"/>
      <c r="AL12" s="2"/>
      <c r="AN12" s="1"/>
      <c r="AP12" s="1"/>
    </row>
    <row r="13" spans="1:42" ht="49.5" customHeight="1">
      <c r="A13" s="16"/>
      <c r="B13" s="488" t="s">
        <v>137</v>
      </c>
      <c r="C13" s="497">
        <v>877</v>
      </c>
      <c r="D13" s="497">
        <v>620</v>
      </c>
      <c r="E13" s="497">
        <v>518</v>
      </c>
      <c r="F13" s="497">
        <v>4.6800000000000001E-2</v>
      </c>
      <c r="G13" s="497">
        <v>8.5099999999999995E-2</v>
      </c>
      <c r="H13" s="462">
        <v>40</v>
      </c>
      <c r="I13" s="4"/>
      <c r="Q13" s="470">
        <v>6</v>
      </c>
      <c r="R13" s="471">
        <v>1.0900000000000001</v>
      </c>
      <c r="S13" s="235">
        <v>1.05</v>
      </c>
      <c r="AJ13" s="1"/>
      <c r="AL13" s="1"/>
      <c r="AN13" s="1"/>
      <c r="AP13" s="1"/>
    </row>
    <row r="14" spans="1:42" ht="49.5" customHeight="1">
      <c r="A14" s="16"/>
      <c r="B14" s="488" t="s">
        <v>138</v>
      </c>
      <c r="C14" s="497">
        <v>1013</v>
      </c>
      <c r="D14" s="497">
        <v>695</v>
      </c>
      <c r="E14" s="497">
        <v>555</v>
      </c>
      <c r="F14" s="497">
        <v>3.6200000000000003E-2</v>
      </c>
      <c r="G14" s="497">
        <v>8.43E-2</v>
      </c>
      <c r="H14" s="462">
        <v>44</v>
      </c>
      <c r="Q14" s="470">
        <v>10</v>
      </c>
      <c r="R14" s="471">
        <v>1.0900000000000001</v>
      </c>
      <c r="S14" s="235">
        <v>1.06</v>
      </c>
      <c r="AJ14" s="1"/>
      <c r="AL14" s="1"/>
      <c r="AN14" s="1"/>
      <c r="AP14" s="1"/>
    </row>
    <row r="15" spans="1:42" ht="19.5" customHeight="1">
      <c r="A15" s="16"/>
      <c r="B15" s="475"/>
      <c r="C15" s="475"/>
      <c r="D15" s="475"/>
      <c r="E15" s="475"/>
      <c r="F15" s="475"/>
      <c r="G15" s="475"/>
      <c r="H15" s="476"/>
      <c r="Q15" s="470">
        <v>16</v>
      </c>
      <c r="R15" s="471">
        <v>1.0900000000000001</v>
      </c>
      <c r="S15" s="235">
        <v>1.06</v>
      </c>
      <c r="AJ15" s="1"/>
      <c r="AL15" s="2"/>
      <c r="AN15" s="1"/>
      <c r="AP15" s="1"/>
    </row>
    <row r="16" spans="1:42" ht="19.5" customHeight="1">
      <c r="A16" s="16"/>
      <c r="B16" s="41" t="s">
        <v>139</v>
      </c>
      <c r="C16" s="42"/>
      <c r="D16" s="42"/>
      <c r="E16" s="42"/>
      <c r="F16" s="42"/>
      <c r="G16" s="42" t="s">
        <v>108</v>
      </c>
      <c r="H16" s="476"/>
      <c r="Q16" s="470">
        <v>25</v>
      </c>
      <c r="R16" s="471">
        <v>1.0900000000000001</v>
      </c>
      <c r="S16" s="235">
        <v>1.08</v>
      </c>
      <c r="AJ16" s="1"/>
      <c r="AL16" s="2"/>
      <c r="AN16" s="1"/>
      <c r="AP16" s="1"/>
    </row>
    <row r="17" spans="1:42" ht="30.75" customHeight="1">
      <c r="A17" s="16"/>
      <c r="B17" s="684" t="s">
        <v>109</v>
      </c>
      <c r="C17" s="684" t="s">
        <v>110</v>
      </c>
      <c r="D17" s="684"/>
      <c r="E17" s="684"/>
      <c r="F17" s="696" t="s">
        <v>111</v>
      </c>
      <c r="G17" s="684" t="s">
        <v>112</v>
      </c>
      <c r="H17" s="690" t="s">
        <v>113</v>
      </c>
      <c r="K17" s="2"/>
      <c r="Q17" s="470">
        <v>35</v>
      </c>
      <c r="R17" s="471">
        <v>1.0900000000000001</v>
      </c>
      <c r="S17" s="235">
        <v>1.08</v>
      </c>
      <c r="AJ17" s="1"/>
      <c r="AL17" s="2"/>
      <c r="AN17" s="1"/>
      <c r="AP17" s="1"/>
    </row>
    <row r="18" spans="1:42" ht="30" customHeight="1">
      <c r="A18" s="16"/>
      <c r="B18" s="684"/>
      <c r="C18" s="459" t="s">
        <v>121</v>
      </c>
      <c r="D18" s="459" t="s">
        <v>122</v>
      </c>
      <c r="E18" s="459" t="s">
        <v>123</v>
      </c>
      <c r="F18" s="650"/>
      <c r="G18" s="684"/>
      <c r="H18" s="690"/>
      <c r="I18" s="4"/>
      <c r="K18" s="2"/>
      <c r="Q18" s="470">
        <v>50</v>
      </c>
      <c r="R18" s="471">
        <v>1.0900000000000001</v>
      </c>
      <c r="S18" s="235">
        <v>1.08</v>
      </c>
      <c r="AJ18" s="1"/>
      <c r="AL18" s="2"/>
      <c r="AN18" s="1"/>
      <c r="AP18" s="1"/>
    </row>
    <row r="19" spans="1:42" ht="19.5" customHeight="1">
      <c r="A19" s="16"/>
      <c r="B19" s="470" t="s">
        <v>140</v>
      </c>
      <c r="C19" s="470">
        <v>29</v>
      </c>
      <c r="D19" s="470">
        <v>33</v>
      </c>
      <c r="E19" s="470">
        <v>29</v>
      </c>
      <c r="F19" s="470">
        <v>15.5</v>
      </c>
      <c r="G19" s="470">
        <v>0.108</v>
      </c>
      <c r="H19" s="478">
        <v>12</v>
      </c>
      <c r="I19" s="7"/>
      <c r="K19" s="2"/>
      <c r="Q19" s="470">
        <v>70</v>
      </c>
      <c r="R19" s="479">
        <v>1.1000000000000001</v>
      </c>
      <c r="S19" s="235">
        <v>1.08</v>
      </c>
      <c r="AJ19" s="1"/>
      <c r="AL19" s="2"/>
      <c r="AN19" s="1"/>
      <c r="AP19" s="1"/>
    </row>
    <row r="20" spans="1:42" ht="19.5" customHeight="1">
      <c r="A20" s="16"/>
      <c r="B20" s="488" t="s">
        <v>141</v>
      </c>
      <c r="C20" s="488">
        <v>39</v>
      </c>
      <c r="D20" s="488">
        <v>43</v>
      </c>
      <c r="E20" s="488">
        <v>37</v>
      </c>
      <c r="F20" s="488">
        <v>9.48</v>
      </c>
      <c r="G20" s="488">
        <v>0.1007</v>
      </c>
      <c r="H20" s="480">
        <v>13</v>
      </c>
      <c r="I20" s="7"/>
      <c r="K20" s="2"/>
      <c r="Q20" s="470">
        <v>95</v>
      </c>
      <c r="R20" s="479">
        <v>1.1000000000000001</v>
      </c>
      <c r="S20" s="235">
        <v>1.08</v>
      </c>
      <c r="AJ20" s="1"/>
      <c r="AN20" s="1"/>
      <c r="AP20" s="1"/>
    </row>
    <row r="21" spans="1:42" ht="19.5" customHeight="1">
      <c r="A21" s="16"/>
      <c r="B21" s="488" t="s">
        <v>142</v>
      </c>
      <c r="C21" s="488">
        <v>48</v>
      </c>
      <c r="D21" s="488">
        <v>54</v>
      </c>
      <c r="E21" s="488">
        <v>46</v>
      </c>
      <c r="F21" s="488">
        <v>5.9</v>
      </c>
      <c r="G21" s="488">
        <v>9.4700000000000006E-2</v>
      </c>
      <c r="H21" s="480">
        <v>14</v>
      </c>
      <c r="I21" s="7"/>
      <c r="K21" s="2"/>
      <c r="O21" s="3"/>
      <c r="Q21" s="470">
        <v>120</v>
      </c>
      <c r="R21" s="479">
        <v>1.1000000000000001</v>
      </c>
      <c r="S21" s="235">
        <v>1.08</v>
      </c>
      <c r="AJ21" s="1"/>
      <c r="AN21" s="1"/>
      <c r="AP21" s="1"/>
    </row>
    <row r="22" spans="1:42" ht="19.5" customHeight="1">
      <c r="A22" s="16"/>
      <c r="B22" s="488" t="s">
        <v>143</v>
      </c>
      <c r="C22" s="488">
        <v>59</v>
      </c>
      <c r="D22" s="488">
        <v>66</v>
      </c>
      <c r="E22" s="488">
        <v>58</v>
      </c>
      <c r="F22" s="488">
        <v>3.94</v>
      </c>
      <c r="G22" s="488">
        <v>9.0200000000000002E-2</v>
      </c>
      <c r="H22" s="480">
        <v>15</v>
      </c>
      <c r="I22" s="7"/>
      <c r="O22" s="3"/>
      <c r="Q22" s="470">
        <v>150</v>
      </c>
      <c r="R22" s="479">
        <v>1.1000000000000001</v>
      </c>
      <c r="S22" s="235">
        <v>1.0900000000000001</v>
      </c>
      <c r="AJ22" s="1"/>
      <c r="AN22" s="1"/>
      <c r="AP22" s="1"/>
    </row>
    <row r="23" spans="1:42" ht="19.5" customHeight="1">
      <c r="A23" s="16"/>
      <c r="B23" s="488" t="s">
        <v>144</v>
      </c>
      <c r="C23" s="497">
        <v>82</v>
      </c>
      <c r="D23" s="497">
        <v>90</v>
      </c>
      <c r="E23" s="497">
        <v>75</v>
      </c>
      <c r="F23" s="497">
        <v>2.34</v>
      </c>
      <c r="G23" s="497">
        <v>8.5199999999999998E-2</v>
      </c>
      <c r="H23" s="480">
        <v>17</v>
      </c>
      <c r="I23" s="7"/>
      <c r="O23" s="3"/>
      <c r="Q23" s="470">
        <v>185</v>
      </c>
      <c r="R23" s="479">
        <v>1.1000000000000001</v>
      </c>
      <c r="S23" s="235">
        <v>1.0900000000000001</v>
      </c>
      <c r="AJ23" s="1"/>
      <c r="AN23" s="1"/>
      <c r="AP23" s="1"/>
    </row>
    <row r="24" spans="1:42" ht="19.5" customHeight="1">
      <c r="A24" s="16"/>
      <c r="B24" s="488" t="s">
        <v>145</v>
      </c>
      <c r="C24" s="497">
        <v>113</v>
      </c>
      <c r="D24" s="497">
        <v>114</v>
      </c>
      <c r="E24" s="497">
        <v>95</v>
      </c>
      <c r="F24" s="497">
        <v>1.47</v>
      </c>
      <c r="G24" s="497">
        <v>8.1500000000000003E-2</v>
      </c>
      <c r="H24" s="480">
        <v>18</v>
      </c>
      <c r="I24" s="7"/>
      <c r="Q24" s="470">
        <v>240</v>
      </c>
      <c r="R24" s="479">
        <v>1.1000000000000001</v>
      </c>
      <c r="S24" s="235">
        <v>1.0900000000000001</v>
      </c>
      <c r="AJ24" s="1"/>
      <c r="AN24" s="1"/>
      <c r="AP24" s="1"/>
    </row>
    <row r="25" spans="1:42" ht="19.5" customHeight="1">
      <c r="A25" s="16"/>
      <c r="B25" s="488" t="s">
        <v>146</v>
      </c>
      <c r="C25" s="497">
        <v>148</v>
      </c>
      <c r="D25" s="497">
        <v>147</v>
      </c>
      <c r="E25" s="497">
        <v>124</v>
      </c>
      <c r="F25" s="497">
        <v>0.93</v>
      </c>
      <c r="G25" s="497">
        <v>8.1000000000000003E-2</v>
      </c>
      <c r="H25" s="480">
        <v>21</v>
      </c>
      <c r="I25" s="7"/>
      <c r="Q25" s="470">
        <v>300</v>
      </c>
      <c r="R25" s="479">
        <v>1.1000000000000001</v>
      </c>
      <c r="S25" s="235">
        <v>1.0900000000000001</v>
      </c>
      <c r="AJ25" s="1"/>
      <c r="AN25" s="1"/>
      <c r="AP25" s="1"/>
    </row>
    <row r="26" spans="1:42" ht="19.5" customHeight="1">
      <c r="A26" s="16"/>
      <c r="B26" s="488" t="s">
        <v>147</v>
      </c>
      <c r="C26" s="497">
        <v>186</v>
      </c>
      <c r="D26" s="497">
        <v>177</v>
      </c>
      <c r="E26" s="497">
        <v>152</v>
      </c>
      <c r="F26" s="497">
        <v>0.67100000000000004</v>
      </c>
      <c r="G26" s="497">
        <v>7.9399999999999998E-2</v>
      </c>
      <c r="H26" s="480">
        <v>23</v>
      </c>
      <c r="I26" s="7"/>
      <c r="Q26" s="470">
        <v>400</v>
      </c>
      <c r="R26" s="471">
        <v>1.1100000000000001</v>
      </c>
      <c r="S26" s="481">
        <v>1.1000000000000001</v>
      </c>
      <c r="AJ26" s="1"/>
      <c r="AN26" s="1"/>
      <c r="AP26" s="1"/>
    </row>
    <row r="27" spans="1:42" ht="19.5" customHeight="1">
      <c r="A27" s="16"/>
      <c r="B27" s="488" t="s">
        <v>148</v>
      </c>
      <c r="C27" s="497">
        <v>221</v>
      </c>
      <c r="D27" s="497">
        <v>210</v>
      </c>
      <c r="E27" s="497">
        <v>185</v>
      </c>
      <c r="F27" s="497">
        <v>0.495</v>
      </c>
      <c r="G27" s="497">
        <v>7.9200000000000007E-2</v>
      </c>
      <c r="H27" s="480">
        <v>25</v>
      </c>
      <c r="I27" s="7"/>
      <c r="Q27" s="470">
        <v>500</v>
      </c>
      <c r="R27" s="471">
        <v>1.1100000000000001</v>
      </c>
      <c r="S27" s="481">
        <v>1.1000000000000001</v>
      </c>
      <c r="AJ27" s="1"/>
      <c r="AN27" s="1"/>
      <c r="AP27" s="1"/>
    </row>
    <row r="28" spans="1:42" ht="19.5" customHeight="1">
      <c r="A28" s="16"/>
      <c r="B28" s="488" t="s">
        <v>149</v>
      </c>
      <c r="C28" s="497">
        <v>278</v>
      </c>
      <c r="D28" s="497">
        <v>260</v>
      </c>
      <c r="E28" s="497">
        <v>228</v>
      </c>
      <c r="F28" s="497">
        <v>0.31900000000000001</v>
      </c>
      <c r="G28" s="497">
        <v>7.5200000000000003E-2</v>
      </c>
      <c r="H28" s="480">
        <v>28</v>
      </c>
      <c r="I28" s="7"/>
      <c r="Q28" s="470">
        <v>630</v>
      </c>
      <c r="R28" s="471">
        <v>1.1100000000000001</v>
      </c>
      <c r="S28" s="481">
        <v>1.1000000000000001</v>
      </c>
      <c r="AJ28" s="1"/>
      <c r="AN28" s="1"/>
      <c r="AP28" s="1"/>
    </row>
    <row r="29" spans="1:42" ht="19.5" customHeight="1">
      <c r="A29" s="16"/>
      <c r="B29" s="488" t="s">
        <v>150</v>
      </c>
      <c r="C29" s="497">
        <v>338</v>
      </c>
      <c r="D29" s="497">
        <v>309</v>
      </c>
      <c r="E29" s="497">
        <v>277</v>
      </c>
      <c r="F29" s="497">
        <v>0.247</v>
      </c>
      <c r="G29" s="497">
        <v>7.3400000000000007E-2</v>
      </c>
      <c r="H29" s="480">
        <v>32</v>
      </c>
      <c r="I29" s="7"/>
      <c r="AJ29" s="1"/>
      <c r="AN29" s="1"/>
      <c r="AP29" s="1"/>
    </row>
    <row r="30" spans="1:42" ht="19.5" customHeight="1">
      <c r="A30" s="16"/>
      <c r="B30" s="488" t="s">
        <v>151</v>
      </c>
      <c r="C30" s="497">
        <v>402</v>
      </c>
      <c r="D30" s="497">
        <v>351</v>
      </c>
      <c r="E30" s="497">
        <v>300</v>
      </c>
      <c r="F30" s="497">
        <v>0.19600000000000001</v>
      </c>
      <c r="G30" s="497">
        <v>7.2599999999999998E-2</v>
      </c>
      <c r="H30" s="480">
        <v>34</v>
      </c>
      <c r="I30" s="7"/>
      <c r="AJ30" s="1"/>
      <c r="AN30" s="1"/>
      <c r="AP30" s="1"/>
    </row>
    <row r="31" spans="1:42" ht="19.5" customHeight="1">
      <c r="A31" s="16"/>
      <c r="B31" s="488" t="s">
        <v>152</v>
      </c>
      <c r="C31" s="497">
        <v>461</v>
      </c>
      <c r="D31" s="497">
        <v>392</v>
      </c>
      <c r="E31" s="497">
        <v>341</v>
      </c>
      <c r="F31" s="497">
        <v>0.159</v>
      </c>
      <c r="G31" s="497">
        <v>7.3200000000000001E-2</v>
      </c>
      <c r="H31" s="480">
        <v>37</v>
      </c>
      <c r="I31" s="7"/>
      <c r="AJ31" s="1"/>
      <c r="AN31" s="1"/>
      <c r="AP31" s="1"/>
    </row>
    <row r="32" spans="1:42" ht="57" customHeight="1">
      <c r="A32" s="16"/>
      <c r="B32" s="488" t="s">
        <v>153</v>
      </c>
      <c r="C32" s="497">
        <v>527</v>
      </c>
      <c r="D32" s="497">
        <v>448</v>
      </c>
      <c r="E32" s="497">
        <v>384</v>
      </c>
      <c r="F32" s="497">
        <v>0.127</v>
      </c>
      <c r="G32" s="497">
        <v>7.1999999999999995E-2</v>
      </c>
      <c r="H32" s="480">
        <v>42</v>
      </c>
      <c r="I32" s="7"/>
      <c r="AJ32" s="1"/>
      <c r="AN32" s="1"/>
      <c r="AP32" s="1"/>
    </row>
    <row r="33" spans="1:42" ht="19.5" customHeight="1">
      <c r="A33" s="16"/>
      <c r="B33" s="488" t="s">
        <v>154</v>
      </c>
      <c r="C33" s="497">
        <v>607</v>
      </c>
      <c r="D33" s="497">
        <v>509</v>
      </c>
      <c r="E33" s="497">
        <v>434</v>
      </c>
      <c r="F33" s="497">
        <v>9.6500000000000002E-2</v>
      </c>
      <c r="G33" s="497">
        <v>7.1900000000000006E-2</v>
      </c>
      <c r="H33" s="480">
        <v>47</v>
      </c>
      <c r="I33" s="7"/>
      <c r="AN33" s="1"/>
      <c r="AP33" s="1"/>
    </row>
    <row r="34" spans="1:42" ht="19.5" customHeight="1">
      <c r="A34" s="16"/>
      <c r="B34" s="488" t="s">
        <v>155</v>
      </c>
      <c r="C34" s="497">
        <v>688</v>
      </c>
      <c r="D34" s="497">
        <v>579</v>
      </c>
      <c r="E34" s="497">
        <v>495</v>
      </c>
      <c r="F34" s="497">
        <v>7.6899999999999996E-2</v>
      </c>
      <c r="G34" s="497">
        <v>7.1099999999999997E-2</v>
      </c>
      <c r="H34" s="480">
        <v>51</v>
      </c>
      <c r="I34" s="7"/>
      <c r="AN34" s="1"/>
      <c r="AP34" s="1"/>
    </row>
    <row r="35" spans="1:42" ht="19.5" customHeight="1">
      <c r="A35" s="16"/>
      <c r="B35" s="488" t="s">
        <v>156</v>
      </c>
      <c r="C35" s="497">
        <v>818</v>
      </c>
      <c r="D35" s="497">
        <v>638</v>
      </c>
      <c r="E35" s="497">
        <v>553</v>
      </c>
      <c r="F35" s="497">
        <v>6.0199999999999997E-2</v>
      </c>
      <c r="G35" s="497">
        <v>7.0499999999999993E-2</v>
      </c>
      <c r="H35" s="480">
        <v>57</v>
      </c>
      <c r="I35" s="7"/>
      <c r="AJ35" s="1"/>
      <c r="AN35" s="1"/>
      <c r="AP35" s="1"/>
    </row>
    <row r="36" spans="1:42" ht="19.5" customHeight="1">
      <c r="A36" s="16"/>
      <c r="B36" s="7"/>
      <c r="C36" s="5"/>
      <c r="D36" s="5"/>
      <c r="E36" s="5"/>
      <c r="F36" s="5"/>
      <c r="G36" s="4"/>
      <c r="H36" s="19"/>
      <c r="I36" s="7"/>
      <c r="AN36" s="1"/>
    </row>
    <row r="37" spans="1:42" ht="19.5" customHeight="1">
      <c r="A37" s="16"/>
      <c r="B37" s="484" t="s">
        <v>157</v>
      </c>
      <c r="C37" s="485"/>
      <c r="D37" s="485"/>
      <c r="E37" s="485"/>
      <c r="F37" s="485"/>
      <c r="G37" s="485" t="s">
        <v>108</v>
      </c>
      <c r="H37" s="486"/>
      <c r="I37" s="1"/>
      <c r="AN37" s="1"/>
    </row>
    <row r="38" spans="1:42" ht="32.25" customHeight="1">
      <c r="A38" s="16"/>
      <c r="B38" s="684" t="s">
        <v>109</v>
      </c>
      <c r="C38" s="684" t="s">
        <v>110</v>
      </c>
      <c r="D38" s="684"/>
      <c r="E38" s="684"/>
      <c r="F38" s="696" t="s">
        <v>111</v>
      </c>
      <c r="G38" s="684" t="s">
        <v>112</v>
      </c>
      <c r="H38" s="690" t="s">
        <v>113</v>
      </c>
      <c r="I38" s="1"/>
      <c r="AN38" s="1"/>
    </row>
    <row r="39" spans="1:42" ht="32.25" customHeight="1">
      <c r="A39" s="16"/>
      <c r="B39" s="684"/>
      <c r="C39" s="459" t="s">
        <v>121</v>
      </c>
      <c r="D39" s="459" t="s">
        <v>122</v>
      </c>
      <c r="E39" s="459" t="s">
        <v>123</v>
      </c>
      <c r="F39" s="650"/>
      <c r="G39" s="684"/>
      <c r="H39" s="690"/>
      <c r="I39" s="1"/>
    </row>
    <row r="40" spans="1:42" ht="19.5" customHeight="1">
      <c r="A40" s="16"/>
      <c r="B40" s="470" t="s">
        <v>158</v>
      </c>
      <c r="C40" s="470">
        <v>22</v>
      </c>
      <c r="D40" s="502">
        <v>25</v>
      </c>
      <c r="E40" s="470">
        <v>22</v>
      </c>
      <c r="F40" s="470">
        <v>15.5</v>
      </c>
      <c r="G40" s="470">
        <v>0.108</v>
      </c>
      <c r="H40" s="478">
        <v>13</v>
      </c>
      <c r="I40" s="1"/>
    </row>
    <row r="41" spans="1:42" ht="19.5" customHeight="1">
      <c r="A41" s="16"/>
      <c r="B41" s="488" t="s">
        <v>159</v>
      </c>
      <c r="C41" s="488">
        <v>28</v>
      </c>
      <c r="D41" s="497">
        <v>34</v>
      </c>
      <c r="E41" s="488">
        <v>28</v>
      </c>
      <c r="F41" s="488">
        <v>9.48</v>
      </c>
      <c r="G41" s="488">
        <v>0.1007</v>
      </c>
      <c r="H41" s="480">
        <v>14</v>
      </c>
      <c r="I41" s="1"/>
      <c r="K41" s="2"/>
      <c r="L41" s="2"/>
      <c r="M41" s="2"/>
      <c r="N41" s="2"/>
      <c r="S41" s="2"/>
      <c r="T41" s="2"/>
    </row>
    <row r="42" spans="1:42" ht="19.5" customHeight="1">
      <c r="A42" s="16"/>
      <c r="B42" s="488" t="s">
        <v>160</v>
      </c>
      <c r="C42" s="488">
        <v>38</v>
      </c>
      <c r="D42" s="497">
        <v>44</v>
      </c>
      <c r="E42" s="488">
        <v>37</v>
      </c>
      <c r="F42" s="488">
        <v>5.9</v>
      </c>
      <c r="G42" s="488">
        <v>9.4700000000000006E-2</v>
      </c>
      <c r="H42" s="480">
        <v>15</v>
      </c>
      <c r="I42" s="1"/>
      <c r="K42" s="2"/>
      <c r="L42" s="2"/>
      <c r="M42" s="2"/>
      <c r="N42" s="2"/>
      <c r="S42" s="2"/>
      <c r="T42" s="2"/>
    </row>
    <row r="43" spans="1:42" ht="19.5" customHeight="1">
      <c r="A43" s="16"/>
      <c r="B43" s="488" t="s">
        <v>161</v>
      </c>
      <c r="C43" s="488">
        <v>51</v>
      </c>
      <c r="D43" s="497">
        <v>55</v>
      </c>
      <c r="E43" s="488">
        <v>46</v>
      </c>
      <c r="F43" s="488">
        <v>3.94</v>
      </c>
      <c r="G43" s="488">
        <v>9.0200000000000002E-2</v>
      </c>
      <c r="H43" s="480">
        <v>16</v>
      </c>
      <c r="I43" s="1"/>
      <c r="K43" s="2"/>
      <c r="L43" s="2"/>
      <c r="M43" s="2"/>
      <c r="N43" s="2"/>
      <c r="S43" s="2"/>
      <c r="T43" s="2"/>
      <c r="V43" s="5"/>
      <c r="W43" s="5"/>
      <c r="X43" s="5"/>
      <c r="Y43" s="5"/>
      <c r="Z43" s="5"/>
      <c r="AA43" s="5"/>
      <c r="AB43" s="5"/>
      <c r="AC43" s="5"/>
      <c r="AD43" s="5"/>
    </row>
    <row r="44" spans="1:42" ht="19.5" customHeight="1">
      <c r="A44" s="16"/>
      <c r="B44" s="488" t="s">
        <v>162</v>
      </c>
      <c r="C44" s="488">
        <v>66</v>
      </c>
      <c r="D44" s="497">
        <v>72</v>
      </c>
      <c r="E44" s="488">
        <v>60</v>
      </c>
      <c r="F44" s="488">
        <v>2.34</v>
      </c>
      <c r="G44" s="488">
        <v>8.5199999999999998E-2</v>
      </c>
      <c r="H44" s="480">
        <v>19</v>
      </c>
      <c r="K44" s="2"/>
      <c r="L44" s="2"/>
      <c r="M44" s="2"/>
      <c r="N44" s="2"/>
      <c r="S44" s="2"/>
      <c r="T44" s="2"/>
      <c r="V44" s="5"/>
      <c r="W44" s="5"/>
      <c r="X44" s="5"/>
      <c r="Y44" s="5"/>
      <c r="Z44" s="5"/>
      <c r="AA44" s="5"/>
      <c r="AB44" s="5"/>
      <c r="AC44" s="5"/>
      <c r="AD44" s="5"/>
    </row>
    <row r="45" spans="1:42" ht="19.5" customHeight="1">
      <c r="A45" s="16"/>
      <c r="B45" s="488" t="s">
        <v>163</v>
      </c>
      <c r="C45" s="488">
        <v>85</v>
      </c>
      <c r="D45" s="497">
        <v>95</v>
      </c>
      <c r="E45" s="488">
        <v>79</v>
      </c>
      <c r="F45" s="488">
        <v>1.47</v>
      </c>
      <c r="G45" s="488">
        <v>8.1500000000000003E-2</v>
      </c>
      <c r="H45" s="480">
        <v>19</v>
      </c>
      <c r="K45" s="2"/>
      <c r="L45" s="2"/>
      <c r="M45" s="2"/>
      <c r="N45" s="2"/>
      <c r="S45" s="2"/>
      <c r="T45" s="2"/>
      <c r="V45" s="5"/>
      <c r="W45" s="5"/>
      <c r="X45" s="5"/>
      <c r="Y45" s="5"/>
      <c r="Z45" s="5"/>
      <c r="AA45" s="5"/>
      <c r="AB45" s="5"/>
      <c r="AC45" s="5"/>
      <c r="AD45" s="5"/>
    </row>
    <row r="46" spans="1:42" ht="19.5" customHeight="1">
      <c r="A46" s="16"/>
      <c r="B46" s="488" t="s">
        <v>164</v>
      </c>
      <c r="C46" s="488">
        <v>122</v>
      </c>
      <c r="D46" s="497">
        <v>122</v>
      </c>
      <c r="E46" s="488">
        <v>100</v>
      </c>
      <c r="F46" s="488">
        <v>0.93</v>
      </c>
      <c r="G46" s="488">
        <v>8.1000000000000003E-2</v>
      </c>
      <c r="H46" s="480">
        <v>23</v>
      </c>
      <c r="O46" s="3"/>
      <c r="P46" s="3"/>
      <c r="Q46" s="3"/>
      <c r="R46" s="3"/>
      <c r="T46" s="5"/>
      <c r="U46" s="5"/>
      <c r="V46" s="5"/>
      <c r="W46" s="5"/>
      <c r="X46" s="5"/>
      <c r="Y46" s="5"/>
      <c r="Z46" s="5"/>
      <c r="AA46" s="5"/>
      <c r="AB46" s="5"/>
      <c r="AC46" s="5"/>
      <c r="AD46" s="5"/>
    </row>
    <row r="47" spans="1:42" ht="19.5" customHeight="1">
      <c r="A47" s="16"/>
      <c r="B47" s="488" t="s">
        <v>165</v>
      </c>
      <c r="C47" s="488">
        <v>148</v>
      </c>
      <c r="D47" s="488">
        <v>146</v>
      </c>
      <c r="E47" s="488">
        <v>120</v>
      </c>
      <c r="F47" s="488">
        <v>0.67100000000000004</v>
      </c>
      <c r="G47" s="488">
        <v>7.9399999999999998E-2</v>
      </c>
      <c r="H47" s="480">
        <v>24</v>
      </c>
      <c r="T47" s="5"/>
      <c r="U47" s="5"/>
      <c r="V47" s="5"/>
      <c r="W47" s="5"/>
      <c r="X47" s="5"/>
      <c r="Y47" s="5"/>
      <c r="Z47" s="5"/>
      <c r="AA47" s="5"/>
      <c r="AB47" s="5"/>
      <c r="AC47" s="5"/>
      <c r="AD47" s="5"/>
    </row>
    <row r="48" spans="1:42" ht="19.5" customHeight="1">
      <c r="A48" s="16"/>
      <c r="B48" s="488" t="s">
        <v>166</v>
      </c>
      <c r="C48" s="488">
        <v>181</v>
      </c>
      <c r="D48" s="488">
        <v>175</v>
      </c>
      <c r="E48" s="488">
        <v>151</v>
      </c>
      <c r="F48" s="488">
        <v>0.495</v>
      </c>
      <c r="G48" s="488">
        <v>7.9200000000000007E-2</v>
      </c>
      <c r="H48" s="480">
        <v>27</v>
      </c>
      <c r="O48" s="3"/>
      <c r="T48" s="5"/>
      <c r="U48" s="5"/>
      <c r="V48" s="5"/>
      <c r="W48" s="5"/>
      <c r="X48" s="5"/>
      <c r="Y48" s="5"/>
      <c r="Z48" s="5"/>
      <c r="AA48" s="5"/>
      <c r="AB48" s="5"/>
      <c r="AC48" s="5"/>
      <c r="AD48" s="5"/>
    </row>
    <row r="49" spans="1:34" ht="19.5" customHeight="1">
      <c r="A49" s="16"/>
      <c r="B49" s="488" t="s">
        <v>167</v>
      </c>
      <c r="C49" s="488">
        <v>230</v>
      </c>
      <c r="D49" s="488">
        <v>212</v>
      </c>
      <c r="E49" s="488">
        <v>182</v>
      </c>
      <c r="F49" s="488">
        <v>0.31900000000000001</v>
      </c>
      <c r="G49" s="497">
        <v>7.5200000000000003E-2</v>
      </c>
      <c r="H49" s="480">
        <v>32</v>
      </c>
      <c r="P49" s="1"/>
      <c r="Q49" s="1"/>
      <c r="R49" s="4"/>
    </row>
    <row r="50" spans="1:34" ht="19.5" customHeight="1">
      <c r="A50" s="16"/>
      <c r="B50" s="488" t="s">
        <v>168</v>
      </c>
      <c r="C50" s="488">
        <v>284</v>
      </c>
      <c r="D50" s="488">
        <v>253</v>
      </c>
      <c r="E50" s="488">
        <v>211</v>
      </c>
      <c r="F50" s="488">
        <v>0.247</v>
      </c>
      <c r="G50" s="497">
        <v>7.3400000000000007E-2</v>
      </c>
      <c r="H50" s="480">
        <v>35</v>
      </c>
      <c r="P50" s="1"/>
      <c r="Q50" s="1"/>
      <c r="R50" s="4"/>
    </row>
    <row r="51" spans="1:34" ht="19.5" customHeight="1">
      <c r="A51" s="16"/>
      <c r="B51" s="488" t="s">
        <v>169</v>
      </c>
      <c r="C51" s="488">
        <v>330</v>
      </c>
      <c r="D51" s="488">
        <v>290</v>
      </c>
      <c r="E51" s="488">
        <v>236</v>
      </c>
      <c r="F51" s="488">
        <v>0.19600000000000001</v>
      </c>
      <c r="G51" s="497">
        <v>7.2599999999999998E-2</v>
      </c>
      <c r="H51" s="480">
        <v>37</v>
      </c>
      <c r="P51" s="1"/>
      <c r="Q51" s="1"/>
      <c r="R51" s="4"/>
    </row>
    <row r="52" spans="1:34" ht="19.5" customHeight="1">
      <c r="A52" s="16"/>
      <c r="B52" s="488" t="s">
        <v>170</v>
      </c>
      <c r="C52" s="488">
        <v>375</v>
      </c>
      <c r="D52" s="488">
        <v>325</v>
      </c>
      <c r="E52" s="488">
        <v>271</v>
      </c>
      <c r="F52" s="488">
        <v>0.159</v>
      </c>
      <c r="G52" s="497">
        <v>7.3200000000000001E-2</v>
      </c>
      <c r="H52" s="480">
        <v>42</v>
      </c>
      <c r="P52" s="1"/>
      <c r="Q52" s="1"/>
      <c r="R52" s="4"/>
    </row>
    <row r="53" spans="1:34" ht="19.5" customHeight="1">
      <c r="A53" s="16"/>
      <c r="B53" s="488" t="s">
        <v>171</v>
      </c>
      <c r="C53" s="488">
        <v>431</v>
      </c>
      <c r="D53" s="488">
        <v>362</v>
      </c>
      <c r="E53" s="488">
        <v>308</v>
      </c>
      <c r="F53" s="488">
        <v>0.127</v>
      </c>
      <c r="G53" s="497">
        <v>7.1999999999999995E-2</v>
      </c>
      <c r="H53" s="480">
        <v>46</v>
      </c>
      <c r="P53" s="1"/>
      <c r="Q53" s="1"/>
      <c r="R53" s="4"/>
    </row>
    <row r="54" spans="1:34" ht="19.5" customHeight="1">
      <c r="A54" s="16"/>
      <c r="B54" s="488" t="s">
        <v>172</v>
      </c>
      <c r="C54" s="488">
        <v>512</v>
      </c>
      <c r="D54" s="488">
        <v>418</v>
      </c>
      <c r="E54" s="488">
        <v>257</v>
      </c>
      <c r="F54" s="488">
        <v>9.6500000000000002E-2</v>
      </c>
      <c r="G54" s="488">
        <v>7.1900000000000006E-2</v>
      </c>
      <c r="H54" s="480">
        <v>52</v>
      </c>
      <c r="I54" s="4"/>
      <c r="P54" s="4"/>
      <c r="Q54" s="4"/>
      <c r="R54" s="4"/>
    </row>
    <row r="55" spans="1:34" ht="19.5" customHeight="1">
      <c r="A55" s="16"/>
      <c r="B55" s="488" t="s">
        <v>173</v>
      </c>
      <c r="C55" s="488">
        <v>582</v>
      </c>
      <c r="D55" s="488">
        <v>467</v>
      </c>
      <c r="E55" s="488">
        <v>406</v>
      </c>
      <c r="F55" s="488">
        <v>7.6899999999999996E-2</v>
      </c>
      <c r="G55" s="488">
        <v>7.1099999999999997E-2</v>
      </c>
      <c r="H55" s="480">
        <v>56</v>
      </c>
      <c r="I55" s="4"/>
      <c r="P55" s="4"/>
      <c r="Q55" s="4"/>
      <c r="R55" s="4"/>
    </row>
    <row r="56" spans="1:34" ht="29.25" customHeight="1">
      <c r="A56" s="16"/>
      <c r="B56" s="488" t="s">
        <v>174</v>
      </c>
      <c r="C56" s="488">
        <v>661</v>
      </c>
      <c r="D56" s="488">
        <v>518</v>
      </c>
      <c r="E56" s="461">
        <v>439</v>
      </c>
      <c r="F56" s="488">
        <v>6.0199999999999997E-2</v>
      </c>
      <c r="G56" s="488">
        <v>7.0499999999999993E-2</v>
      </c>
      <c r="H56" s="480">
        <v>62</v>
      </c>
      <c r="I56" s="4"/>
    </row>
    <row r="57" spans="1:34" ht="19.5" customHeight="1">
      <c r="A57" s="16"/>
      <c r="B57" s="4"/>
      <c r="C57" s="6"/>
      <c r="D57" s="4"/>
      <c r="E57" s="4"/>
      <c r="F57" s="4"/>
      <c r="G57" s="4"/>
      <c r="H57" s="17"/>
      <c r="I57" s="4"/>
    </row>
    <row r="58" spans="1:34" ht="19.5" customHeight="1">
      <c r="A58" s="16"/>
      <c r="B58" s="484" t="s">
        <v>175</v>
      </c>
      <c r="C58" s="485"/>
      <c r="D58" s="485"/>
      <c r="E58" s="485"/>
      <c r="F58" s="485"/>
      <c r="G58" s="485" t="s">
        <v>108</v>
      </c>
      <c r="H58" s="487"/>
      <c r="I58" s="4"/>
    </row>
    <row r="59" spans="1:34" ht="32.25" customHeight="1">
      <c r="A59" s="16"/>
      <c r="B59" s="684" t="s">
        <v>109</v>
      </c>
      <c r="C59" s="684" t="s">
        <v>110</v>
      </c>
      <c r="D59" s="684"/>
      <c r="E59" s="684"/>
      <c r="F59" s="696" t="s">
        <v>111</v>
      </c>
      <c r="G59" s="684" t="s">
        <v>112</v>
      </c>
      <c r="H59" s="690" t="s">
        <v>113</v>
      </c>
      <c r="I59" s="4"/>
    </row>
    <row r="60" spans="1:34" ht="32.25" customHeight="1">
      <c r="A60" s="16"/>
      <c r="B60" s="684"/>
      <c r="C60" s="459" t="s">
        <v>121</v>
      </c>
      <c r="D60" s="459" t="s">
        <v>122</v>
      </c>
      <c r="E60" s="459" t="s">
        <v>123</v>
      </c>
      <c r="F60" s="650"/>
      <c r="G60" s="684"/>
      <c r="H60" s="690"/>
      <c r="I60" s="4"/>
    </row>
    <row r="61" spans="1:34" ht="19.5" customHeight="1">
      <c r="A61" s="16"/>
      <c r="B61" s="470" t="s">
        <v>176</v>
      </c>
      <c r="C61" s="470">
        <v>22</v>
      </c>
      <c r="D61" s="502">
        <v>25</v>
      </c>
      <c r="E61" s="470">
        <v>22</v>
      </c>
      <c r="F61" s="470">
        <v>15.5</v>
      </c>
      <c r="G61" s="470">
        <v>0.108</v>
      </c>
      <c r="H61" s="478">
        <v>13</v>
      </c>
      <c r="I61" s="4"/>
    </row>
    <row r="62" spans="1:34" ht="19.5" customHeight="1">
      <c r="A62" s="16"/>
      <c r="B62" s="488" t="s">
        <v>177</v>
      </c>
      <c r="C62" s="488">
        <v>28</v>
      </c>
      <c r="D62" s="497">
        <v>34</v>
      </c>
      <c r="E62" s="488">
        <v>28</v>
      </c>
      <c r="F62" s="488">
        <v>9.48</v>
      </c>
      <c r="G62" s="488">
        <v>0.1007</v>
      </c>
      <c r="H62" s="480">
        <v>15</v>
      </c>
      <c r="I62" s="4"/>
    </row>
    <row r="63" spans="1:34" ht="19.5" customHeight="1">
      <c r="A63" s="16"/>
      <c r="B63" s="488" t="s">
        <v>178</v>
      </c>
      <c r="C63" s="488">
        <v>38</v>
      </c>
      <c r="D63" s="497">
        <v>44</v>
      </c>
      <c r="E63" s="488">
        <v>37</v>
      </c>
      <c r="F63" s="488">
        <v>5.9</v>
      </c>
      <c r="G63" s="488">
        <v>9.4700000000000006E-2</v>
      </c>
      <c r="H63" s="480">
        <v>16</v>
      </c>
      <c r="I63" s="4"/>
    </row>
    <row r="64" spans="1:34" ht="19.5" customHeight="1">
      <c r="A64" s="16"/>
      <c r="B64" s="488" t="s">
        <v>179</v>
      </c>
      <c r="C64" s="488">
        <v>51</v>
      </c>
      <c r="D64" s="497">
        <v>55</v>
      </c>
      <c r="E64" s="488">
        <v>46</v>
      </c>
      <c r="F64" s="488">
        <v>3.94</v>
      </c>
      <c r="G64" s="488">
        <v>9.0200000000000002E-2</v>
      </c>
      <c r="H64" s="480">
        <v>18</v>
      </c>
      <c r="I64" s="4"/>
      <c r="AH64" s="5"/>
    </row>
    <row r="65" spans="1:34" ht="19.5" customHeight="1">
      <c r="A65" s="16"/>
      <c r="B65" s="488" t="s">
        <v>180</v>
      </c>
      <c r="C65" s="488">
        <v>66</v>
      </c>
      <c r="D65" s="497">
        <v>72</v>
      </c>
      <c r="E65" s="488">
        <v>60</v>
      </c>
      <c r="F65" s="488">
        <v>2.34</v>
      </c>
      <c r="G65" s="488">
        <v>8.5199999999999998E-2</v>
      </c>
      <c r="H65" s="480">
        <v>20</v>
      </c>
      <c r="I65" s="4"/>
      <c r="AH65" s="5"/>
    </row>
    <row r="66" spans="1:34" ht="19.5" customHeight="1">
      <c r="A66" s="16"/>
      <c r="B66" s="488" t="s">
        <v>181</v>
      </c>
      <c r="C66" s="488">
        <v>85</v>
      </c>
      <c r="D66" s="497">
        <v>95</v>
      </c>
      <c r="E66" s="488">
        <v>79</v>
      </c>
      <c r="F66" s="488">
        <v>1.47</v>
      </c>
      <c r="G66" s="488">
        <v>8.1500000000000003E-2</v>
      </c>
      <c r="H66" s="480">
        <v>21</v>
      </c>
      <c r="I66" s="4"/>
      <c r="AH66" s="5"/>
    </row>
    <row r="67" spans="1:34" ht="19.5" customHeight="1">
      <c r="A67" s="16"/>
      <c r="B67" s="488" t="s">
        <v>810</v>
      </c>
      <c r="C67" s="488">
        <v>122</v>
      </c>
      <c r="D67" s="497">
        <v>122</v>
      </c>
      <c r="E67" s="488">
        <v>100</v>
      </c>
      <c r="F67" s="488">
        <v>0.93</v>
      </c>
      <c r="G67" s="488">
        <v>8.1000000000000003E-2</v>
      </c>
      <c r="H67" s="480">
        <v>25</v>
      </c>
      <c r="I67" s="4"/>
      <c r="J67" s="1"/>
      <c r="K67" s="1"/>
      <c r="L67" s="1"/>
      <c r="M67" s="1"/>
      <c r="N67" s="1"/>
      <c r="O67" s="1"/>
      <c r="R67" s="4"/>
      <c r="AH67" s="5"/>
    </row>
    <row r="68" spans="1:34" ht="19.5" customHeight="1">
      <c r="A68" s="16"/>
      <c r="B68" s="488" t="s">
        <v>811</v>
      </c>
      <c r="C68" s="488">
        <v>148</v>
      </c>
      <c r="D68" s="488">
        <v>146</v>
      </c>
      <c r="E68" s="488">
        <v>120</v>
      </c>
      <c r="F68" s="488">
        <v>0.67100000000000004</v>
      </c>
      <c r="G68" s="488">
        <v>7.9399999999999998E-2</v>
      </c>
      <c r="H68" s="480">
        <v>27</v>
      </c>
      <c r="I68" s="4"/>
      <c r="J68" s="1"/>
      <c r="K68" s="1"/>
      <c r="L68" s="1"/>
      <c r="M68" s="1"/>
      <c r="N68" s="1"/>
      <c r="O68" s="1"/>
      <c r="R68" s="4"/>
      <c r="AH68" s="5"/>
    </row>
    <row r="69" spans="1:34" ht="19.5" customHeight="1">
      <c r="A69" s="16"/>
      <c r="B69" s="488" t="s">
        <v>812</v>
      </c>
      <c r="C69" s="488">
        <v>181</v>
      </c>
      <c r="D69" s="488">
        <v>175</v>
      </c>
      <c r="E69" s="488">
        <v>151</v>
      </c>
      <c r="F69" s="488">
        <v>0.495</v>
      </c>
      <c r="G69" s="488">
        <v>7.9200000000000007E-2</v>
      </c>
      <c r="H69" s="480">
        <v>30</v>
      </c>
      <c r="I69" s="4"/>
      <c r="J69" s="1"/>
      <c r="K69" s="1"/>
      <c r="L69" s="1"/>
      <c r="M69" s="1"/>
      <c r="N69" s="1"/>
      <c r="O69" s="1"/>
      <c r="R69" s="4"/>
      <c r="AH69" s="5"/>
    </row>
    <row r="70" spans="1:34" ht="19.5" customHeight="1">
      <c r="A70" s="16"/>
      <c r="B70" s="488" t="s">
        <v>813</v>
      </c>
      <c r="C70" s="488">
        <v>230</v>
      </c>
      <c r="D70" s="488">
        <v>212</v>
      </c>
      <c r="E70" s="488">
        <v>182</v>
      </c>
      <c r="F70" s="488">
        <v>0.31900000000000001</v>
      </c>
      <c r="G70" s="497">
        <v>7.5200000000000003E-2</v>
      </c>
      <c r="H70" s="480">
        <v>36</v>
      </c>
      <c r="I70" s="4"/>
      <c r="J70" s="1"/>
      <c r="K70" s="1"/>
      <c r="L70" s="1"/>
      <c r="M70" s="1"/>
      <c r="N70" s="1"/>
      <c r="O70" s="1"/>
      <c r="R70" s="4"/>
      <c r="AH70" s="5"/>
    </row>
    <row r="71" spans="1:34" ht="19.5" customHeight="1">
      <c r="A71" s="16"/>
      <c r="B71" s="488" t="s">
        <v>814</v>
      </c>
      <c r="C71" s="488">
        <v>284</v>
      </c>
      <c r="D71" s="488">
        <v>253</v>
      </c>
      <c r="E71" s="488">
        <v>211</v>
      </c>
      <c r="F71" s="488">
        <v>0.247</v>
      </c>
      <c r="G71" s="497">
        <v>7.3400000000000007E-2</v>
      </c>
      <c r="H71" s="480">
        <v>39</v>
      </c>
      <c r="I71" s="4"/>
      <c r="J71" s="1"/>
      <c r="K71" s="1"/>
      <c r="L71" s="1"/>
      <c r="M71" s="1"/>
      <c r="N71" s="1"/>
      <c r="O71" s="1"/>
      <c r="R71" s="4"/>
      <c r="AH71" s="5"/>
    </row>
    <row r="72" spans="1:34" ht="19.5" customHeight="1">
      <c r="A72" s="16"/>
      <c r="B72" s="488" t="s">
        <v>815</v>
      </c>
      <c r="C72" s="488">
        <v>330</v>
      </c>
      <c r="D72" s="488">
        <v>290</v>
      </c>
      <c r="E72" s="488">
        <v>236</v>
      </c>
      <c r="F72" s="488">
        <v>0.19600000000000001</v>
      </c>
      <c r="G72" s="497">
        <v>7.2599999999999998E-2</v>
      </c>
      <c r="H72" s="480">
        <v>43</v>
      </c>
      <c r="I72" s="4"/>
      <c r="J72" s="1"/>
      <c r="K72" s="1"/>
      <c r="L72" s="1"/>
      <c r="M72" s="1"/>
      <c r="N72" s="1"/>
      <c r="O72" s="1"/>
      <c r="R72" s="4"/>
      <c r="AH72" s="5"/>
    </row>
    <row r="73" spans="1:34" ht="19.5" customHeight="1">
      <c r="A73" s="16"/>
      <c r="B73" s="488" t="s">
        <v>816</v>
      </c>
      <c r="C73" s="488">
        <v>375</v>
      </c>
      <c r="D73" s="488">
        <v>325</v>
      </c>
      <c r="E73" s="488">
        <v>271</v>
      </c>
      <c r="F73" s="488">
        <v>0.159</v>
      </c>
      <c r="G73" s="497">
        <v>7.3200000000000001E-2</v>
      </c>
      <c r="H73" s="480">
        <v>48</v>
      </c>
      <c r="I73" s="4"/>
      <c r="J73" s="1"/>
      <c r="K73" s="1"/>
      <c r="L73" s="1"/>
      <c r="M73" s="1"/>
      <c r="N73" s="1"/>
      <c r="O73" s="1"/>
      <c r="R73" s="4"/>
      <c r="AH73" s="5"/>
    </row>
    <row r="74" spans="1:34">
      <c r="A74" s="16"/>
      <c r="B74" s="488" t="s">
        <v>817</v>
      </c>
      <c r="C74" s="488">
        <v>431</v>
      </c>
      <c r="D74" s="488">
        <v>362</v>
      </c>
      <c r="E74" s="488">
        <v>308</v>
      </c>
      <c r="F74" s="488">
        <v>0.127</v>
      </c>
      <c r="G74" s="497">
        <v>7.1999999999999995E-2</v>
      </c>
      <c r="H74" s="480">
        <v>53</v>
      </c>
      <c r="I74" s="4"/>
      <c r="J74" s="45"/>
      <c r="K74" s="651"/>
      <c r="L74" s="651"/>
      <c r="M74" s="651"/>
      <c r="N74" s="651"/>
      <c r="O74" s="651"/>
      <c r="P74" s="651"/>
      <c r="Q74" s="46"/>
      <c r="R74" s="651"/>
      <c r="S74" s="651"/>
      <c r="T74" s="651"/>
      <c r="U74" s="651"/>
      <c r="AH74" s="5"/>
    </row>
    <row r="75" spans="1:34" ht="19.5" customHeight="1">
      <c r="A75" s="16"/>
      <c r="B75" s="488" t="s">
        <v>818</v>
      </c>
      <c r="C75" s="488">
        <v>512</v>
      </c>
      <c r="D75" s="488">
        <v>418</v>
      </c>
      <c r="E75" s="488">
        <v>257</v>
      </c>
      <c r="F75" s="488">
        <v>9.6500000000000002E-2</v>
      </c>
      <c r="G75" s="488">
        <v>7.1900000000000006E-2</v>
      </c>
      <c r="H75" s="480">
        <v>58</v>
      </c>
      <c r="I75" s="4"/>
      <c r="J75" s="45"/>
      <c r="K75" s="651"/>
      <c r="L75" s="46"/>
      <c r="M75" s="46"/>
      <c r="N75" s="651"/>
      <c r="O75" s="46"/>
      <c r="P75" s="46"/>
      <c r="Q75" s="46"/>
      <c r="R75" s="46"/>
      <c r="S75" s="46"/>
      <c r="T75" s="46"/>
      <c r="U75" s="46"/>
      <c r="AH75" s="5"/>
    </row>
    <row r="76" spans="1:34" ht="19.5" customHeight="1">
      <c r="A76" s="16"/>
      <c r="B76" s="488" t="s">
        <v>819</v>
      </c>
      <c r="C76" s="488">
        <v>582</v>
      </c>
      <c r="D76" s="488">
        <v>467</v>
      </c>
      <c r="E76" s="488">
        <v>406</v>
      </c>
      <c r="F76" s="488">
        <v>7.6899999999999996E-2</v>
      </c>
      <c r="G76" s="488">
        <v>7.1099999999999997E-2</v>
      </c>
      <c r="H76" s="480">
        <v>64</v>
      </c>
      <c r="I76" s="4"/>
      <c r="J76" s="45"/>
      <c r="K76" s="45"/>
      <c r="L76" s="47"/>
      <c r="M76" s="47"/>
      <c r="N76" s="45"/>
      <c r="O76" s="47"/>
      <c r="P76" s="47"/>
      <c r="Q76" s="47"/>
      <c r="R76" s="47"/>
      <c r="S76" s="45"/>
      <c r="T76" s="45"/>
      <c r="U76" s="45"/>
      <c r="AH76" s="5"/>
    </row>
    <row r="77" spans="1:34" ht="19.5" customHeight="1">
      <c r="A77" s="16"/>
      <c r="B77" s="488" t="s">
        <v>820</v>
      </c>
      <c r="C77" s="488">
        <v>661</v>
      </c>
      <c r="D77" s="488">
        <v>518</v>
      </c>
      <c r="E77" s="461">
        <v>439</v>
      </c>
      <c r="F77" s="488">
        <v>6.0199999999999997E-2</v>
      </c>
      <c r="G77" s="488">
        <v>7.0499999999999993E-2</v>
      </c>
      <c r="H77" s="480">
        <v>72</v>
      </c>
      <c r="I77" s="4"/>
      <c r="J77" s="45"/>
      <c r="K77" s="45"/>
      <c r="L77" s="47"/>
      <c r="M77" s="47"/>
      <c r="N77" s="47"/>
      <c r="O77" s="47"/>
      <c r="P77" s="47"/>
      <c r="Q77" s="47"/>
      <c r="R77" s="48"/>
      <c r="S77" s="49"/>
      <c r="T77" s="50"/>
      <c r="U77" s="49"/>
      <c r="AH77" s="5"/>
    </row>
    <row r="78" spans="1:34" ht="19.5" customHeight="1">
      <c r="A78" s="16"/>
      <c r="B78" s="4"/>
      <c r="C78" s="6"/>
      <c r="D78" s="4"/>
      <c r="E78" s="4"/>
      <c r="F78" s="4"/>
      <c r="G78" s="4"/>
      <c r="H78" s="17"/>
      <c r="I78" s="4"/>
      <c r="J78" s="45"/>
      <c r="K78" s="45"/>
      <c r="L78" s="51"/>
      <c r="M78" s="51"/>
      <c r="N78" s="47"/>
      <c r="O78" s="47"/>
      <c r="P78" s="47"/>
      <c r="Q78" s="47"/>
      <c r="R78" s="48"/>
      <c r="S78" s="49"/>
      <c r="T78" s="50"/>
      <c r="U78" s="49"/>
      <c r="V78" s="5"/>
      <c r="W78" s="5"/>
      <c r="X78" s="5"/>
      <c r="Y78" s="5"/>
      <c r="Z78" s="5"/>
      <c r="AA78" s="5"/>
      <c r="AB78" s="5"/>
      <c r="AC78" s="5"/>
      <c r="AD78" s="5"/>
      <c r="AE78" s="5"/>
      <c r="AF78" s="5"/>
      <c r="AG78" s="5"/>
      <c r="AH78" s="5"/>
    </row>
    <row r="79" spans="1:34" ht="19.5" customHeight="1">
      <c r="A79" s="16"/>
      <c r="B79" s="484" t="s">
        <v>193</v>
      </c>
      <c r="C79" s="489"/>
      <c r="D79" s="489"/>
      <c r="E79" s="489"/>
      <c r="F79" s="489"/>
      <c r="G79" s="485" t="s">
        <v>108</v>
      </c>
      <c r="H79" s="490"/>
      <c r="I79" s="4"/>
      <c r="J79" s="52"/>
      <c r="K79" s="52"/>
      <c r="L79" s="52"/>
      <c r="M79" s="52"/>
      <c r="N79" s="52"/>
      <c r="O79" s="52"/>
      <c r="P79" s="52"/>
      <c r="Q79" s="52"/>
      <c r="R79" s="48"/>
      <c r="S79" s="49"/>
      <c r="T79" s="50"/>
      <c r="U79" s="49"/>
      <c r="V79" s="5"/>
      <c r="W79" s="5"/>
      <c r="X79" s="5"/>
      <c r="Y79" s="5"/>
      <c r="Z79" s="5"/>
      <c r="AA79" s="5"/>
      <c r="AB79" s="5"/>
      <c r="AC79" s="5"/>
      <c r="AD79" s="5"/>
      <c r="AE79" s="5"/>
      <c r="AF79" s="5"/>
      <c r="AG79" s="5"/>
      <c r="AH79" s="5"/>
    </row>
    <row r="80" spans="1:34" ht="36" customHeight="1">
      <c r="A80" s="16"/>
      <c r="B80" s="694" t="s">
        <v>194</v>
      </c>
      <c r="C80" s="694" t="s">
        <v>110</v>
      </c>
      <c r="D80" s="694"/>
      <c r="E80" s="694"/>
      <c r="F80" s="696" t="s">
        <v>111</v>
      </c>
      <c r="G80" s="694" t="s">
        <v>112</v>
      </c>
      <c r="H80" s="690" t="s">
        <v>113</v>
      </c>
      <c r="I80" s="4"/>
      <c r="J80" s="53"/>
      <c r="K80" s="46"/>
      <c r="L80" s="54"/>
      <c r="M80" s="54"/>
      <c r="N80" s="54"/>
      <c r="O80" s="54"/>
      <c r="P80" s="54"/>
      <c r="Q80" s="54"/>
      <c r="R80" s="48"/>
      <c r="S80" s="49"/>
      <c r="T80" s="50"/>
      <c r="U80" s="49"/>
      <c r="V80" s="5"/>
      <c r="W80" s="5"/>
      <c r="X80" s="5"/>
      <c r="Y80" s="5"/>
      <c r="Z80" s="5"/>
      <c r="AA80" s="5"/>
      <c r="AB80" s="5"/>
      <c r="AC80" s="5"/>
      <c r="AD80" s="5"/>
      <c r="AE80" s="5"/>
      <c r="AF80" s="5"/>
      <c r="AG80" s="5"/>
      <c r="AH80" s="5"/>
    </row>
    <row r="81" spans="1:34" ht="36" customHeight="1">
      <c r="A81" s="16"/>
      <c r="B81" s="694"/>
      <c r="C81" s="459" t="s">
        <v>121</v>
      </c>
      <c r="D81" s="459" t="s">
        <v>122</v>
      </c>
      <c r="E81" s="459" t="s">
        <v>123</v>
      </c>
      <c r="F81" s="650"/>
      <c r="G81" s="694"/>
      <c r="H81" s="690"/>
      <c r="I81" s="4"/>
      <c r="J81" s="53"/>
      <c r="K81" s="46"/>
      <c r="L81" s="46"/>
      <c r="M81" s="52"/>
      <c r="N81" s="54"/>
      <c r="O81" s="46"/>
      <c r="P81" s="46"/>
      <c r="Q81" s="46"/>
      <c r="R81" s="48"/>
      <c r="S81" s="49"/>
      <c r="T81" s="50"/>
      <c r="U81" s="49"/>
      <c r="V81" s="5"/>
      <c r="W81" s="5"/>
      <c r="X81" s="5"/>
      <c r="Y81" s="5"/>
      <c r="Z81" s="5"/>
      <c r="AA81" s="5"/>
      <c r="AB81" s="5"/>
      <c r="AC81" s="5"/>
      <c r="AD81" s="5"/>
      <c r="AE81" s="5"/>
      <c r="AF81" s="5"/>
      <c r="AG81" s="5"/>
      <c r="AH81" s="5"/>
    </row>
    <row r="82" spans="1:34" ht="19.5" customHeight="1">
      <c r="A82" s="16"/>
      <c r="B82" s="470" t="s">
        <v>195</v>
      </c>
      <c r="C82" s="470">
        <v>22</v>
      </c>
      <c r="D82" s="502">
        <v>25</v>
      </c>
      <c r="E82" s="470">
        <v>22</v>
      </c>
      <c r="F82" s="470">
        <v>15.5</v>
      </c>
      <c r="G82" s="470">
        <v>0.108</v>
      </c>
      <c r="H82" s="478"/>
      <c r="I82" s="4"/>
      <c r="J82" s="53"/>
      <c r="K82" s="45"/>
      <c r="L82" s="52"/>
      <c r="M82" s="52"/>
      <c r="N82" s="45"/>
      <c r="O82" s="47"/>
      <c r="P82" s="47"/>
      <c r="Q82" s="47"/>
      <c r="R82" s="48"/>
      <c r="S82" s="49"/>
      <c r="T82" s="50"/>
      <c r="U82" s="49"/>
      <c r="V82" s="5"/>
      <c r="W82" s="5"/>
      <c r="X82" s="5"/>
      <c r="Y82" s="5"/>
      <c r="Z82" s="5"/>
      <c r="AA82" s="5"/>
      <c r="AB82" s="5"/>
      <c r="AC82" s="5"/>
      <c r="AD82" s="5"/>
      <c r="AE82" s="5"/>
      <c r="AF82" s="5"/>
      <c r="AG82" s="5"/>
      <c r="AH82" s="5"/>
    </row>
    <row r="83" spans="1:34" ht="19.5" customHeight="1">
      <c r="A83" s="16"/>
      <c r="B83" s="488" t="s">
        <v>196</v>
      </c>
      <c r="C83" s="488">
        <v>28</v>
      </c>
      <c r="D83" s="497">
        <v>34</v>
      </c>
      <c r="E83" s="488">
        <v>28</v>
      </c>
      <c r="F83" s="488">
        <v>9.48</v>
      </c>
      <c r="G83" s="488">
        <v>0.1007</v>
      </c>
      <c r="H83" s="480"/>
      <c r="I83" s="4"/>
      <c r="J83" s="53"/>
      <c r="K83" s="45"/>
      <c r="L83" s="52"/>
      <c r="M83" s="52"/>
      <c r="N83" s="47"/>
      <c r="O83" s="47"/>
      <c r="P83" s="47"/>
      <c r="Q83" s="47"/>
      <c r="R83" s="48"/>
      <c r="S83" s="49"/>
      <c r="T83" s="50"/>
      <c r="U83" s="49"/>
      <c r="V83" s="5"/>
      <c r="W83" s="5"/>
      <c r="X83" s="5"/>
      <c r="Y83" s="5"/>
      <c r="Z83" s="5"/>
      <c r="AA83" s="5"/>
      <c r="AB83" s="5"/>
      <c r="AC83" s="5"/>
      <c r="AD83" s="5"/>
      <c r="AE83" s="5"/>
      <c r="AF83" s="5"/>
      <c r="AG83" s="5"/>
      <c r="AH83" s="5"/>
    </row>
    <row r="84" spans="1:34" ht="19.5" customHeight="1">
      <c r="A84" s="16"/>
      <c r="B84" s="488" t="s">
        <v>197</v>
      </c>
      <c r="C84" s="488">
        <v>38</v>
      </c>
      <c r="D84" s="497">
        <v>44</v>
      </c>
      <c r="E84" s="488">
        <v>37</v>
      </c>
      <c r="F84" s="488">
        <v>5.9</v>
      </c>
      <c r="G84" s="488">
        <v>9.4700000000000006E-2</v>
      </c>
      <c r="H84" s="480"/>
      <c r="I84" s="4"/>
      <c r="J84" s="53"/>
      <c r="K84" s="45"/>
      <c r="L84" s="52"/>
      <c r="M84" s="52"/>
      <c r="N84" s="52"/>
      <c r="O84" s="52"/>
      <c r="P84" s="52"/>
      <c r="Q84" s="52"/>
      <c r="R84" s="48"/>
      <c r="S84" s="49"/>
      <c r="T84" s="48"/>
      <c r="U84" s="49"/>
      <c r="V84" s="5"/>
      <c r="W84" s="5"/>
      <c r="X84" s="5"/>
      <c r="Y84" s="5"/>
      <c r="Z84" s="5"/>
      <c r="AA84" s="5"/>
      <c r="AB84" s="5"/>
      <c r="AC84" s="5"/>
      <c r="AD84" s="5"/>
      <c r="AE84" s="5"/>
      <c r="AF84" s="5"/>
      <c r="AG84" s="5"/>
      <c r="AH84" s="5"/>
    </row>
    <row r="85" spans="1:34" ht="19.5" customHeight="1">
      <c r="A85" s="16"/>
      <c r="B85" s="488" t="s">
        <v>198</v>
      </c>
      <c r="C85" s="488">
        <v>51</v>
      </c>
      <c r="D85" s="497">
        <v>55</v>
      </c>
      <c r="E85" s="488">
        <v>46</v>
      </c>
      <c r="F85" s="488">
        <v>3.94</v>
      </c>
      <c r="G85" s="488">
        <v>9.0200000000000002E-2</v>
      </c>
      <c r="H85" s="480"/>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6"/>
      <c r="B86" s="488" t="s">
        <v>199</v>
      </c>
      <c r="C86" s="488">
        <v>66</v>
      </c>
      <c r="D86" s="497">
        <v>72</v>
      </c>
      <c r="E86" s="488">
        <v>60</v>
      </c>
      <c r="F86" s="488">
        <v>2.34</v>
      </c>
      <c r="G86" s="488">
        <v>8.5199999999999998E-2</v>
      </c>
      <c r="H86" s="480"/>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6"/>
      <c r="B87" s="488" t="s">
        <v>200</v>
      </c>
      <c r="C87" s="488">
        <v>85</v>
      </c>
      <c r="D87" s="497">
        <v>95</v>
      </c>
      <c r="E87" s="488">
        <v>79</v>
      </c>
      <c r="F87" s="488">
        <v>1.47</v>
      </c>
      <c r="G87" s="488">
        <v>8.1500000000000003E-2</v>
      </c>
      <c r="H87" s="480"/>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6"/>
      <c r="B88" s="488" t="s">
        <v>201</v>
      </c>
      <c r="C88" s="488">
        <v>122</v>
      </c>
      <c r="D88" s="497">
        <v>122</v>
      </c>
      <c r="E88" s="488">
        <v>100</v>
      </c>
      <c r="F88" s="488">
        <v>0.93</v>
      </c>
      <c r="G88" s="488">
        <v>8.1000000000000003E-2</v>
      </c>
      <c r="H88" s="480"/>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6"/>
      <c r="B89" s="488" t="s">
        <v>202</v>
      </c>
      <c r="C89" s="488">
        <v>148</v>
      </c>
      <c r="D89" s="488">
        <v>146</v>
      </c>
      <c r="E89" s="488">
        <v>120</v>
      </c>
      <c r="F89" s="488">
        <v>0.67100000000000004</v>
      </c>
      <c r="G89" s="488">
        <v>7.9399999999999998E-2</v>
      </c>
      <c r="H89" s="480"/>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6"/>
      <c r="B90" s="488" t="s">
        <v>203</v>
      </c>
      <c r="C90" s="488">
        <v>181</v>
      </c>
      <c r="D90" s="488">
        <v>175</v>
      </c>
      <c r="E90" s="488">
        <v>151</v>
      </c>
      <c r="F90" s="488">
        <v>0.495</v>
      </c>
      <c r="G90" s="488">
        <v>7.9200000000000007E-2</v>
      </c>
      <c r="H90" s="480"/>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6"/>
      <c r="B91" s="488" t="s">
        <v>204</v>
      </c>
      <c r="C91" s="488">
        <v>230</v>
      </c>
      <c r="D91" s="488">
        <v>212</v>
      </c>
      <c r="E91" s="488">
        <v>182</v>
      </c>
      <c r="F91" s="488">
        <v>0.31900000000000001</v>
      </c>
      <c r="G91" s="497">
        <v>7.5200000000000003E-2</v>
      </c>
      <c r="H91" s="480"/>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6"/>
      <c r="B92" s="7"/>
      <c r="C92" s="7"/>
      <c r="D92" s="7"/>
      <c r="E92" s="7"/>
      <c r="F92" s="56"/>
      <c r="G92" s="56"/>
      <c r="H92" s="57"/>
      <c r="I92" s="4"/>
      <c r="U92" s="5"/>
      <c r="V92" s="5"/>
      <c r="W92" s="5"/>
      <c r="X92" s="5"/>
      <c r="Y92" s="5"/>
      <c r="Z92" s="5"/>
      <c r="AA92" s="5"/>
      <c r="AB92" s="5"/>
      <c r="AC92" s="5"/>
      <c r="AD92" s="5"/>
      <c r="AE92" s="5"/>
      <c r="AF92" s="5"/>
      <c r="AG92" s="5"/>
      <c r="AH92" s="5"/>
    </row>
    <row r="93" spans="1:34" ht="19.5" customHeight="1" thickBot="1">
      <c r="A93" s="21"/>
      <c r="B93" s="22"/>
      <c r="C93" s="23"/>
      <c r="D93" s="22"/>
      <c r="E93" s="22"/>
      <c r="F93" s="22"/>
      <c r="G93" s="22"/>
      <c r="H93" s="24"/>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3"/>
      <c r="B95" s="647" t="s">
        <v>205</v>
      </c>
      <c r="C95" s="648"/>
      <c r="D95" s="648"/>
      <c r="E95" s="648"/>
      <c r="F95" s="649"/>
      <c r="G95" s="25"/>
      <c r="H95" s="15"/>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6"/>
      <c r="B96" s="4"/>
      <c r="C96" s="4"/>
      <c r="D96" s="4"/>
      <c r="E96" s="4"/>
      <c r="F96" s="4"/>
      <c r="G96" s="4"/>
      <c r="H96" s="17"/>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6"/>
      <c r="B97" s="43" t="s">
        <v>206</v>
      </c>
      <c r="C97" s="42"/>
      <c r="D97" s="43"/>
      <c r="E97" s="43"/>
      <c r="F97" s="43" t="s">
        <v>207</v>
      </c>
      <c r="G97" s="44"/>
      <c r="H97" s="17"/>
      <c r="I97" s="4"/>
      <c r="P97" s="4"/>
      <c r="Q97" s="4"/>
      <c r="R97" s="4"/>
      <c r="S97" s="5"/>
      <c r="T97" s="5"/>
      <c r="U97" s="5"/>
      <c r="V97" s="5"/>
      <c r="W97" s="5"/>
      <c r="X97" s="5"/>
      <c r="Y97" s="5"/>
      <c r="Z97" s="5"/>
      <c r="AA97" s="5"/>
      <c r="AB97" s="5"/>
      <c r="AC97" s="5"/>
      <c r="AD97" s="5"/>
      <c r="AE97" s="5"/>
      <c r="AF97" s="5"/>
      <c r="AG97" s="5"/>
      <c r="AH97" s="5"/>
    </row>
    <row r="98" spans="1:34" ht="19.5" customHeight="1">
      <c r="A98" s="16"/>
      <c r="B98" s="7"/>
      <c r="C98" s="7"/>
      <c r="D98" s="7"/>
      <c r="E98" s="7"/>
      <c r="F98" s="7"/>
      <c r="G98" s="7"/>
      <c r="H98" s="17"/>
      <c r="I98" s="4"/>
      <c r="P98" s="4"/>
      <c r="Q98" s="4"/>
      <c r="R98" s="4"/>
      <c r="S98" s="5"/>
      <c r="T98" s="5"/>
      <c r="U98" s="5"/>
      <c r="V98" s="5"/>
      <c r="W98" s="5"/>
      <c r="X98" s="5"/>
      <c r="Y98" s="5"/>
      <c r="Z98" s="5"/>
      <c r="AA98" s="5"/>
      <c r="AB98" s="5"/>
      <c r="AC98" s="5"/>
      <c r="AD98" s="5"/>
      <c r="AE98" s="5"/>
      <c r="AF98" s="5"/>
      <c r="AG98" s="5"/>
      <c r="AH98" s="5"/>
    </row>
    <row r="99" spans="1:34" ht="73.5" customHeight="1">
      <c r="A99" s="16"/>
      <c r="B99" s="696" t="s">
        <v>109</v>
      </c>
      <c r="C99" s="686" t="s">
        <v>110</v>
      </c>
      <c r="D99" s="687"/>
      <c r="E99" s="688"/>
      <c r="F99" s="696" t="s">
        <v>208</v>
      </c>
      <c r="G99" s="696" t="s">
        <v>209</v>
      </c>
      <c r="H99" s="695" t="s">
        <v>210</v>
      </c>
      <c r="I99" s="698" t="s">
        <v>211</v>
      </c>
      <c r="J99" s="692" t="s">
        <v>115</v>
      </c>
      <c r="K99" s="684" t="s">
        <v>807</v>
      </c>
      <c r="L99" s="684" t="s">
        <v>212</v>
      </c>
      <c r="M99" s="684"/>
      <c r="N99" s="684" t="s">
        <v>118</v>
      </c>
      <c r="O99" s="684" t="s">
        <v>213</v>
      </c>
      <c r="P99" s="684"/>
      <c r="Q99" s="686" t="s">
        <v>214</v>
      </c>
      <c r="R99" s="687"/>
      <c r="S99" s="688"/>
      <c r="U99" s="10"/>
      <c r="V99" s="10"/>
      <c r="X99" s="10"/>
      <c r="Y99" s="10"/>
      <c r="Z99" s="5"/>
      <c r="AA99" s="5"/>
      <c r="AB99" s="5"/>
      <c r="AC99" s="5"/>
      <c r="AD99" s="5"/>
      <c r="AE99" s="5"/>
      <c r="AF99" s="5"/>
      <c r="AG99" s="5"/>
      <c r="AH99" s="5"/>
    </row>
    <row r="100" spans="1:34" ht="60" customHeight="1">
      <c r="A100" s="16"/>
      <c r="B100" s="650"/>
      <c r="C100" s="459" t="s">
        <v>215</v>
      </c>
      <c r="D100" s="459" t="s">
        <v>216</v>
      </c>
      <c r="E100" s="459" t="s">
        <v>217</v>
      </c>
      <c r="F100" s="650"/>
      <c r="G100" s="650"/>
      <c r="H100" s="653"/>
      <c r="I100" s="636"/>
      <c r="J100" s="697"/>
      <c r="K100" s="696"/>
      <c r="L100" s="496" t="s">
        <v>218</v>
      </c>
      <c r="M100" s="496" t="s">
        <v>125</v>
      </c>
      <c r="N100" s="696"/>
      <c r="O100" s="496" t="s">
        <v>126</v>
      </c>
      <c r="P100" s="496" t="s">
        <v>127</v>
      </c>
      <c r="Q100" s="496" t="s">
        <v>128</v>
      </c>
      <c r="R100" s="496" t="s">
        <v>126</v>
      </c>
      <c r="S100" s="496" t="s">
        <v>127</v>
      </c>
      <c r="U100" s="10"/>
      <c r="V100" s="10"/>
      <c r="W100" s="10"/>
      <c r="X100" s="10"/>
      <c r="Y100" s="10"/>
      <c r="Z100" s="5"/>
      <c r="AA100" s="5"/>
      <c r="AB100" s="5"/>
      <c r="AC100" s="5"/>
      <c r="AD100" s="5"/>
      <c r="AE100" s="5"/>
      <c r="AF100" s="5"/>
      <c r="AG100" s="5"/>
      <c r="AH100" s="5"/>
    </row>
    <row r="101" spans="1:34" ht="19.5" customHeight="1">
      <c r="A101" s="16"/>
      <c r="B101" s="488" t="s">
        <v>219</v>
      </c>
      <c r="C101" s="488">
        <v>296</v>
      </c>
      <c r="D101" s="488">
        <v>239</v>
      </c>
      <c r="E101" s="488">
        <v>227</v>
      </c>
      <c r="F101" s="488">
        <v>0.34200000000000003</v>
      </c>
      <c r="G101" s="488">
        <v>0.121</v>
      </c>
      <c r="H101" s="462">
        <v>26</v>
      </c>
      <c r="I101" s="632" t="s">
        <v>220</v>
      </c>
      <c r="J101" s="463" t="s">
        <v>131</v>
      </c>
      <c r="K101" s="464">
        <v>0.91</v>
      </c>
      <c r="L101" s="464">
        <v>0.9</v>
      </c>
      <c r="M101" s="464">
        <v>0.97</v>
      </c>
      <c r="N101" s="464" t="s">
        <v>132</v>
      </c>
      <c r="O101" s="464" t="s">
        <v>132</v>
      </c>
      <c r="P101" s="464" t="s">
        <v>132</v>
      </c>
      <c r="Q101" s="466"/>
      <c r="R101" s="466"/>
      <c r="S101" s="466"/>
      <c r="U101" s="10"/>
      <c r="V101" s="10"/>
      <c r="W101" s="10"/>
      <c r="X101" s="10"/>
      <c r="Y101" s="10"/>
      <c r="Z101" s="5"/>
      <c r="AA101" s="5"/>
      <c r="AB101" s="5"/>
      <c r="AC101" s="5"/>
      <c r="AD101" s="5"/>
      <c r="AE101" s="5"/>
      <c r="AF101" s="5"/>
      <c r="AG101" s="5"/>
      <c r="AH101" s="5"/>
    </row>
    <row r="102" spans="1:34" ht="19.5" customHeight="1">
      <c r="A102" s="16"/>
      <c r="B102" s="488" t="s">
        <v>221</v>
      </c>
      <c r="C102" s="488">
        <v>361</v>
      </c>
      <c r="D102" s="488">
        <v>285</v>
      </c>
      <c r="E102" s="488">
        <v>271</v>
      </c>
      <c r="F102" s="488">
        <v>0.247</v>
      </c>
      <c r="G102" s="488">
        <v>0.11600000000000001</v>
      </c>
      <c r="H102" s="462">
        <v>27</v>
      </c>
      <c r="I102" s="633"/>
      <c r="J102" s="493" t="s">
        <v>123</v>
      </c>
      <c r="K102" s="464" t="s">
        <v>132</v>
      </c>
      <c r="L102" s="464">
        <v>0.64</v>
      </c>
      <c r="M102" s="464">
        <v>0.8</v>
      </c>
      <c r="N102" s="464">
        <v>0.89</v>
      </c>
      <c r="O102" s="464">
        <v>0.95</v>
      </c>
      <c r="P102" s="464">
        <v>0.97</v>
      </c>
      <c r="Q102" s="470">
        <v>120</v>
      </c>
      <c r="R102" s="471">
        <v>1.0900000000000001</v>
      </c>
      <c r="S102" s="235">
        <v>1.05</v>
      </c>
      <c r="U102" s="10"/>
      <c r="V102" s="10"/>
      <c r="W102" s="10"/>
      <c r="X102" s="10"/>
      <c r="Y102" s="10"/>
      <c r="Z102" s="5"/>
      <c r="AA102" s="5"/>
      <c r="AB102" s="5"/>
      <c r="AC102" s="5"/>
      <c r="AD102" s="5"/>
      <c r="AE102" s="5"/>
      <c r="AF102" s="5"/>
      <c r="AG102" s="5"/>
      <c r="AH102" s="5"/>
    </row>
    <row r="103" spans="1:34" ht="19.5" customHeight="1">
      <c r="A103" s="16"/>
      <c r="B103" s="488" t="s">
        <v>222</v>
      </c>
      <c r="C103" s="488">
        <v>417</v>
      </c>
      <c r="D103" s="488">
        <v>323</v>
      </c>
      <c r="E103" s="488">
        <v>308</v>
      </c>
      <c r="F103" s="488">
        <v>0.19600000000000001</v>
      </c>
      <c r="G103" s="488">
        <v>0.111</v>
      </c>
      <c r="H103" s="462">
        <v>29</v>
      </c>
      <c r="I103" s="4"/>
      <c r="J103" s="493" t="s">
        <v>122</v>
      </c>
      <c r="K103" s="464" t="s">
        <v>132</v>
      </c>
      <c r="L103" s="464">
        <v>0.64</v>
      </c>
      <c r="M103" s="464">
        <v>0.8</v>
      </c>
      <c r="N103" s="464">
        <v>0.89</v>
      </c>
      <c r="O103" s="464">
        <v>0.95</v>
      </c>
      <c r="P103" s="464">
        <v>0.96</v>
      </c>
      <c r="Q103" s="470">
        <v>150</v>
      </c>
      <c r="R103" s="471">
        <v>1.0900000000000001</v>
      </c>
      <c r="S103" s="235">
        <v>1.05</v>
      </c>
      <c r="U103" s="10"/>
      <c r="V103" s="10"/>
      <c r="W103" s="10"/>
      <c r="X103" s="10"/>
      <c r="Y103" s="10"/>
      <c r="Z103" s="5"/>
      <c r="AA103" s="5"/>
      <c r="AB103" s="5"/>
      <c r="AC103" s="5"/>
      <c r="AD103" s="5"/>
      <c r="AE103" s="5"/>
      <c r="AF103" s="5"/>
      <c r="AG103" s="5"/>
      <c r="AH103" s="5"/>
    </row>
    <row r="104" spans="1:34" ht="38.25" customHeight="1">
      <c r="A104" s="16"/>
      <c r="B104" s="488" t="s">
        <v>223</v>
      </c>
      <c r="C104" s="488">
        <v>473</v>
      </c>
      <c r="D104" s="488">
        <v>361</v>
      </c>
      <c r="E104" s="488">
        <v>343</v>
      </c>
      <c r="F104" s="488">
        <v>0.159</v>
      </c>
      <c r="G104" s="488">
        <v>0.109</v>
      </c>
      <c r="H104" s="462">
        <v>30</v>
      </c>
      <c r="I104" s="4"/>
      <c r="J104" s="501" t="s">
        <v>136</v>
      </c>
      <c r="K104" s="464">
        <v>0.91</v>
      </c>
      <c r="L104" s="464">
        <v>0.9</v>
      </c>
      <c r="M104" s="464">
        <v>0.97</v>
      </c>
      <c r="N104" s="464" t="s">
        <v>132</v>
      </c>
      <c r="O104" s="464" t="s">
        <v>132</v>
      </c>
      <c r="P104" s="464" t="s">
        <v>132</v>
      </c>
      <c r="Q104" s="470">
        <v>185</v>
      </c>
      <c r="R104" s="471">
        <v>1.0900000000000001</v>
      </c>
      <c r="S104" s="235">
        <v>1.05</v>
      </c>
      <c r="U104" s="10"/>
      <c r="V104" s="10"/>
      <c r="W104" s="10"/>
      <c r="X104" s="10"/>
      <c r="Y104" s="10"/>
      <c r="Z104" s="5"/>
      <c r="AA104" s="5"/>
      <c r="AB104" s="5"/>
      <c r="AC104" s="5"/>
      <c r="AD104" s="5"/>
      <c r="AE104" s="5"/>
      <c r="AF104" s="5"/>
      <c r="AG104" s="5"/>
      <c r="AH104" s="5"/>
    </row>
    <row r="105" spans="1:34" ht="44.25" customHeight="1">
      <c r="A105" s="16"/>
      <c r="B105" s="488" t="s">
        <v>129</v>
      </c>
      <c r="C105" s="488">
        <v>543</v>
      </c>
      <c r="D105" s="488">
        <v>406</v>
      </c>
      <c r="E105" s="488">
        <v>387</v>
      </c>
      <c r="F105" s="488">
        <v>0.128</v>
      </c>
      <c r="G105" s="488">
        <v>0.105</v>
      </c>
      <c r="H105" s="462">
        <v>33</v>
      </c>
      <c r="I105" s="4"/>
      <c r="Q105" s="470">
        <v>240</v>
      </c>
      <c r="R105" s="471">
        <v>1.0900000000000001</v>
      </c>
      <c r="S105" s="235">
        <v>1.05</v>
      </c>
      <c r="U105" s="10"/>
      <c r="V105" s="10"/>
      <c r="W105" s="10"/>
      <c r="X105" s="10"/>
      <c r="Y105" s="10"/>
      <c r="Z105" s="5"/>
      <c r="AA105" s="5"/>
      <c r="AB105" s="5"/>
      <c r="AC105" s="5"/>
      <c r="AD105" s="5"/>
      <c r="AE105" s="5"/>
      <c r="AF105" s="5"/>
      <c r="AG105" s="5"/>
      <c r="AH105" s="5"/>
    </row>
    <row r="106" spans="1:34" ht="19.5" customHeight="1">
      <c r="A106" s="16"/>
      <c r="B106" s="488" t="s">
        <v>133</v>
      </c>
      <c r="C106" s="488">
        <v>641</v>
      </c>
      <c r="D106" s="488">
        <v>469</v>
      </c>
      <c r="E106" s="488">
        <v>447</v>
      </c>
      <c r="F106" s="488">
        <v>9.8000000000000004E-2</v>
      </c>
      <c r="G106" s="488">
        <v>0.10100000000000001</v>
      </c>
      <c r="H106" s="462">
        <v>35</v>
      </c>
      <c r="Q106" s="470">
        <v>300</v>
      </c>
      <c r="R106" s="471">
        <v>1.0900000000000001</v>
      </c>
      <c r="S106" s="235">
        <v>1.05</v>
      </c>
      <c r="U106" s="10"/>
      <c r="V106" s="10"/>
      <c r="W106" s="10"/>
      <c r="X106" s="10"/>
      <c r="Y106" s="10"/>
      <c r="Z106" s="5"/>
      <c r="AA106" s="5"/>
      <c r="AB106" s="5"/>
      <c r="AC106" s="5"/>
      <c r="AD106" s="5"/>
      <c r="AE106" s="5"/>
      <c r="AF106" s="5"/>
      <c r="AG106" s="5"/>
      <c r="AH106" s="5"/>
    </row>
    <row r="107" spans="1:34" ht="19.5" customHeight="1">
      <c r="A107" s="16"/>
      <c r="B107" s="488" t="s">
        <v>134</v>
      </c>
      <c r="C107" s="488">
        <v>735</v>
      </c>
      <c r="D107" s="488">
        <v>526</v>
      </c>
      <c r="E107" s="488">
        <v>504</v>
      </c>
      <c r="F107" s="488">
        <v>7.9000000000000001E-2</v>
      </c>
      <c r="G107" s="488">
        <v>0.1</v>
      </c>
      <c r="H107" s="462">
        <v>38</v>
      </c>
      <c r="Q107" s="470">
        <v>400</v>
      </c>
      <c r="R107" s="471">
        <v>1.0900000000000001</v>
      </c>
      <c r="S107" s="235">
        <v>1.05</v>
      </c>
      <c r="U107" s="10"/>
      <c r="V107" s="10"/>
      <c r="W107" s="10"/>
      <c r="X107" s="10"/>
      <c r="Y107" s="10"/>
      <c r="Z107" s="5"/>
      <c r="AA107" s="5"/>
      <c r="AB107" s="5"/>
      <c r="AC107" s="5"/>
      <c r="AD107" s="5"/>
      <c r="AE107" s="5"/>
      <c r="AF107" s="5"/>
      <c r="AG107" s="5"/>
      <c r="AH107" s="5"/>
    </row>
    <row r="108" spans="1:34" ht="19.5" customHeight="1">
      <c r="A108" s="16"/>
      <c r="B108" s="488" t="s">
        <v>135</v>
      </c>
      <c r="C108" s="488">
        <v>845</v>
      </c>
      <c r="D108" s="488">
        <v>590</v>
      </c>
      <c r="E108" s="488">
        <v>564</v>
      </c>
      <c r="F108" s="488">
        <v>6.3E-2</v>
      </c>
      <c r="G108" s="488">
        <v>9.6000000000000002E-2</v>
      </c>
      <c r="H108" s="462">
        <v>41</v>
      </c>
      <c r="Q108" s="470">
        <v>500</v>
      </c>
      <c r="R108" s="471">
        <v>1.0900000000000001</v>
      </c>
      <c r="S108" s="235">
        <v>1.05</v>
      </c>
      <c r="U108" s="10"/>
      <c r="V108" s="10"/>
      <c r="W108" s="10"/>
      <c r="X108" s="10"/>
      <c r="Y108" s="10"/>
      <c r="Z108" s="5"/>
      <c r="AA108" s="5"/>
      <c r="AB108" s="5"/>
      <c r="AC108" s="5"/>
      <c r="AD108" s="5"/>
      <c r="AE108" s="5"/>
      <c r="AF108" s="5"/>
      <c r="AG108" s="5"/>
      <c r="AH108" s="5"/>
    </row>
    <row r="109" spans="1:34" ht="19.5" customHeight="1">
      <c r="A109" s="16"/>
      <c r="B109" s="488" t="s">
        <v>137</v>
      </c>
      <c r="C109" s="488">
        <v>942</v>
      </c>
      <c r="D109" s="488">
        <v>640</v>
      </c>
      <c r="E109" s="488">
        <v>608</v>
      </c>
      <c r="F109" s="488">
        <v>0.05</v>
      </c>
      <c r="G109" s="488">
        <v>9.5000000000000001E-2</v>
      </c>
      <c r="H109" s="462">
        <v>47</v>
      </c>
      <c r="Q109" s="470">
        <v>630</v>
      </c>
      <c r="R109" s="471">
        <v>1.0900000000000001</v>
      </c>
      <c r="S109" s="235">
        <v>1.05</v>
      </c>
      <c r="U109" s="10"/>
      <c r="V109" s="10"/>
      <c r="W109" s="10"/>
      <c r="X109" s="10"/>
      <c r="Y109" s="10"/>
      <c r="Z109" s="5"/>
      <c r="AA109" s="5"/>
      <c r="AB109" s="5"/>
      <c r="AC109" s="5"/>
      <c r="AD109" s="5"/>
      <c r="AE109" s="5"/>
      <c r="AF109" s="5"/>
      <c r="AG109" s="5"/>
      <c r="AH109" s="5"/>
    </row>
    <row r="110" spans="1:34" ht="19.5" customHeight="1">
      <c r="A110" s="16"/>
      <c r="B110" s="488" t="s">
        <v>138</v>
      </c>
      <c r="C110" s="488">
        <v>1071</v>
      </c>
      <c r="D110" s="488">
        <v>712</v>
      </c>
      <c r="E110" s="488">
        <v>676.4</v>
      </c>
      <c r="F110" s="488">
        <v>4.1000000000000002E-2</v>
      </c>
      <c r="G110" s="488">
        <v>9.2999999999999999E-2</v>
      </c>
      <c r="H110" s="462">
        <v>51</v>
      </c>
      <c r="U110" s="10"/>
      <c r="V110" s="10"/>
      <c r="W110" s="10"/>
      <c r="X110" s="10"/>
      <c r="Y110" s="10"/>
      <c r="Z110" s="5"/>
      <c r="AA110" s="5"/>
      <c r="AB110" s="5"/>
      <c r="AC110" s="5"/>
      <c r="AD110" s="5"/>
      <c r="AE110" s="5"/>
      <c r="AF110" s="5"/>
      <c r="AG110" s="5"/>
      <c r="AH110" s="5"/>
    </row>
    <row r="111" spans="1:34" ht="19.5" customHeight="1">
      <c r="A111" s="16"/>
      <c r="B111" s="488" t="s">
        <v>224</v>
      </c>
      <c r="C111" s="488">
        <v>1210</v>
      </c>
      <c r="D111" s="488">
        <v>781</v>
      </c>
      <c r="E111" s="488">
        <v>741.95</v>
      </c>
      <c r="F111" s="488">
        <v>3.4000000000000002E-2</v>
      </c>
      <c r="G111" s="488">
        <v>0.09</v>
      </c>
      <c r="H111" s="462">
        <v>55</v>
      </c>
      <c r="U111" s="10"/>
      <c r="V111" s="10"/>
      <c r="W111" s="10"/>
      <c r="X111" s="10"/>
      <c r="Y111" s="10"/>
      <c r="Z111" s="5"/>
      <c r="AA111" s="5"/>
      <c r="AB111" s="5"/>
      <c r="AC111" s="5"/>
      <c r="AD111" s="5"/>
      <c r="AE111" s="5"/>
      <c r="AF111" s="5"/>
      <c r="AG111" s="5"/>
      <c r="AH111" s="5"/>
    </row>
    <row r="112" spans="1:34" ht="19.5" customHeight="1">
      <c r="A112" s="16"/>
      <c r="B112" s="488" t="s">
        <v>225</v>
      </c>
      <c r="C112" s="488">
        <v>1332</v>
      </c>
      <c r="D112" s="488">
        <v>841</v>
      </c>
      <c r="E112" s="488">
        <v>798.95</v>
      </c>
      <c r="F112" s="488">
        <v>2.9000000000000001E-2</v>
      </c>
      <c r="G112" s="488">
        <v>8.7999999999999995E-2</v>
      </c>
      <c r="H112" s="462">
        <v>59</v>
      </c>
      <c r="U112" s="10"/>
      <c r="V112" s="10"/>
      <c r="W112" s="10"/>
      <c r="X112" s="10"/>
      <c r="Y112" s="10"/>
      <c r="Z112" s="5"/>
      <c r="AA112" s="5"/>
      <c r="AB112" s="5"/>
      <c r="AC112" s="5"/>
      <c r="AD112" s="5"/>
      <c r="AE112" s="5"/>
      <c r="AF112" s="5"/>
      <c r="AG112" s="5"/>
      <c r="AH112" s="5"/>
    </row>
    <row r="113" spans="1:34" ht="19.5" customHeight="1">
      <c r="A113" s="16"/>
      <c r="B113" s="488"/>
      <c r="C113" s="488"/>
      <c r="D113" s="488"/>
      <c r="E113" s="488"/>
      <c r="F113" s="488"/>
      <c r="G113" s="488"/>
      <c r="H113" s="494"/>
      <c r="U113" s="10"/>
      <c r="V113" s="10"/>
      <c r="W113" s="10"/>
      <c r="X113" s="10"/>
      <c r="Y113" s="10"/>
      <c r="Z113" s="5"/>
      <c r="AA113" s="5"/>
      <c r="AB113" s="5"/>
      <c r="AC113" s="5"/>
      <c r="AD113" s="5"/>
      <c r="AE113" s="5"/>
      <c r="AF113" s="5"/>
      <c r="AG113" s="5"/>
      <c r="AH113" s="5"/>
    </row>
    <row r="114" spans="1:34" ht="19.5" customHeight="1">
      <c r="A114" s="16"/>
      <c r="H114" s="17"/>
      <c r="I114" s="7"/>
      <c r="J114" s="3"/>
      <c r="O114" s="3"/>
      <c r="T114" s="5"/>
      <c r="U114" s="5"/>
      <c r="V114" s="5"/>
      <c r="W114" s="5"/>
      <c r="X114" s="5"/>
      <c r="Y114" s="5"/>
      <c r="Z114" s="5"/>
      <c r="AA114" s="5"/>
      <c r="AB114" s="5"/>
      <c r="AC114" s="5"/>
      <c r="AD114" s="5"/>
      <c r="AE114" s="5"/>
      <c r="AF114" s="5"/>
      <c r="AG114" s="5"/>
      <c r="AH114" s="5"/>
    </row>
    <row r="115" spans="1:34" ht="19.5" customHeight="1">
      <c r="A115" s="26"/>
      <c r="H115" s="20"/>
      <c r="I115" s="7"/>
      <c r="J115" s="3"/>
      <c r="O115" s="3"/>
    </row>
    <row r="116" spans="1:34" ht="27.75" customHeight="1">
      <c r="A116" s="26"/>
      <c r="B116" s="43" t="s">
        <v>226</v>
      </c>
      <c r="C116" s="42"/>
      <c r="D116" s="43"/>
      <c r="E116" s="43"/>
      <c r="F116" s="43" t="s">
        <v>207</v>
      </c>
      <c r="G116" s="44"/>
      <c r="H116" s="20"/>
    </row>
    <row r="117" spans="1:34" ht="42" customHeight="1">
      <c r="A117" s="26"/>
      <c r="B117" s="696" t="s">
        <v>109</v>
      </c>
      <c r="C117" s="686" t="s">
        <v>110</v>
      </c>
      <c r="D117" s="687"/>
      <c r="E117" s="688"/>
      <c r="F117" s="696" t="s">
        <v>208</v>
      </c>
      <c r="G117" s="696" t="s">
        <v>209</v>
      </c>
      <c r="H117" s="695" t="s">
        <v>210</v>
      </c>
    </row>
    <row r="118" spans="1:34" ht="32.25" customHeight="1">
      <c r="A118" s="26"/>
      <c r="B118" s="650"/>
      <c r="C118" s="459" t="s">
        <v>121</v>
      </c>
      <c r="D118" s="459" t="s">
        <v>122</v>
      </c>
      <c r="E118" s="459" t="s">
        <v>123</v>
      </c>
      <c r="F118" s="650"/>
      <c r="G118" s="650"/>
      <c r="H118" s="653"/>
    </row>
    <row r="119" spans="1:34" ht="19.5" customHeight="1">
      <c r="A119" s="26"/>
      <c r="B119" s="488" t="s">
        <v>167</v>
      </c>
      <c r="C119" s="488">
        <v>253</v>
      </c>
      <c r="D119" s="488">
        <v>220</v>
      </c>
      <c r="E119" s="488">
        <v>194</v>
      </c>
      <c r="F119" s="488">
        <v>0.34200000000000003</v>
      </c>
      <c r="G119" s="488">
        <v>9.6000000000000002E-2</v>
      </c>
      <c r="H119" s="495">
        <v>49</v>
      </c>
    </row>
    <row r="120" spans="1:34" ht="32.25" customHeight="1">
      <c r="A120" s="26"/>
      <c r="B120" s="488" t="s">
        <v>168</v>
      </c>
      <c r="C120" s="488">
        <v>307</v>
      </c>
      <c r="D120" s="488">
        <v>263</v>
      </c>
      <c r="E120" s="488">
        <v>232</v>
      </c>
      <c r="F120" s="488">
        <v>0.247</v>
      </c>
      <c r="G120" s="488">
        <v>9.2999999999999999E-2</v>
      </c>
      <c r="H120" s="495">
        <v>52</v>
      </c>
    </row>
    <row r="121" spans="1:34" ht="19.5" customHeight="1">
      <c r="A121" s="26"/>
      <c r="B121" s="488" t="s">
        <v>169</v>
      </c>
      <c r="C121" s="488">
        <v>352</v>
      </c>
      <c r="D121" s="488">
        <v>298</v>
      </c>
      <c r="E121" s="488">
        <v>264</v>
      </c>
      <c r="F121" s="488">
        <v>0.19600000000000001</v>
      </c>
      <c r="G121" s="488">
        <v>0.09</v>
      </c>
      <c r="H121" s="495">
        <v>56</v>
      </c>
    </row>
    <row r="122" spans="1:34" ht="19.5" customHeight="1">
      <c r="A122" s="26"/>
      <c r="B122" s="488" t="s">
        <v>170</v>
      </c>
      <c r="C122" s="488">
        <v>397</v>
      </c>
      <c r="D122" s="488">
        <v>332</v>
      </c>
      <c r="E122" s="488">
        <v>296</v>
      </c>
      <c r="F122" s="488">
        <v>0.159</v>
      </c>
      <c r="G122" s="488">
        <v>8.7999999999999995E-2</v>
      </c>
      <c r="H122" s="495">
        <v>58</v>
      </c>
    </row>
    <row r="123" spans="1:34" ht="19.5" customHeight="1">
      <c r="A123" s="26"/>
      <c r="B123" s="488" t="s">
        <v>171</v>
      </c>
      <c r="C123" s="488">
        <v>453</v>
      </c>
      <c r="D123" s="488">
        <v>374</v>
      </c>
      <c r="E123" s="488">
        <v>335</v>
      </c>
      <c r="F123" s="488">
        <v>0.128</v>
      </c>
      <c r="G123" s="488">
        <v>8.4000000000000005E-2</v>
      </c>
      <c r="H123" s="495">
        <v>63</v>
      </c>
    </row>
    <row r="124" spans="1:34" ht="19.5" customHeight="1">
      <c r="A124" s="26"/>
      <c r="B124" s="488" t="s">
        <v>172</v>
      </c>
      <c r="C124" s="488">
        <v>529</v>
      </c>
      <c r="D124" s="488">
        <v>431</v>
      </c>
      <c r="E124" s="488">
        <v>387</v>
      </c>
      <c r="F124" s="488">
        <v>9.9000000000000005E-2</v>
      </c>
      <c r="G124" s="488">
        <v>8.3000000000000004E-2</v>
      </c>
      <c r="H124" s="495">
        <v>69</v>
      </c>
    </row>
    <row r="125" spans="1:34" ht="19.5" customHeight="1">
      <c r="A125" s="26"/>
      <c r="B125" s="488" t="s">
        <v>173</v>
      </c>
      <c r="C125" s="488">
        <v>599</v>
      </c>
      <c r="D125" s="488">
        <v>482</v>
      </c>
      <c r="E125" s="488">
        <v>435</v>
      </c>
      <c r="F125" s="488">
        <v>0.08</v>
      </c>
      <c r="G125" s="488">
        <v>8.2000000000000003E-2</v>
      </c>
      <c r="H125" s="495">
        <v>75</v>
      </c>
    </row>
    <row r="126" spans="1:34" ht="19.5" customHeight="1">
      <c r="A126" s="26"/>
      <c r="B126" s="488" t="s">
        <v>174</v>
      </c>
      <c r="C126" s="488">
        <v>683</v>
      </c>
      <c r="D126" s="488">
        <v>541</v>
      </c>
      <c r="E126" s="488">
        <v>492</v>
      </c>
      <c r="F126" s="488">
        <v>6.4000000000000001E-2</v>
      </c>
      <c r="G126" s="488">
        <v>0.08</v>
      </c>
      <c r="H126" s="495">
        <v>84</v>
      </c>
    </row>
    <row r="127" spans="1:34" ht="19.5" customHeight="1">
      <c r="A127" s="26"/>
      <c r="H127" s="20"/>
    </row>
    <row r="128" spans="1:34" ht="19.5" customHeight="1">
      <c r="A128" s="26"/>
      <c r="H128" s="20"/>
      <c r="I128" s="8"/>
      <c r="K128" s="2"/>
      <c r="L128" s="2"/>
      <c r="M128" s="2"/>
      <c r="N128" s="2"/>
    </row>
    <row r="129" spans="1:25" ht="19.5" customHeight="1">
      <c r="A129" s="26"/>
      <c r="H129" s="20"/>
      <c r="I129" s="8"/>
      <c r="K129" s="2"/>
      <c r="L129" s="2"/>
      <c r="M129" s="2"/>
      <c r="N129" s="2"/>
    </row>
    <row r="130" spans="1:25" ht="19.5" customHeight="1" thickBot="1">
      <c r="A130" s="27"/>
      <c r="B130" s="28"/>
      <c r="C130" s="28"/>
      <c r="D130" s="28"/>
      <c r="E130" s="28"/>
      <c r="F130" s="28"/>
      <c r="G130" s="28"/>
      <c r="H130" s="29"/>
      <c r="I130" s="8"/>
    </row>
    <row r="131" spans="1:25" ht="19.5" customHeight="1">
      <c r="I131" s="8"/>
    </row>
    <row r="132" spans="1:25" ht="19.5" customHeight="1">
      <c r="I132" s="8"/>
    </row>
    <row r="133" spans="1:25" ht="19.5" customHeight="1">
      <c r="I133" s="8"/>
    </row>
    <row r="134" spans="1:25" ht="19.5" customHeight="1">
      <c r="I134" s="8"/>
    </row>
    <row r="135" spans="1:25" ht="19.5" customHeight="1" thickBot="1">
      <c r="I135" s="8"/>
    </row>
    <row r="136" spans="1:25" ht="19.5" customHeight="1">
      <c r="A136" s="30"/>
      <c r="B136" s="647" t="s">
        <v>228</v>
      </c>
      <c r="C136" s="648"/>
      <c r="D136" s="648"/>
      <c r="E136" s="648"/>
      <c r="F136" s="649"/>
      <c r="G136" s="31"/>
      <c r="H136" s="32"/>
      <c r="I136" s="8"/>
    </row>
    <row r="137" spans="1:25" ht="19.5" customHeight="1">
      <c r="A137" s="26"/>
      <c r="H137" s="20"/>
      <c r="I137" s="8"/>
    </row>
    <row r="138" spans="1:25" ht="28.5" customHeight="1">
      <c r="A138" s="26"/>
      <c r="B138" s="230" t="s">
        <v>206</v>
      </c>
      <c r="C138" s="485"/>
      <c r="D138" s="231"/>
      <c r="E138" s="231"/>
      <c r="F138" s="231" t="s">
        <v>229</v>
      </c>
      <c r="G138" s="232"/>
      <c r="H138" s="233"/>
    </row>
    <row r="139" spans="1:25" ht="98.25" customHeight="1">
      <c r="A139" s="26"/>
      <c r="B139" s="696" t="s">
        <v>109</v>
      </c>
      <c r="C139" s="686" t="s">
        <v>110</v>
      </c>
      <c r="D139" s="687"/>
      <c r="E139" s="688"/>
      <c r="F139" s="696" t="s">
        <v>208</v>
      </c>
      <c r="G139" s="696" t="s">
        <v>209</v>
      </c>
      <c r="H139" s="696" t="s">
        <v>210</v>
      </c>
      <c r="I139" s="634" t="s">
        <v>211</v>
      </c>
      <c r="J139" s="692" t="s">
        <v>115</v>
      </c>
      <c r="K139" s="684" t="s">
        <v>807</v>
      </c>
      <c r="L139" s="684" t="s">
        <v>809</v>
      </c>
      <c r="M139" s="684"/>
      <c r="N139" s="684" t="s">
        <v>118</v>
      </c>
      <c r="O139" s="684" t="s">
        <v>230</v>
      </c>
      <c r="P139" s="684"/>
      <c r="Q139" s="686" t="s">
        <v>231</v>
      </c>
      <c r="R139" s="687"/>
      <c r="S139" s="688"/>
      <c r="U139" s="496" t="s">
        <v>232</v>
      </c>
      <c r="V139" s="496" t="s">
        <v>233</v>
      </c>
      <c r="X139" s="496" t="s">
        <v>232</v>
      </c>
      <c r="Y139" s="496" t="s">
        <v>233</v>
      </c>
    </row>
    <row r="140" spans="1:25" ht="75" customHeight="1">
      <c r="A140" s="26"/>
      <c r="B140" s="650"/>
      <c r="C140" s="459" t="s">
        <v>234</v>
      </c>
      <c r="D140" s="459" t="s">
        <v>216</v>
      </c>
      <c r="E140" s="459" t="s">
        <v>217</v>
      </c>
      <c r="F140" s="650"/>
      <c r="G140" s="650"/>
      <c r="H140" s="650"/>
      <c r="I140" s="635"/>
      <c r="J140" s="697"/>
      <c r="K140" s="696"/>
      <c r="L140" s="496" t="s">
        <v>218</v>
      </c>
      <c r="M140" s="496" t="s">
        <v>125</v>
      </c>
      <c r="N140" s="696"/>
      <c r="O140" s="496" t="s">
        <v>126</v>
      </c>
      <c r="P140" s="496" t="s">
        <v>127</v>
      </c>
      <c r="Q140" s="496" t="s">
        <v>128</v>
      </c>
      <c r="R140" s="496" t="s">
        <v>126</v>
      </c>
      <c r="S140" s="496" t="s">
        <v>127</v>
      </c>
      <c r="U140" s="496" t="s">
        <v>126</v>
      </c>
      <c r="V140" s="496" t="s">
        <v>126</v>
      </c>
      <c r="X140" s="496" t="s">
        <v>127</v>
      </c>
      <c r="Y140" s="496" t="s">
        <v>127</v>
      </c>
    </row>
    <row r="141" spans="1:25" ht="20.149999999999999" customHeight="1">
      <c r="A141" s="26"/>
      <c r="B141" s="461" t="s">
        <v>219</v>
      </c>
      <c r="C141" s="461">
        <v>296</v>
      </c>
      <c r="D141" s="461">
        <v>239</v>
      </c>
      <c r="E141" s="461">
        <v>227</v>
      </c>
      <c r="F141" s="488">
        <v>0.34200000000000003</v>
      </c>
      <c r="G141" s="488">
        <v>0.14499999999999999</v>
      </c>
      <c r="H141" s="234">
        <v>38</v>
      </c>
      <c r="I141" s="632" t="s">
        <v>235</v>
      </c>
      <c r="J141" s="463" t="s">
        <v>131</v>
      </c>
      <c r="K141" s="464">
        <v>0.91</v>
      </c>
      <c r="L141" s="464">
        <v>0.9</v>
      </c>
      <c r="M141" s="464">
        <v>0.97</v>
      </c>
      <c r="N141" s="464" t="s">
        <v>132</v>
      </c>
      <c r="O141" s="464" t="s">
        <v>132</v>
      </c>
      <c r="P141" s="464" t="s">
        <v>132</v>
      </c>
      <c r="Q141" s="466"/>
      <c r="R141" s="466"/>
      <c r="S141" s="466"/>
    </row>
    <row r="142" spans="1:25" ht="20.149999999999999" customHeight="1">
      <c r="A142" s="26"/>
      <c r="B142" s="461" t="s">
        <v>221</v>
      </c>
      <c r="C142" s="461">
        <v>361</v>
      </c>
      <c r="D142" s="461">
        <v>285</v>
      </c>
      <c r="E142" s="461">
        <v>271</v>
      </c>
      <c r="F142" s="488">
        <v>0.247</v>
      </c>
      <c r="G142" s="488">
        <v>0.13900000000000001</v>
      </c>
      <c r="H142" s="234">
        <v>40</v>
      </c>
      <c r="I142" s="633"/>
      <c r="J142" s="493" t="s">
        <v>123</v>
      </c>
      <c r="K142" s="464" t="s">
        <v>132</v>
      </c>
      <c r="L142" s="464">
        <v>0.64</v>
      </c>
      <c r="M142" s="464">
        <v>0.8</v>
      </c>
      <c r="N142" s="464">
        <v>0.89</v>
      </c>
      <c r="O142" s="464">
        <v>0.93</v>
      </c>
      <c r="P142" s="464">
        <v>0.95</v>
      </c>
      <c r="Q142" s="470">
        <v>120</v>
      </c>
      <c r="R142" s="471">
        <v>1.0900000000000001</v>
      </c>
      <c r="S142" s="235">
        <v>1.05</v>
      </c>
      <c r="U142" s="471">
        <v>1.1299999999999999</v>
      </c>
      <c r="V142" s="471">
        <v>0.91</v>
      </c>
      <c r="X142" s="235">
        <v>1.0900000000000001</v>
      </c>
      <c r="Y142" s="235">
        <v>0.93</v>
      </c>
    </row>
    <row r="143" spans="1:25" ht="20.149999999999999" customHeight="1">
      <c r="A143" s="26"/>
      <c r="B143" s="461" t="s">
        <v>222</v>
      </c>
      <c r="C143" s="461">
        <v>417</v>
      </c>
      <c r="D143" s="461">
        <v>323</v>
      </c>
      <c r="E143" s="461">
        <v>308</v>
      </c>
      <c r="F143" s="488">
        <v>0.19600000000000001</v>
      </c>
      <c r="G143" s="488">
        <v>0.13300000000000001</v>
      </c>
      <c r="H143" s="234">
        <v>41</v>
      </c>
      <c r="I143" s="4"/>
      <c r="J143" s="493" t="s">
        <v>122</v>
      </c>
      <c r="K143" s="464" t="s">
        <v>132</v>
      </c>
      <c r="L143" s="464">
        <v>0.64</v>
      </c>
      <c r="M143" s="464">
        <v>0.8</v>
      </c>
      <c r="N143" s="464">
        <v>0.89</v>
      </c>
      <c r="O143" s="464">
        <v>0.93</v>
      </c>
      <c r="P143" s="464">
        <v>0.96</v>
      </c>
      <c r="Q143" s="470">
        <v>150</v>
      </c>
      <c r="R143" s="471">
        <v>1.0900000000000001</v>
      </c>
      <c r="S143" s="235">
        <v>1.05</v>
      </c>
      <c r="U143" s="471">
        <v>1.1299999999999999</v>
      </c>
      <c r="V143" s="471">
        <v>0.91</v>
      </c>
      <c r="X143" s="235">
        <v>1.0900000000000001</v>
      </c>
      <c r="Y143" s="235">
        <v>0.93</v>
      </c>
    </row>
    <row r="144" spans="1:25" ht="37.5" customHeight="1">
      <c r="A144" s="26"/>
      <c r="B144" s="461" t="s">
        <v>223</v>
      </c>
      <c r="C144" s="461">
        <v>473</v>
      </c>
      <c r="D144" s="461">
        <v>361</v>
      </c>
      <c r="E144" s="461">
        <v>343</v>
      </c>
      <c r="F144" s="488">
        <v>0.159</v>
      </c>
      <c r="G144" s="488">
        <v>0.13200000000000001</v>
      </c>
      <c r="H144" s="234">
        <v>44</v>
      </c>
      <c r="I144" s="4"/>
      <c r="J144" s="501" t="s">
        <v>136</v>
      </c>
      <c r="K144" s="464">
        <v>0.91</v>
      </c>
      <c r="L144" s="464">
        <v>0.9</v>
      </c>
      <c r="M144" s="464">
        <v>0.97</v>
      </c>
      <c r="N144" s="464" t="s">
        <v>132</v>
      </c>
      <c r="O144" s="464" t="s">
        <v>132</v>
      </c>
      <c r="P144" s="464" t="s">
        <v>132</v>
      </c>
      <c r="Q144" s="470">
        <v>185</v>
      </c>
      <c r="R144" s="471">
        <v>1.0900000000000001</v>
      </c>
      <c r="S144" s="235">
        <v>1.05</v>
      </c>
      <c r="U144" s="471">
        <v>1.1299999999999999</v>
      </c>
      <c r="V144" s="471">
        <v>0.91</v>
      </c>
      <c r="X144" s="235">
        <v>1.0900000000000001</v>
      </c>
      <c r="Y144" s="235">
        <v>0.93</v>
      </c>
    </row>
    <row r="145" spans="1:25" ht="20.149999999999999" customHeight="1">
      <c r="A145" s="26"/>
      <c r="B145" s="461" t="s">
        <v>129</v>
      </c>
      <c r="C145" s="461">
        <v>543</v>
      </c>
      <c r="D145" s="461">
        <v>406</v>
      </c>
      <c r="E145" s="461">
        <v>387</v>
      </c>
      <c r="F145" s="488">
        <v>0.128</v>
      </c>
      <c r="G145" s="488">
        <v>0.126</v>
      </c>
      <c r="H145" s="234">
        <v>46</v>
      </c>
      <c r="I145" s="4"/>
      <c r="Q145" s="470">
        <v>240</v>
      </c>
      <c r="R145" s="471">
        <v>1.0900000000000001</v>
      </c>
      <c r="S145" s="235">
        <v>1.05</v>
      </c>
      <c r="U145" s="471">
        <v>1.1399999999999999</v>
      </c>
      <c r="V145" s="471">
        <v>0.91</v>
      </c>
      <c r="X145" s="235">
        <v>1.1000000000000001</v>
      </c>
      <c r="Y145" s="235">
        <v>0.93</v>
      </c>
    </row>
    <row r="146" spans="1:25" ht="20.149999999999999" customHeight="1">
      <c r="A146" s="26"/>
      <c r="B146" s="461" t="s">
        <v>133</v>
      </c>
      <c r="C146" s="461">
        <v>641</v>
      </c>
      <c r="D146" s="461">
        <v>469</v>
      </c>
      <c r="E146" s="461">
        <v>447</v>
      </c>
      <c r="F146" s="488">
        <v>9.8000000000000004E-2</v>
      </c>
      <c r="G146" s="488">
        <v>0.121</v>
      </c>
      <c r="H146" s="234">
        <v>48</v>
      </c>
      <c r="Q146" s="470">
        <v>300</v>
      </c>
      <c r="R146" s="471">
        <v>1.0900000000000001</v>
      </c>
      <c r="S146" s="235">
        <v>1.05</v>
      </c>
      <c r="U146" s="471">
        <v>1.1399999999999999</v>
      </c>
      <c r="V146" s="471">
        <v>0.9</v>
      </c>
      <c r="X146" s="235">
        <v>1.1000000000000001</v>
      </c>
      <c r="Y146" s="235">
        <v>0.92</v>
      </c>
    </row>
    <row r="147" spans="1:25" ht="20.149999999999999" customHeight="1">
      <c r="A147" s="26"/>
      <c r="B147" s="461" t="s">
        <v>134</v>
      </c>
      <c r="C147" s="461">
        <v>735</v>
      </c>
      <c r="D147" s="461">
        <v>526</v>
      </c>
      <c r="E147" s="461">
        <v>504</v>
      </c>
      <c r="F147" s="488">
        <v>7.9000000000000001E-2</v>
      </c>
      <c r="G147" s="488">
        <v>0.11799999999999999</v>
      </c>
      <c r="H147" s="234">
        <v>50</v>
      </c>
      <c r="Q147" s="470">
        <v>400</v>
      </c>
      <c r="R147" s="471">
        <v>1.0900000000000001</v>
      </c>
      <c r="S147" s="235">
        <v>1.05</v>
      </c>
      <c r="U147" s="471">
        <v>1.1399999999999999</v>
      </c>
      <c r="V147" s="471">
        <v>0.9</v>
      </c>
      <c r="X147" s="235">
        <v>1.1000000000000001</v>
      </c>
      <c r="Y147" s="235">
        <v>0.92</v>
      </c>
    </row>
    <row r="148" spans="1:25" ht="20.149999999999999" customHeight="1">
      <c r="A148" s="26"/>
      <c r="B148" s="461" t="s">
        <v>135</v>
      </c>
      <c r="C148" s="461">
        <v>845</v>
      </c>
      <c r="D148" s="461">
        <v>590</v>
      </c>
      <c r="E148" s="461">
        <v>564</v>
      </c>
      <c r="F148" s="488">
        <v>6.3E-2</v>
      </c>
      <c r="G148" s="488">
        <v>0.112</v>
      </c>
      <c r="H148" s="234">
        <v>53</v>
      </c>
      <c r="Q148" s="470">
        <v>500</v>
      </c>
      <c r="R148" s="471">
        <v>1.0900000000000001</v>
      </c>
      <c r="S148" s="235">
        <v>1.05</v>
      </c>
      <c r="U148" s="471">
        <v>1.1399999999999999</v>
      </c>
      <c r="V148" s="471">
        <v>0.9</v>
      </c>
      <c r="X148" s="235">
        <v>1.1000000000000001</v>
      </c>
      <c r="Y148" s="235">
        <v>0.92</v>
      </c>
    </row>
    <row r="149" spans="1:25" ht="20.149999999999999" customHeight="1">
      <c r="A149" s="26"/>
      <c r="B149" s="461" t="s">
        <v>137</v>
      </c>
      <c r="C149" s="461">
        <v>942</v>
      </c>
      <c r="D149" s="461">
        <v>640</v>
      </c>
      <c r="E149" s="461">
        <v>608</v>
      </c>
      <c r="F149" s="488">
        <v>0.05</v>
      </c>
      <c r="G149" s="488">
        <v>0.108</v>
      </c>
      <c r="H149" s="234">
        <v>57</v>
      </c>
      <c r="Q149" s="470">
        <v>630</v>
      </c>
      <c r="R149" s="471">
        <v>1.0900000000000001</v>
      </c>
      <c r="S149" s="235">
        <v>1.05</v>
      </c>
      <c r="U149" s="471">
        <v>1.1399999999999999</v>
      </c>
      <c r="V149" s="471">
        <v>0.9</v>
      </c>
      <c r="X149" s="235">
        <v>1.1000000000000001</v>
      </c>
      <c r="Y149" s="235">
        <v>0.92</v>
      </c>
    </row>
    <row r="150" spans="1:25" ht="20.149999999999999" customHeight="1">
      <c r="A150" s="26"/>
      <c r="B150" s="461" t="s">
        <v>138</v>
      </c>
      <c r="C150" s="461">
        <v>1071</v>
      </c>
      <c r="D150" s="461">
        <v>712</v>
      </c>
      <c r="E150" s="461">
        <v>676.4</v>
      </c>
      <c r="F150" s="488">
        <v>4.1000000000000002E-2</v>
      </c>
      <c r="G150" s="488">
        <v>0.104</v>
      </c>
      <c r="H150" s="234">
        <v>61</v>
      </c>
      <c r="I150" s="4"/>
    </row>
    <row r="151" spans="1:25" ht="20.149999999999999" customHeight="1">
      <c r="A151" s="26"/>
      <c r="B151" s="461" t="s">
        <v>224</v>
      </c>
      <c r="C151" s="461">
        <v>1210</v>
      </c>
      <c r="D151" s="461">
        <v>781</v>
      </c>
      <c r="E151" s="461">
        <v>741.95</v>
      </c>
      <c r="F151" s="488">
        <v>3.4000000000000002E-2</v>
      </c>
      <c r="G151" s="488">
        <v>0.10100000000000001</v>
      </c>
      <c r="H151" s="234">
        <v>66</v>
      </c>
      <c r="I151" s="4"/>
    </row>
    <row r="152" spans="1:25" ht="20.149999999999999" customHeight="1">
      <c r="A152" s="26"/>
      <c r="B152" s="461" t="s">
        <v>225</v>
      </c>
      <c r="C152" s="461">
        <v>1332</v>
      </c>
      <c r="D152" s="461">
        <v>841</v>
      </c>
      <c r="E152" s="461">
        <v>798.95</v>
      </c>
      <c r="F152" s="488">
        <v>2.9000000000000001E-2</v>
      </c>
      <c r="G152" s="488">
        <v>9.8000000000000004E-2</v>
      </c>
      <c r="H152" s="234">
        <v>70</v>
      </c>
      <c r="I152" s="4"/>
    </row>
    <row r="153" spans="1:25" ht="20.149999999999999" customHeight="1">
      <c r="A153" s="26"/>
      <c r="B153" s="461"/>
      <c r="C153" s="461"/>
      <c r="D153" s="461"/>
      <c r="E153" s="461"/>
      <c r="F153" s="488"/>
      <c r="G153" s="488"/>
      <c r="H153" s="234"/>
      <c r="I153" s="7"/>
    </row>
    <row r="154" spans="1:25">
      <c r="A154" s="26"/>
      <c r="H154" s="20"/>
      <c r="K154" s="2"/>
    </row>
    <row r="155" spans="1:25">
      <c r="A155" s="26"/>
      <c r="B155" s="230" t="s">
        <v>226</v>
      </c>
      <c r="C155" s="485"/>
      <c r="D155" s="231"/>
      <c r="E155" s="231"/>
      <c r="F155" s="231" t="s">
        <v>229</v>
      </c>
      <c r="G155" s="232"/>
      <c r="H155" s="233"/>
      <c r="K155" s="2"/>
      <c r="L155" s="2"/>
      <c r="M155" s="2"/>
      <c r="N155" s="2"/>
    </row>
    <row r="156" spans="1:25" ht="30" customHeight="1">
      <c r="A156" s="26"/>
      <c r="B156" s="696" t="s">
        <v>109</v>
      </c>
      <c r="C156" s="686" t="s">
        <v>110</v>
      </c>
      <c r="D156" s="687"/>
      <c r="E156" s="688"/>
      <c r="F156" s="696" t="s">
        <v>208</v>
      </c>
      <c r="G156" s="696" t="s">
        <v>209</v>
      </c>
      <c r="H156" s="696" t="s">
        <v>210</v>
      </c>
      <c r="K156" s="2"/>
      <c r="L156" s="2"/>
      <c r="M156" s="2"/>
      <c r="N156" s="2"/>
    </row>
    <row r="157" spans="1:25" ht="30" customHeight="1">
      <c r="A157" s="26"/>
      <c r="B157" s="650"/>
      <c r="C157" s="459" t="s">
        <v>121</v>
      </c>
      <c r="D157" s="459" t="s">
        <v>122</v>
      </c>
      <c r="E157" s="459" t="s">
        <v>123</v>
      </c>
      <c r="F157" s="650"/>
      <c r="G157" s="650"/>
      <c r="H157" s="650"/>
      <c r="K157" s="2"/>
      <c r="L157" s="2"/>
      <c r="M157" s="2"/>
      <c r="N157" s="2"/>
    </row>
    <row r="158" spans="1:25" ht="15" customHeight="1">
      <c r="A158" s="26"/>
      <c r="B158" s="488" t="s">
        <v>167</v>
      </c>
      <c r="C158" s="488">
        <v>253</v>
      </c>
      <c r="D158" s="488">
        <v>220</v>
      </c>
      <c r="E158" s="488">
        <v>194</v>
      </c>
      <c r="F158" s="488">
        <v>0.34200000000000003</v>
      </c>
      <c r="G158" s="488">
        <v>0.129</v>
      </c>
      <c r="H158" s="234">
        <v>49</v>
      </c>
      <c r="K158" s="2"/>
      <c r="L158" s="2"/>
      <c r="M158" s="2"/>
      <c r="N158" s="2"/>
    </row>
    <row r="159" spans="1:25">
      <c r="A159" s="26"/>
      <c r="B159" s="488" t="s">
        <v>168</v>
      </c>
      <c r="C159" s="488">
        <v>307</v>
      </c>
      <c r="D159" s="488">
        <v>263</v>
      </c>
      <c r="E159" s="488">
        <v>232</v>
      </c>
      <c r="F159" s="488">
        <v>0.247</v>
      </c>
      <c r="G159" s="488">
        <v>0.123</v>
      </c>
      <c r="H159" s="234">
        <v>52</v>
      </c>
      <c r="K159" s="2"/>
      <c r="L159" s="2"/>
      <c r="M159" s="2"/>
      <c r="N159" s="2"/>
    </row>
    <row r="160" spans="1:25">
      <c r="A160" s="26"/>
      <c r="B160" s="488" t="s">
        <v>169</v>
      </c>
      <c r="C160" s="488">
        <v>352</v>
      </c>
      <c r="D160" s="488">
        <v>298</v>
      </c>
      <c r="E160" s="488">
        <v>264</v>
      </c>
      <c r="F160" s="488">
        <v>0.19600000000000001</v>
      </c>
      <c r="G160" s="488">
        <v>0.11799999999999999</v>
      </c>
      <c r="H160" s="234">
        <v>56</v>
      </c>
      <c r="K160" s="2"/>
      <c r="L160" s="2"/>
      <c r="M160" s="2"/>
      <c r="N160" s="2"/>
    </row>
    <row r="161" spans="1:14">
      <c r="A161" s="26"/>
      <c r="B161" s="488" t="s">
        <v>170</v>
      </c>
      <c r="C161" s="488">
        <v>397</v>
      </c>
      <c r="D161" s="488">
        <v>332</v>
      </c>
      <c r="E161" s="488">
        <v>296</v>
      </c>
      <c r="F161" s="488">
        <v>0.159</v>
      </c>
      <c r="G161" s="488">
        <v>0.115</v>
      </c>
      <c r="H161" s="234">
        <v>58</v>
      </c>
      <c r="K161" s="2"/>
      <c r="L161" s="2"/>
      <c r="M161" s="2"/>
      <c r="N161" s="2"/>
    </row>
    <row r="162" spans="1:14">
      <c r="A162" s="26"/>
      <c r="B162" s="488" t="s">
        <v>171</v>
      </c>
      <c r="C162" s="488">
        <v>453</v>
      </c>
      <c r="D162" s="488">
        <v>374</v>
      </c>
      <c r="E162" s="488">
        <v>335</v>
      </c>
      <c r="F162" s="488">
        <v>0.128</v>
      </c>
      <c r="G162" s="488">
        <v>0.11</v>
      </c>
      <c r="H162" s="234">
        <v>63</v>
      </c>
      <c r="K162" s="2"/>
      <c r="L162" s="2"/>
      <c r="M162" s="2"/>
      <c r="N162" s="2"/>
    </row>
    <row r="163" spans="1:14">
      <c r="A163" s="26"/>
      <c r="B163" s="488" t="s">
        <v>172</v>
      </c>
      <c r="C163" s="488">
        <v>529</v>
      </c>
      <c r="D163" s="488">
        <v>431</v>
      </c>
      <c r="E163" s="488">
        <v>387</v>
      </c>
      <c r="F163" s="488">
        <v>0.99</v>
      </c>
      <c r="G163" s="488">
        <v>0.105</v>
      </c>
      <c r="H163" s="234">
        <v>69</v>
      </c>
      <c r="K163" s="2"/>
      <c r="L163" s="2"/>
      <c r="M163" s="2"/>
      <c r="N163" s="2"/>
    </row>
    <row r="164" spans="1:14">
      <c r="A164" s="26"/>
      <c r="B164" s="488" t="s">
        <v>173</v>
      </c>
      <c r="C164" s="488">
        <v>599</v>
      </c>
      <c r="D164" s="488">
        <v>482</v>
      </c>
      <c r="E164" s="488">
        <v>435</v>
      </c>
      <c r="F164" s="488">
        <v>0.8</v>
      </c>
      <c r="G164" s="488">
        <v>0.10299999999999999</v>
      </c>
      <c r="H164" s="234">
        <v>75</v>
      </c>
      <c r="K164" s="2"/>
      <c r="L164" s="2"/>
      <c r="M164" s="2"/>
      <c r="N164" s="2"/>
    </row>
    <row r="165" spans="1:14">
      <c r="A165" s="26"/>
      <c r="B165" s="488" t="s">
        <v>174</v>
      </c>
      <c r="C165" s="488">
        <v>683</v>
      </c>
      <c r="D165" s="488">
        <v>541</v>
      </c>
      <c r="E165" s="488">
        <v>492</v>
      </c>
      <c r="F165" s="488">
        <v>6.4000000000000001E-2</v>
      </c>
      <c r="G165" s="488">
        <v>9.8000000000000004E-2</v>
      </c>
      <c r="H165" s="234">
        <v>84</v>
      </c>
      <c r="K165" s="2"/>
      <c r="L165" s="2"/>
      <c r="M165" s="2"/>
      <c r="N165" s="2"/>
    </row>
    <row r="166" spans="1:14">
      <c r="A166" s="26"/>
      <c r="H166" s="20"/>
      <c r="K166" s="2"/>
      <c r="L166" s="2"/>
      <c r="M166" s="2"/>
      <c r="N166" s="2"/>
    </row>
    <row r="167" spans="1:14">
      <c r="A167" s="26"/>
      <c r="H167" s="20"/>
      <c r="K167" s="2"/>
      <c r="L167" s="2"/>
      <c r="M167" s="2"/>
      <c r="N167" s="2"/>
    </row>
    <row r="168" spans="1:14">
      <c r="A168" s="26"/>
      <c r="H168" s="20"/>
      <c r="K168" s="2"/>
      <c r="L168" s="2"/>
      <c r="M168" s="2"/>
      <c r="N168" s="2"/>
    </row>
    <row r="169" spans="1:14">
      <c r="A169" s="26"/>
      <c r="H169" s="20"/>
      <c r="K169" s="2"/>
      <c r="L169" s="2"/>
      <c r="M169" s="2"/>
      <c r="N169" s="2"/>
    </row>
    <row r="170" spans="1:14" ht="15" thickBot="1">
      <c r="A170" s="27"/>
      <c r="B170" s="28"/>
      <c r="C170" s="28"/>
      <c r="D170" s="28"/>
      <c r="E170" s="28"/>
      <c r="F170" s="28"/>
      <c r="G170" s="28"/>
      <c r="H170" s="29"/>
      <c r="K170" s="2"/>
      <c r="L170" s="2"/>
      <c r="M170" s="2"/>
      <c r="N170" s="2"/>
    </row>
    <row r="171" spans="1:14">
      <c r="K171" s="2"/>
      <c r="L171" s="2"/>
      <c r="M171" s="2"/>
      <c r="N171" s="2"/>
    </row>
    <row r="172" spans="1:14">
      <c r="K172" s="2"/>
      <c r="L172" s="2"/>
      <c r="M172" s="2"/>
      <c r="N172" s="2"/>
    </row>
    <row r="190" spans="11:24">
      <c r="K190" s="2"/>
      <c r="L190" s="2"/>
      <c r="M190" s="2"/>
      <c r="N190" s="2"/>
      <c r="S190" s="2"/>
      <c r="T190" s="2"/>
      <c r="U190" s="2"/>
      <c r="V190" s="2"/>
      <c r="W190" s="2"/>
      <c r="X190" s="2"/>
    </row>
    <row r="191" spans="11:24">
      <c r="K191" s="2"/>
      <c r="L191" s="2"/>
      <c r="M191" s="2"/>
      <c r="N191" s="2"/>
      <c r="S191" s="2"/>
      <c r="T191" s="2"/>
      <c r="U191" s="2"/>
      <c r="V191" s="2"/>
      <c r="W191" s="2"/>
      <c r="X191" s="2"/>
    </row>
    <row r="192" spans="11:24">
      <c r="K192" s="2"/>
      <c r="L192" s="2"/>
      <c r="M192" s="2"/>
      <c r="N192" s="2"/>
      <c r="S192" s="2"/>
      <c r="T192" s="2"/>
      <c r="U192" s="2"/>
      <c r="V192" s="2"/>
      <c r="W192" s="2"/>
      <c r="X192" s="2"/>
    </row>
    <row r="193" spans="11:24" ht="15" customHeight="1">
      <c r="K193" s="2"/>
      <c r="L193" s="2"/>
      <c r="M193" s="2"/>
      <c r="N193" s="2"/>
      <c r="S193" s="2"/>
      <c r="T193" s="2"/>
      <c r="U193" s="2"/>
      <c r="V193" s="2"/>
      <c r="W193" s="2"/>
      <c r="X193" s="2"/>
    </row>
    <row r="194" spans="11:24">
      <c r="K194" s="2"/>
      <c r="L194" s="2"/>
      <c r="M194" s="2"/>
      <c r="N194" s="2"/>
      <c r="S194" s="2"/>
      <c r="T194" s="2"/>
      <c r="U194" s="2"/>
      <c r="V194" s="2"/>
      <c r="W194" s="2"/>
      <c r="X194" s="2"/>
    </row>
    <row r="195" spans="11:24">
      <c r="K195" s="2"/>
      <c r="L195" s="2"/>
      <c r="M195" s="2"/>
      <c r="N195" s="2"/>
      <c r="S195" s="2"/>
      <c r="T195" s="2"/>
      <c r="U195" s="2"/>
      <c r="V195" s="2"/>
      <c r="W195" s="2"/>
      <c r="X195" s="2"/>
    </row>
    <row r="196" spans="11:24">
      <c r="K196" s="2"/>
      <c r="L196" s="2"/>
      <c r="M196" s="2"/>
      <c r="N196" s="2"/>
      <c r="S196" s="2"/>
      <c r="T196" s="2"/>
      <c r="U196" s="2"/>
      <c r="V196" s="2"/>
      <c r="W196" s="2"/>
      <c r="X196" s="2"/>
    </row>
    <row r="197" spans="11:24">
      <c r="K197" s="2"/>
      <c r="L197" s="2"/>
      <c r="M197" s="2"/>
      <c r="N197" s="2"/>
      <c r="S197" s="2"/>
      <c r="T197" s="2"/>
      <c r="U197" s="2"/>
      <c r="V197" s="2"/>
      <c r="W197" s="2"/>
      <c r="X197" s="2"/>
    </row>
    <row r="198" spans="11:24">
      <c r="K198" s="2"/>
      <c r="L198" s="2"/>
      <c r="M198" s="2"/>
      <c r="N198" s="2"/>
      <c r="S198" s="2"/>
      <c r="T198" s="2"/>
      <c r="U198" s="2"/>
      <c r="V198" s="2"/>
      <c r="W198" s="2"/>
      <c r="X198" s="2"/>
    </row>
    <row r="199" spans="11:24">
      <c r="K199" s="2"/>
      <c r="L199" s="2"/>
      <c r="M199" s="2"/>
      <c r="N199" s="2"/>
      <c r="S199" s="2"/>
      <c r="T199" s="2"/>
      <c r="U199" s="2"/>
      <c r="V199" s="2"/>
      <c r="W199" s="2"/>
      <c r="X199" s="2"/>
    </row>
    <row r="200" spans="11:24">
      <c r="K200" s="2"/>
      <c r="L200" s="2"/>
      <c r="M200" s="2"/>
      <c r="N200" s="2"/>
      <c r="S200" s="2"/>
      <c r="T200" s="2"/>
      <c r="U200" s="2"/>
      <c r="V200" s="2"/>
      <c r="W200" s="2"/>
      <c r="X200" s="2"/>
    </row>
    <row r="201" spans="11:24">
      <c r="K201" s="2"/>
      <c r="L201" s="2"/>
      <c r="M201" s="2"/>
      <c r="N201" s="2"/>
      <c r="S201" s="2"/>
      <c r="T201" s="2"/>
      <c r="U201" s="2"/>
      <c r="V201" s="2"/>
      <c r="W201" s="2"/>
      <c r="X201" s="2"/>
    </row>
  </sheetData>
  <mergeCells count="83">
    <mergeCell ref="B3:F3"/>
    <mergeCell ref="B4:D4"/>
    <mergeCell ref="AN5:AN6"/>
    <mergeCell ref="B7:B8"/>
    <mergeCell ref="C7:E7"/>
    <mergeCell ref="F7:F8"/>
    <mergeCell ref="G7:G8"/>
    <mergeCell ref="H7:H8"/>
    <mergeCell ref="I7:I8"/>
    <mergeCell ref="J7:J8"/>
    <mergeCell ref="K7:K8"/>
    <mergeCell ref="L7:M7"/>
    <mergeCell ref="N7:N8"/>
    <mergeCell ref="O7:P7"/>
    <mergeCell ref="Q7:S7"/>
    <mergeCell ref="AJ9:AJ10"/>
    <mergeCell ref="AL9:AL10"/>
    <mergeCell ref="AN9:AN10"/>
    <mergeCell ref="AP9:AP10"/>
    <mergeCell ref="B17:B18"/>
    <mergeCell ref="C17:E17"/>
    <mergeCell ref="F17:F18"/>
    <mergeCell ref="G17:G18"/>
    <mergeCell ref="H17:H18"/>
    <mergeCell ref="I9:I10"/>
    <mergeCell ref="B59:B60"/>
    <mergeCell ref="C59:E59"/>
    <mergeCell ref="F59:F60"/>
    <mergeCell ref="G59:G60"/>
    <mergeCell ref="H59:H60"/>
    <mergeCell ref="B38:B39"/>
    <mergeCell ref="C38:E38"/>
    <mergeCell ref="F38:F39"/>
    <mergeCell ref="G38:G39"/>
    <mergeCell ref="H38:H39"/>
    <mergeCell ref="B80:B81"/>
    <mergeCell ref="C80:E80"/>
    <mergeCell ref="F80:F81"/>
    <mergeCell ref="G80:G81"/>
    <mergeCell ref="H80:H81"/>
    <mergeCell ref="K74:K75"/>
    <mergeCell ref="L74:M74"/>
    <mergeCell ref="N74:N75"/>
    <mergeCell ref="O74:P74"/>
    <mergeCell ref="R74:U74"/>
    <mergeCell ref="B95:F95"/>
    <mergeCell ref="B99:B100"/>
    <mergeCell ref="C99:E99"/>
    <mergeCell ref="F99:F100"/>
    <mergeCell ref="G99:G10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H99:H100"/>
    <mergeCell ref="B136:F136"/>
    <mergeCell ref="B139:B140"/>
    <mergeCell ref="C139:E139"/>
    <mergeCell ref="F139:F140"/>
    <mergeCell ref="G139:G140"/>
    <mergeCell ref="Q139:S139"/>
    <mergeCell ref="I141:I142"/>
    <mergeCell ref="B156:B157"/>
    <mergeCell ref="C156:E156"/>
    <mergeCell ref="F156:F157"/>
    <mergeCell ref="G156:G157"/>
    <mergeCell ref="H156:H157"/>
    <mergeCell ref="I139:I140"/>
    <mergeCell ref="J139:J140"/>
    <mergeCell ref="K139:K140"/>
    <mergeCell ref="L139:M139"/>
    <mergeCell ref="N139:N140"/>
    <mergeCell ref="O139:P139"/>
    <mergeCell ref="H139:H140"/>
  </mergeCells>
  <pageMargins left="0.7" right="0.7" top="0.75" bottom="0.75" header="0.3" footer="0.3"/>
  <pageSetup scale="3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E5B8-0C06-4F91-AF1B-5CDAA623C9C4}">
  <sheetPr codeName="Sheet12"/>
  <dimension ref="A1:AP241"/>
  <sheetViews>
    <sheetView view="pageBreakPreview" topLeftCell="A157" zoomScale="70" zoomScaleNormal="25" zoomScaleSheetLayoutView="70" workbookViewId="0">
      <selection activeCell="N168" sqref="N168"/>
    </sheetView>
  </sheetViews>
  <sheetFormatPr defaultColWidth="9.1796875" defaultRowHeight="14.5"/>
  <cols>
    <col min="1" max="1" width="9.1796875" style="3"/>
    <col min="2" max="2" width="13.7265625" style="2" customWidth="1"/>
    <col min="3" max="3" width="14.26953125" style="2" customWidth="1"/>
    <col min="4" max="4" width="12.453125" style="2" customWidth="1"/>
    <col min="5" max="5" width="11.26953125" style="2" customWidth="1"/>
    <col min="6" max="6" width="15" style="2" customWidth="1"/>
    <col min="7" max="7" width="15.7265625" style="2" customWidth="1"/>
    <col min="8" max="8" width="13" style="2" customWidth="1"/>
    <col min="9" max="9" width="9.26953125" style="2" customWidth="1"/>
    <col min="10" max="10" width="11.81640625" style="2" customWidth="1"/>
    <col min="11" max="11" width="12.7265625" style="3" customWidth="1"/>
    <col min="12" max="12" width="19.26953125" style="3" customWidth="1"/>
    <col min="13" max="13" width="13.54296875" style="3" customWidth="1"/>
    <col min="14" max="14" width="11.1796875" style="3" customWidth="1"/>
    <col min="15" max="16" width="10.54296875" style="2" customWidth="1"/>
    <col min="17" max="18" width="10.26953125" style="2" customWidth="1"/>
    <col min="19" max="19" width="10.26953125" style="3" customWidth="1"/>
    <col min="20" max="20" width="4" style="3" customWidth="1"/>
    <col min="21" max="22" width="21.7265625" style="3" hidden="1" customWidth="1"/>
    <col min="23" max="23" width="4.54296875" style="3" hidden="1" customWidth="1"/>
    <col min="24" max="24" width="21.7265625" style="3" hidden="1" customWidth="1"/>
    <col min="25" max="25" width="16" style="3" hidden="1" customWidth="1"/>
    <col min="26" max="28" width="16" style="3" customWidth="1"/>
    <col min="29" max="29" width="13.26953125" style="3" customWidth="1"/>
    <col min="30" max="31" width="16.7265625" style="3" customWidth="1"/>
    <col min="32" max="32" width="5.26953125" style="3" customWidth="1"/>
    <col min="33" max="35" width="4.81640625" style="3" customWidth="1"/>
    <col min="36" max="36" width="15.7265625" style="3" customWidth="1"/>
    <col min="37" max="37" width="9.1796875" style="3" customWidth="1"/>
    <col min="38" max="38" width="16.26953125" style="3" customWidth="1"/>
    <col min="39" max="39" width="9.1796875" style="3" customWidth="1"/>
    <col min="40" max="40" width="35.81640625" style="3" customWidth="1"/>
    <col min="41" max="41" width="14.81640625" style="3" customWidth="1"/>
    <col min="42" max="42" width="24.26953125" style="3" bestFit="1" customWidth="1"/>
    <col min="43" max="43" width="9.453125" style="3" bestFit="1" customWidth="1"/>
    <col min="44" max="44" width="9.1796875" style="3" customWidth="1"/>
    <col min="45" max="16384" width="9.1796875" style="3"/>
  </cols>
  <sheetData>
    <row r="1" spans="1:42" s="5" customFormat="1">
      <c r="B1" s="4"/>
      <c r="C1" s="4"/>
      <c r="D1" s="4"/>
      <c r="E1" s="4"/>
      <c r="F1" s="4"/>
      <c r="G1" s="4"/>
      <c r="H1" s="4"/>
      <c r="I1" s="4"/>
      <c r="J1" s="4"/>
      <c r="O1" s="4"/>
      <c r="P1" s="4"/>
      <c r="Q1" s="4"/>
      <c r="R1" s="4"/>
    </row>
    <row r="2" spans="1:42" s="5" customFormat="1" ht="15" thickBot="1">
      <c r="B2" s="4"/>
      <c r="C2" s="4"/>
      <c r="D2" s="4"/>
      <c r="E2" s="4"/>
      <c r="F2" s="4"/>
      <c r="G2" s="4"/>
      <c r="H2" s="4"/>
      <c r="I2" s="4"/>
      <c r="J2" s="4"/>
      <c r="O2" s="4"/>
      <c r="P2" s="4"/>
      <c r="Q2" s="4"/>
      <c r="R2" s="4"/>
    </row>
    <row r="3" spans="1:42" ht="39.75" customHeight="1">
      <c r="A3" s="13"/>
      <c r="B3" s="654" t="s">
        <v>105</v>
      </c>
      <c r="C3" s="655"/>
      <c r="D3" s="655"/>
      <c r="E3" s="655"/>
      <c r="F3" s="656"/>
      <c r="G3" s="14"/>
      <c r="H3" s="15"/>
      <c r="I3" s="4"/>
      <c r="J3" s="458" t="s">
        <v>106</v>
      </c>
      <c r="K3" s="458"/>
      <c r="L3" s="5"/>
      <c r="M3" s="5"/>
      <c r="N3" s="5"/>
      <c r="O3" s="5"/>
      <c r="P3" s="5"/>
      <c r="Q3" s="5"/>
      <c r="R3" s="5"/>
      <c r="S3" s="5"/>
    </row>
    <row r="4" spans="1:42" ht="20.149999999999999" customHeight="1">
      <c r="A4" s="16"/>
      <c r="B4" s="658"/>
      <c r="C4" s="658"/>
      <c r="D4" s="658"/>
      <c r="E4" s="4"/>
      <c r="F4" s="4"/>
      <c r="G4" s="4"/>
      <c r="H4" s="17"/>
      <c r="I4" s="4"/>
      <c r="J4" s="5"/>
      <c r="K4" s="5"/>
      <c r="L4" s="5"/>
      <c r="M4" s="5"/>
      <c r="N4" s="5"/>
      <c r="O4" s="5"/>
      <c r="P4" s="5"/>
      <c r="Q4" s="5"/>
      <c r="R4" s="5"/>
      <c r="S4" s="5"/>
    </row>
    <row r="5" spans="1:42" ht="27.75" customHeight="1">
      <c r="A5" s="16"/>
      <c r="B5" s="41" t="s">
        <v>107</v>
      </c>
      <c r="C5" s="42"/>
      <c r="D5" s="42"/>
      <c r="E5" s="42"/>
      <c r="F5" s="42"/>
      <c r="G5" s="42" t="s">
        <v>108</v>
      </c>
      <c r="H5" s="18"/>
      <c r="I5" s="6"/>
      <c r="J5" s="5"/>
      <c r="K5" s="5"/>
      <c r="L5" s="5"/>
      <c r="M5" s="5"/>
      <c r="N5" s="5"/>
      <c r="O5" s="5"/>
      <c r="P5" s="5"/>
      <c r="Q5" s="5"/>
      <c r="R5" s="5"/>
      <c r="S5" s="5"/>
      <c r="AG5" s="55"/>
      <c r="AN5" s="660"/>
    </row>
    <row r="6" spans="1:42" ht="20.149999999999999" customHeight="1">
      <c r="A6" s="16"/>
      <c r="B6" s="4"/>
      <c r="C6" s="6"/>
      <c r="D6" s="4"/>
      <c r="E6" s="4"/>
      <c r="F6" s="4"/>
      <c r="G6" s="4"/>
      <c r="H6" s="17"/>
      <c r="I6" s="4"/>
      <c r="J6" s="5"/>
      <c r="K6" s="5"/>
      <c r="L6" s="5"/>
      <c r="M6" s="5"/>
      <c r="N6" s="5"/>
      <c r="O6" s="5"/>
      <c r="P6" s="5"/>
      <c r="Q6" s="5"/>
      <c r="R6" s="5"/>
      <c r="S6" s="5"/>
      <c r="AG6" s="55"/>
      <c r="AN6" s="660"/>
    </row>
    <row r="7" spans="1:42" ht="96.75" customHeight="1">
      <c r="A7" s="16"/>
      <c r="B7" s="684" t="s">
        <v>109</v>
      </c>
      <c r="C7" s="684" t="s">
        <v>110</v>
      </c>
      <c r="D7" s="684"/>
      <c r="E7" s="684"/>
      <c r="F7" s="700" t="s">
        <v>111</v>
      </c>
      <c r="G7" s="684" t="s">
        <v>112</v>
      </c>
      <c r="H7" s="690" t="s">
        <v>113</v>
      </c>
      <c r="I7" s="702" t="s">
        <v>114</v>
      </c>
      <c r="J7" s="692" t="s">
        <v>115</v>
      </c>
      <c r="K7" s="684" t="s">
        <v>807</v>
      </c>
      <c r="L7" s="684" t="s">
        <v>808</v>
      </c>
      <c r="M7" s="684"/>
      <c r="N7" s="684" t="s">
        <v>118</v>
      </c>
      <c r="O7" s="684" t="s">
        <v>119</v>
      </c>
      <c r="P7" s="684"/>
      <c r="Q7" s="686" t="s">
        <v>120</v>
      </c>
      <c r="R7" s="687"/>
      <c r="S7" s="688"/>
      <c r="AG7" s="55"/>
    </row>
    <row r="8" spans="1:42" ht="75.75" customHeight="1">
      <c r="A8" s="16"/>
      <c r="B8" s="684"/>
      <c r="C8" s="459" t="s">
        <v>121</v>
      </c>
      <c r="D8" s="459" t="s">
        <v>122</v>
      </c>
      <c r="E8" s="459" t="s">
        <v>123</v>
      </c>
      <c r="F8" s="650"/>
      <c r="G8" s="684"/>
      <c r="H8" s="690"/>
      <c r="I8" s="636"/>
      <c r="J8" s="703"/>
      <c r="K8" s="700"/>
      <c r="L8" s="503" t="s">
        <v>124</v>
      </c>
      <c r="M8" s="503" t="s">
        <v>125</v>
      </c>
      <c r="N8" s="700"/>
      <c r="O8" s="503" t="s">
        <v>126</v>
      </c>
      <c r="P8" s="503" t="s">
        <v>127</v>
      </c>
      <c r="Q8" s="503" t="s">
        <v>128</v>
      </c>
      <c r="R8" s="503" t="s">
        <v>126</v>
      </c>
      <c r="S8" s="503" t="s">
        <v>127</v>
      </c>
      <c r="AG8" s="55"/>
    </row>
    <row r="9" spans="1:42" ht="29.25" customHeight="1">
      <c r="A9" s="16"/>
      <c r="B9" s="488" t="s">
        <v>129</v>
      </c>
      <c r="C9" s="497">
        <v>479</v>
      </c>
      <c r="D9" s="497">
        <v>370</v>
      </c>
      <c r="E9" s="497">
        <v>315</v>
      </c>
      <c r="F9" s="497">
        <v>0.127</v>
      </c>
      <c r="G9" s="497">
        <v>8.7499999999999994E-2</v>
      </c>
      <c r="H9" s="462">
        <v>27</v>
      </c>
      <c r="I9" s="701" t="s">
        <v>130</v>
      </c>
      <c r="J9" s="463" t="s">
        <v>131</v>
      </c>
      <c r="K9" s="464">
        <v>1</v>
      </c>
      <c r="L9" s="465">
        <v>0.9</v>
      </c>
      <c r="M9" s="464">
        <v>0.66</v>
      </c>
      <c r="N9" s="464" t="s">
        <v>132</v>
      </c>
      <c r="O9" s="464" t="s">
        <v>132</v>
      </c>
      <c r="P9" s="464" t="s">
        <v>132</v>
      </c>
      <c r="Q9" s="466"/>
      <c r="R9" s="466"/>
      <c r="S9" s="466"/>
      <c r="AJ9" s="660"/>
      <c r="AL9" s="660"/>
      <c r="AN9" s="660"/>
      <c r="AP9" s="660"/>
    </row>
    <row r="10" spans="1:42" ht="29.25" customHeight="1">
      <c r="A10" s="16"/>
      <c r="B10" s="488" t="s">
        <v>133</v>
      </c>
      <c r="C10" s="497">
        <v>569</v>
      </c>
      <c r="D10" s="497">
        <v>424</v>
      </c>
      <c r="E10" s="497">
        <v>350</v>
      </c>
      <c r="F10" s="497">
        <v>9.6500000000000002E-2</v>
      </c>
      <c r="G10" s="497">
        <v>8.6599999999999996E-2</v>
      </c>
      <c r="H10" s="462">
        <v>29</v>
      </c>
      <c r="I10" s="662"/>
      <c r="J10" s="504" t="s">
        <v>123</v>
      </c>
      <c r="K10" s="505" t="s">
        <v>132</v>
      </c>
      <c r="L10" s="506">
        <v>0.74</v>
      </c>
      <c r="M10" s="505">
        <v>0.71</v>
      </c>
      <c r="N10" s="505">
        <v>0.96</v>
      </c>
      <c r="O10" s="505">
        <v>0.98</v>
      </c>
      <c r="P10" s="505">
        <v>0.98</v>
      </c>
      <c r="Q10" s="470">
        <v>1.5</v>
      </c>
      <c r="R10" s="471">
        <v>1.0900000000000001</v>
      </c>
      <c r="S10" s="235">
        <v>1.05</v>
      </c>
      <c r="AJ10" s="660"/>
      <c r="AL10" s="660"/>
      <c r="AN10" s="660"/>
      <c r="AP10" s="660"/>
    </row>
    <row r="11" spans="1:42" ht="38.25" customHeight="1">
      <c r="A11" s="16"/>
      <c r="B11" s="488" t="s">
        <v>134</v>
      </c>
      <c r="C11" s="497">
        <v>659</v>
      </c>
      <c r="D11" s="497">
        <v>470</v>
      </c>
      <c r="E11" s="497">
        <v>389</v>
      </c>
      <c r="F11" s="497">
        <v>7.6899999999999996E-2</v>
      </c>
      <c r="G11" s="497">
        <v>8.5699999999999998E-2</v>
      </c>
      <c r="H11" s="462">
        <v>32</v>
      </c>
      <c r="I11" s="4"/>
      <c r="J11" s="472" t="s">
        <v>122</v>
      </c>
      <c r="K11" s="464" t="s">
        <v>132</v>
      </c>
      <c r="L11" s="464">
        <v>0.61</v>
      </c>
      <c r="M11" s="464">
        <v>0.54</v>
      </c>
      <c r="N11" s="464">
        <v>0.96</v>
      </c>
      <c r="O11" s="464">
        <v>0.98</v>
      </c>
      <c r="P11" s="464">
        <v>0.98</v>
      </c>
      <c r="Q11" s="470">
        <v>2.5</v>
      </c>
      <c r="R11" s="471">
        <v>1.0900000000000001</v>
      </c>
      <c r="S11" s="235">
        <v>1.05</v>
      </c>
      <c r="AJ11" s="1"/>
      <c r="AL11" s="2"/>
      <c r="AN11" s="1"/>
      <c r="AP11" s="1"/>
    </row>
    <row r="12" spans="1:42" ht="38.25" customHeight="1">
      <c r="A12" s="16"/>
      <c r="B12" s="488" t="s">
        <v>135</v>
      </c>
      <c r="C12" s="497">
        <v>769</v>
      </c>
      <c r="D12" s="497">
        <v>556</v>
      </c>
      <c r="E12" s="497">
        <v>466</v>
      </c>
      <c r="F12" s="497">
        <v>6.0199999999999997E-2</v>
      </c>
      <c r="G12" s="497">
        <v>8.5500000000000007E-2</v>
      </c>
      <c r="H12" s="462">
        <v>36</v>
      </c>
      <c r="I12" s="4"/>
      <c r="J12" s="507" t="s">
        <v>136</v>
      </c>
      <c r="K12" s="464">
        <v>1</v>
      </c>
      <c r="L12" s="474">
        <v>0.81</v>
      </c>
      <c r="M12" s="474">
        <v>0.78</v>
      </c>
      <c r="N12" s="464" t="s">
        <v>132</v>
      </c>
      <c r="O12" s="464" t="s">
        <v>132</v>
      </c>
      <c r="P12" s="464" t="s">
        <v>132</v>
      </c>
      <c r="Q12" s="470">
        <v>4</v>
      </c>
      <c r="R12" s="471">
        <v>1.0900000000000001</v>
      </c>
      <c r="S12" s="235">
        <v>1.05</v>
      </c>
      <c r="AJ12" s="1"/>
      <c r="AL12" s="2"/>
      <c r="AN12" s="1"/>
      <c r="AP12" s="1"/>
    </row>
    <row r="13" spans="1:42" ht="49.5" customHeight="1">
      <c r="A13" s="16"/>
      <c r="B13" s="488" t="s">
        <v>137</v>
      </c>
      <c r="C13" s="497">
        <v>877</v>
      </c>
      <c r="D13" s="497">
        <v>620</v>
      </c>
      <c r="E13" s="497">
        <v>518</v>
      </c>
      <c r="F13" s="497">
        <v>4.6800000000000001E-2</v>
      </c>
      <c r="G13" s="497">
        <v>8.5099999999999995E-2</v>
      </c>
      <c r="H13" s="462">
        <v>40</v>
      </c>
      <c r="I13" s="4"/>
      <c r="Q13" s="470">
        <v>6</v>
      </c>
      <c r="R13" s="471">
        <v>1.0900000000000001</v>
      </c>
      <c r="S13" s="235">
        <v>1.05</v>
      </c>
      <c r="AJ13" s="1"/>
      <c r="AL13" s="1"/>
      <c r="AN13" s="1"/>
      <c r="AP13" s="1"/>
    </row>
    <row r="14" spans="1:42" ht="49.5" customHeight="1">
      <c r="A14" s="16"/>
      <c r="B14" s="488" t="s">
        <v>138</v>
      </c>
      <c r="C14" s="497">
        <v>1013</v>
      </c>
      <c r="D14" s="497">
        <v>695</v>
      </c>
      <c r="E14" s="497">
        <v>555</v>
      </c>
      <c r="F14" s="497">
        <v>3.6200000000000003E-2</v>
      </c>
      <c r="G14" s="497">
        <v>8.43E-2</v>
      </c>
      <c r="H14" s="462">
        <v>44</v>
      </c>
      <c r="Q14" s="470">
        <v>10</v>
      </c>
      <c r="R14" s="471">
        <v>1.0900000000000001</v>
      </c>
      <c r="S14" s="235">
        <v>1.06</v>
      </c>
      <c r="AJ14" s="1"/>
      <c r="AL14" s="1"/>
      <c r="AN14" s="1"/>
      <c r="AP14" s="1"/>
    </row>
    <row r="15" spans="1:42" ht="19.5" customHeight="1">
      <c r="A15" s="16"/>
      <c r="B15" s="475"/>
      <c r="C15" s="475"/>
      <c r="D15" s="475"/>
      <c r="E15" s="475"/>
      <c r="F15" s="475"/>
      <c r="G15" s="475"/>
      <c r="H15" s="476"/>
      <c r="Q15" s="470">
        <v>16</v>
      </c>
      <c r="R15" s="471">
        <v>1.0900000000000001</v>
      </c>
      <c r="S15" s="235">
        <v>1.06</v>
      </c>
      <c r="AJ15" s="1"/>
      <c r="AL15" s="2"/>
      <c r="AN15" s="1"/>
      <c r="AP15" s="1"/>
    </row>
    <row r="16" spans="1:42" ht="19.5" customHeight="1">
      <c r="A16" s="16"/>
      <c r="B16" s="41" t="s">
        <v>139</v>
      </c>
      <c r="C16" s="42"/>
      <c r="D16" s="42"/>
      <c r="E16" s="42"/>
      <c r="F16" s="42"/>
      <c r="G16" s="42" t="s">
        <v>108</v>
      </c>
      <c r="H16" s="476"/>
      <c r="Q16" s="470">
        <v>25</v>
      </c>
      <c r="R16" s="471">
        <v>1.0900000000000001</v>
      </c>
      <c r="S16" s="235">
        <v>1.08</v>
      </c>
      <c r="AJ16" s="1"/>
      <c r="AL16" s="2"/>
      <c r="AN16" s="1"/>
      <c r="AP16" s="1"/>
    </row>
    <row r="17" spans="1:42" ht="30.75" customHeight="1">
      <c r="A17" s="16"/>
      <c r="B17" s="684" t="s">
        <v>109</v>
      </c>
      <c r="C17" s="684" t="s">
        <v>110</v>
      </c>
      <c r="D17" s="684"/>
      <c r="E17" s="684"/>
      <c r="F17" s="700" t="s">
        <v>111</v>
      </c>
      <c r="G17" s="684" t="s">
        <v>112</v>
      </c>
      <c r="H17" s="690" t="s">
        <v>113</v>
      </c>
      <c r="K17" s="2"/>
      <c r="Q17" s="470">
        <v>35</v>
      </c>
      <c r="R17" s="471">
        <v>1.0900000000000001</v>
      </c>
      <c r="S17" s="235">
        <v>1.08</v>
      </c>
      <c r="AJ17" s="1"/>
      <c r="AL17" s="2"/>
      <c r="AN17" s="1"/>
      <c r="AP17" s="1"/>
    </row>
    <row r="18" spans="1:42" ht="30" customHeight="1">
      <c r="A18" s="16"/>
      <c r="B18" s="684"/>
      <c r="C18" s="459" t="s">
        <v>121</v>
      </c>
      <c r="D18" s="459" t="s">
        <v>122</v>
      </c>
      <c r="E18" s="459" t="s">
        <v>123</v>
      </c>
      <c r="F18" s="650"/>
      <c r="G18" s="684"/>
      <c r="H18" s="690"/>
      <c r="I18" s="4"/>
      <c r="K18" s="2"/>
      <c r="Q18" s="470">
        <v>50</v>
      </c>
      <c r="R18" s="471">
        <v>1.0900000000000001</v>
      </c>
      <c r="S18" s="235">
        <v>1.08</v>
      </c>
      <c r="AJ18" s="1"/>
      <c r="AL18" s="2"/>
      <c r="AN18" s="1"/>
      <c r="AP18" s="1"/>
    </row>
    <row r="19" spans="1:42" ht="19.5" customHeight="1">
      <c r="A19" s="16"/>
      <c r="B19" s="470" t="s">
        <v>140</v>
      </c>
      <c r="C19" s="470">
        <v>29</v>
      </c>
      <c r="D19" s="470">
        <v>33</v>
      </c>
      <c r="E19" s="470">
        <v>29</v>
      </c>
      <c r="F19" s="470">
        <v>15.5</v>
      </c>
      <c r="G19" s="470">
        <v>0.108</v>
      </c>
      <c r="H19" s="478">
        <v>12</v>
      </c>
      <c r="I19" s="7"/>
      <c r="K19" s="2"/>
      <c r="Q19" s="470">
        <v>70</v>
      </c>
      <c r="R19" s="479">
        <v>1.1000000000000001</v>
      </c>
      <c r="S19" s="235">
        <v>1.08</v>
      </c>
      <c r="AJ19" s="1"/>
      <c r="AL19" s="2"/>
      <c r="AN19" s="1"/>
      <c r="AP19" s="1"/>
    </row>
    <row r="20" spans="1:42" ht="19.5" customHeight="1">
      <c r="A20" s="16"/>
      <c r="B20" s="488" t="s">
        <v>141</v>
      </c>
      <c r="C20" s="488">
        <v>39</v>
      </c>
      <c r="D20" s="488">
        <v>43</v>
      </c>
      <c r="E20" s="488">
        <v>37</v>
      </c>
      <c r="F20" s="488">
        <v>9.48</v>
      </c>
      <c r="G20" s="488">
        <v>0.1007</v>
      </c>
      <c r="H20" s="480">
        <v>13</v>
      </c>
      <c r="I20" s="7"/>
      <c r="K20" s="2"/>
      <c r="Q20" s="470">
        <v>95</v>
      </c>
      <c r="R20" s="479">
        <v>1.1000000000000001</v>
      </c>
      <c r="S20" s="235">
        <v>1.08</v>
      </c>
      <c r="AJ20" s="1"/>
      <c r="AN20" s="1"/>
      <c r="AP20" s="1"/>
    </row>
    <row r="21" spans="1:42" ht="19.5" customHeight="1">
      <c r="A21" s="16"/>
      <c r="B21" s="488" t="s">
        <v>142</v>
      </c>
      <c r="C21" s="488">
        <v>48</v>
      </c>
      <c r="D21" s="488">
        <v>54</v>
      </c>
      <c r="E21" s="488">
        <v>46</v>
      </c>
      <c r="F21" s="488">
        <v>5.9</v>
      </c>
      <c r="G21" s="488">
        <v>9.4700000000000006E-2</v>
      </c>
      <c r="H21" s="480">
        <v>14</v>
      </c>
      <c r="I21" s="7"/>
      <c r="K21" s="2"/>
      <c r="O21" s="3"/>
      <c r="Q21" s="470">
        <v>120</v>
      </c>
      <c r="R21" s="479">
        <v>1.1000000000000001</v>
      </c>
      <c r="S21" s="235">
        <v>1.08</v>
      </c>
      <c r="AJ21" s="1"/>
      <c r="AN21" s="1"/>
      <c r="AP21" s="1"/>
    </row>
    <row r="22" spans="1:42" ht="19.5" customHeight="1">
      <c r="A22" s="16"/>
      <c r="B22" s="488" t="s">
        <v>143</v>
      </c>
      <c r="C22" s="488">
        <v>59</v>
      </c>
      <c r="D22" s="488">
        <v>66</v>
      </c>
      <c r="E22" s="488">
        <v>58</v>
      </c>
      <c r="F22" s="488">
        <v>3.94</v>
      </c>
      <c r="G22" s="488">
        <v>9.0200000000000002E-2</v>
      </c>
      <c r="H22" s="480">
        <v>15</v>
      </c>
      <c r="I22" s="7"/>
      <c r="O22" s="3"/>
      <c r="Q22" s="470">
        <v>150</v>
      </c>
      <c r="R22" s="479">
        <v>1.1000000000000001</v>
      </c>
      <c r="S22" s="235">
        <v>1.0900000000000001</v>
      </c>
      <c r="AJ22" s="1"/>
      <c r="AN22" s="1"/>
      <c r="AP22" s="1"/>
    </row>
    <row r="23" spans="1:42" ht="19.5" customHeight="1">
      <c r="A23" s="16"/>
      <c r="B23" s="488" t="s">
        <v>144</v>
      </c>
      <c r="C23" s="497">
        <v>82</v>
      </c>
      <c r="D23" s="497">
        <v>90</v>
      </c>
      <c r="E23" s="497">
        <v>75</v>
      </c>
      <c r="F23" s="497">
        <v>2.34</v>
      </c>
      <c r="G23" s="497">
        <v>8.5199999999999998E-2</v>
      </c>
      <c r="H23" s="480">
        <v>17</v>
      </c>
      <c r="I23" s="7"/>
      <c r="O23" s="3"/>
      <c r="Q23" s="470">
        <v>185</v>
      </c>
      <c r="R23" s="479">
        <v>1.1000000000000001</v>
      </c>
      <c r="S23" s="235">
        <v>1.0900000000000001</v>
      </c>
      <c r="AJ23" s="1"/>
      <c r="AN23" s="1"/>
      <c r="AP23" s="1"/>
    </row>
    <row r="24" spans="1:42" ht="19.5" customHeight="1">
      <c r="A24" s="16"/>
      <c r="B24" s="488" t="s">
        <v>145</v>
      </c>
      <c r="C24" s="497">
        <v>113</v>
      </c>
      <c r="D24" s="497">
        <v>114</v>
      </c>
      <c r="E24" s="497">
        <v>95</v>
      </c>
      <c r="F24" s="497">
        <v>1.47</v>
      </c>
      <c r="G24" s="497">
        <v>8.1500000000000003E-2</v>
      </c>
      <c r="H24" s="480">
        <v>18</v>
      </c>
      <c r="I24" s="7"/>
      <c r="Q24" s="470">
        <v>240</v>
      </c>
      <c r="R24" s="479">
        <v>1.1000000000000001</v>
      </c>
      <c r="S24" s="235">
        <v>1.0900000000000001</v>
      </c>
      <c r="AJ24" s="1"/>
      <c r="AN24" s="1"/>
      <c r="AP24" s="1"/>
    </row>
    <row r="25" spans="1:42" ht="19.5" customHeight="1">
      <c r="A25" s="16"/>
      <c r="B25" s="488" t="s">
        <v>146</v>
      </c>
      <c r="C25" s="497">
        <v>148</v>
      </c>
      <c r="D25" s="497">
        <v>147</v>
      </c>
      <c r="E25" s="497">
        <v>124</v>
      </c>
      <c r="F25" s="497">
        <v>0.93</v>
      </c>
      <c r="G25" s="497">
        <v>8.1000000000000003E-2</v>
      </c>
      <c r="H25" s="480">
        <v>21</v>
      </c>
      <c r="I25" s="7"/>
      <c r="Q25" s="470">
        <v>300</v>
      </c>
      <c r="R25" s="479">
        <v>1.1000000000000001</v>
      </c>
      <c r="S25" s="235">
        <v>1.0900000000000001</v>
      </c>
      <c r="AJ25" s="1"/>
      <c r="AN25" s="1"/>
      <c r="AP25" s="1"/>
    </row>
    <row r="26" spans="1:42" ht="19.5" customHeight="1">
      <c r="A26" s="16"/>
      <c r="B26" s="488" t="s">
        <v>147</v>
      </c>
      <c r="C26" s="497">
        <v>186</v>
      </c>
      <c r="D26" s="497">
        <v>177</v>
      </c>
      <c r="E26" s="497">
        <v>152</v>
      </c>
      <c r="F26" s="497">
        <v>0.67100000000000004</v>
      </c>
      <c r="G26" s="497">
        <v>7.9399999999999998E-2</v>
      </c>
      <c r="H26" s="480">
        <v>23</v>
      </c>
      <c r="I26" s="7"/>
      <c r="Q26" s="470">
        <v>400</v>
      </c>
      <c r="R26" s="471">
        <v>1.1100000000000001</v>
      </c>
      <c r="S26" s="481">
        <v>1.1000000000000001</v>
      </c>
      <c r="AJ26" s="1"/>
      <c r="AN26" s="1"/>
      <c r="AP26" s="1"/>
    </row>
    <row r="27" spans="1:42" ht="19.5" customHeight="1">
      <c r="A27" s="16"/>
      <c r="B27" s="488" t="s">
        <v>148</v>
      </c>
      <c r="C27" s="497">
        <v>221</v>
      </c>
      <c r="D27" s="497">
        <v>210</v>
      </c>
      <c r="E27" s="497">
        <v>185</v>
      </c>
      <c r="F27" s="497">
        <v>0.495</v>
      </c>
      <c r="G27" s="497">
        <v>7.9200000000000007E-2</v>
      </c>
      <c r="H27" s="480">
        <v>25</v>
      </c>
      <c r="I27" s="7"/>
      <c r="Q27" s="470">
        <v>500</v>
      </c>
      <c r="R27" s="471">
        <v>1.1100000000000001</v>
      </c>
      <c r="S27" s="481">
        <v>1.1000000000000001</v>
      </c>
      <c r="AJ27" s="1"/>
      <c r="AN27" s="1"/>
      <c r="AP27" s="1"/>
    </row>
    <row r="28" spans="1:42" ht="19.5" customHeight="1">
      <c r="A28" s="16"/>
      <c r="B28" s="488" t="s">
        <v>149</v>
      </c>
      <c r="C28" s="497">
        <v>278</v>
      </c>
      <c r="D28" s="497">
        <v>260</v>
      </c>
      <c r="E28" s="497">
        <v>228</v>
      </c>
      <c r="F28" s="497">
        <v>0.31900000000000001</v>
      </c>
      <c r="G28" s="497">
        <v>7.5200000000000003E-2</v>
      </c>
      <c r="H28" s="480">
        <v>28</v>
      </c>
      <c r="I28" s="7"/>
      <c r="Q28" s="470">
        <v>630</v>
      </c>
      <c r="R28" s="471">
        <v>1.1100000000000001</v>
      </c>
      <c r="S28" s="481">
        <v>1.1000000000000001</v>
      </c>
      <c r="AJ28" s="1"/>
      <c r="AN28" s="1"/>
      <c r="AP28" s="1"/>
    </row>
    <row r="29" spans="1:42" ht="19.5" customHeight="1">
      <c r="A29" s="16"/>
      <c r="B29" s="488" t="s">
        <v>150</v>
      </c>
      <c r="C29" s="497">
        <v>338</v>
      </c>
      <c r="D29" s="497">
        <v>309</v>
      </c>
      <c r="E29" s="497">
        <v>277</v>
      </c>
      <c r="F29" s="497">
        <v>0.247</v>
      </c>
      <c r="G29" s="497">
        <v>7.3400000000000007E-2</v>
      </c>
      <c r="H29" s="480">
        <v>32</v>
      </c>
      <c r="I29" s="7"/>
      <c r="AJ29" s="1"/>
      <c r="AN29" s="1"/>
      <c r="AP29" s="1"/>
    </row>
    <row r="30" spans="1:42" ht="19.5" customHeight="1">
      <c r="A30" s="16"/>
      <c r="B30" s="488" t="s">
        <v>151</v>
      </c>
      <c r="C30" s="497">
        <v>402</v>
      </c>
      <c r="D30" s="497">
        <v>351</v>
      </c>
      <c r="E30" s="497">
        <v>300</v>
      </c>
      <c r="F30" s="497">
        <v>0.19600000000000001</v>
      </c>
      <c r="G30" s="497">
        <v>7.2599999999999998E-2</v>
      </c>
      <c r="H30" s="480">
        <v>34</v>
      </c>
      <c r="I30" s="7"/>
      <c r="AJ30" s="1"/>
      <c r="AN30" s="1"/>
      <c r="AP30" s="1"/>
    </row>
    <row r="31" spans="1:42" ht="19.5" customHeight="1">
      <c r="A31" s="16"/>
      <c r="B31" s="488" t="s">
        <v>152</v>
      </c>
      <c r="C31" s="497">
        <v>461</v>
      </c>
      <c r="D31" s="497">
        <v>392</v>
      </c>
      <c r="E31" s="497">
        <v>341</v>
      </c>
      <c r="F31" s="497">
        <v>0.159</v>
      </c>
      <c r="G31" s="497">
        <v>7.3200000000000001E-2</v>
      </c>
      <c r="H31" s="480">
        <v>37</v>
      </c>
      <c r="I31" s="7"/>
      <c r="AJ31" s="1"/>
      <c r="AN31" s="1"/>
      <c r="AP31" s="1"/>
    </row>
    <row r="32" spans="1:42" ht="57" customHeight="1">
      <c r="A32" s="16"/>
      <c r="B32" s="488" t="s">
        <v>153</v>
      </c>
      <c r="C32" s="497">
        <v>527</v>
      </c>
      <c r="D32" s="497">
        <v>448</v>
      </c>
      <c r="E32" s="497">
        <v>384</v>
      </c>
      <c r="F32" s="497">
        <v>0.127</v>
      </c>
      <c r="G32" s="497">
        <v>7.1999999999999995E-2</v>
      </c>
      <c r="H32" s="480">
        <v>42</v>
      </c>
      <c r="I32" s="7"/>
      <c r="AJ32" s="1"/>
      <c r="AN32" s="1"/>
      <c r="AP32" s="1"/>
    </row>
    <row r="33" spans="1:42" ht="19.5" customHeight="1">
      <c r="A33" s="16"/>
      <c r="B33" s="488" t="s">
        <v>154</v>
      </c>
      <c r="C33" s="497">
        <v>607</v>
      </c>
      <c r="D33" s="497">
        <v>509</v>
      </c>
      <c r="E33" s="497">
        <v>434</v>
      </c>
      <c r="F33" s="497">
        <v>9.6500000000000002E-2</v>
      </c>
      <c r="G33" s="497">
        <v>7.1900000000000006E-2</v>
      </c>
      <c r="H33" s="480">
        <v>47</v>
      </c>
      <c r="I33" s="7"/>
      <c r="AN33" s="1"/>
      <c r="AP33" s="1"/>
    </row>
    <row r="34" spans="1:42" ht="19.5" customHeight="1">
      <c r="A34" s="16"/>
      <c r="B34" s="488" t="s">
        <v>155</v>
      </c>
      <c r="C34" s="497">
        <v>688</v>
      </c>
      <c r="D34" s="497">
        <v>579</v>
      </c>
      <c r="E34" s="497">
        <v>495</v>
      </c>
      <c r="F34" s="497">
        <v>7.6899999999999996E-2</v>
      </c>
      <c r="G34" s="497">
        <v>7.1099999999999997E-2</v>
      </c>
      <c r="H34" s="480">
        <v>51</v>
      </c>
      <c r="I34" s="7"/>
      <c r="AN34" s="1"/>
      <c r="AP34" s="1"/>
    </row>
    <row r="35" spans="1:42" ht="19.5" customHeight="1">
      <c r="A35" s="16"/>
      <c r="B35" s="488" t="s">
        <v>156</v>
      </c>
      <c r="C35" s="497">
        <v>818</v>
      </c>
      <c r="D35" s="497">
        <v>638</v>
      </c>
      <c r="E35" s="497">
        <v>553</v>
      </c>
      <c r="F35" s="497">
        <v>6.0199999999999997E-2</v>
      </c>
      <c r="G35" s="497">
        <v>7.0499999999999993E-2</v>
      </c>
      <c r="H35" s="480">
        <v>57</v>
      </c>
      <c r="I35" s="7"/>
      <c r="AJ35" s="1"/>
      <c r="AN35" s="1"/>
      <c r="AP35" s="1"/>
    </row>
    <row r="36" spans="1:42" ht="19.5" customHeight="1">
      <c r="A36" s="16"/>
      <c r="B36" s="7"/>
      <c r="C36" s="5"/>
      <c r="D36" s="5"/>
      <c r="E36" s="5"/>
      <c r="F36" s="5"/>
      <c r="G36" s="4"/>
      <c r="H36" s="19"/>
      <c r="I36" s="7"/>
      <c r="AN36" s="1"/>
    </row>
    <row r="37" spans="1:42" ht="19.5" customHeight="1">
      <c r="A37" s="16"/>
      <c r="B37" s="484" t="s">
        <v>157</v>
      </c>
      <c r="C37" s="485"/>
      <c r="D37" s="485"/>
      <c r="E37" s="485"/>
      <c r="F37" s="485"/>
      <c r="G37" s="485" t="s">
        <v>108</v>
      </c>
      <c r="H37" s="486"/>
      <c r="I37" s="1"/>
      <c r="AN37" s="1"/>
    </row>
    <row r="38" spans="1:42" ht="32.25" customHeight="1">
      <c r="A38" s="16"/>
      <c r="B38" s="684" t="s">
        <v>109</v>
      </c>
      <c r="C38" s="684" t="s">
        <v>110</v>
      </c>
      <c r="D38" s="684"/>
      <c r="E38" s="684"/>
      <c r="F38" s="700" t="s">
        <v>111</v>
      </c>
      <c r="G38" s="684" t="s">
        <v>112</v>
      </c>
      <c r="H38" s="690" t="s">
        <v>113</v>
      </c>
      <c r="I38" s="1"/>
      <c r="AN38" s="1"/>
    </row>
    <row r="39" spans="1:42" ht="32.25" customHeight="1">
      <c r="A39" s="16"/>
      <c r="B39" s="684"/>
      <c r="C39" s="459" t="s">
        <v>121</v>
      </c>
      <c r="D39" s="459" t="s">
        <v>122</v>
      </c>
      <c r="E39" s="459" t="s">
        <v>123</v>
      </c>
      <c r="F39" s="650"/>
      <c r="G39" s="684"/>
      <c r="H39" s="690"/>
      <c r="I39" s="1"/>
    </row>
    <row r="40" spans="1:42" ht="19.5" customHeight="1">
      <c r="A40" s="16"/>
      <c r="B40" s="470" t="s">
        <v>158</v>
      </c>
      <c r="C40" s="470">
        <v>22</v>
      </c>
      <c r="D40" s="502">
        <v>25</v>
      </c>
      <c r="E40" s="470">
        <v>22</v>
      </c>
      <c r="F40" s="470">
        <v>15.5</v>
      </c>
      <c r="G40" s="470">
        <v>0.108</v>
      </c>
      <c r="H40" s="478">
        <v>13</v>
      </c>
      <c r="I40" s="1"/>
    </row>
    <row r="41" spans="1:42" ht="19.5" customHeight="1">
      <c r="A41" s="16"/>
      <c r="B41" s="488" t="s">
        <v>159</v>
      </c>
      <c r="C41" s="488">
        <v>28</v>
      </c>
      <c r="D41" s="497">
        <v>34</v>
      </c>
      <c r="E41" s="488">
        <v>28</v>
      </c>
      <c r="F41" s="488">
        <v>9.48</v>
      </c>
      <c r="G41" s="488">
        <v>0.1007</v>
      </c>
      <c r="H41" s="480">
        <v>14</v>
      </c>
      <c r="I41" s="1"/>
      <c r="K41" s="2"/>
      <c r="L41" s="2"/>
      <c r="M41" s="2"/>
      <c r="N41" s="2"/>
      <c r="S41" s="2"/>
      <c r="T41" s="2"/>
    </row>
    <row r="42" spans="1:42" ht="19.5" customHeight="1">
      <c r="A42" s="16"/>
      <c r="B42" s="488" t="s">
        <v>160</v>
      </c>
      <c r="C42" s="488">
        <v>38</v>
      </c>
      <c r="D42" s="497">
        <v>44</v>
      </c>
      <c r="E42" s="488">
        <v>37</v>
      </c>
      <c r="F42" s="488">
        <v>5.9</v>
      </c>
      <c r="G42" s="488">
        <v>9.4700000000000006E-2</v>
      </c>
      <c r="H42" s="480">
        <v>15</v>
      </c>
      <c r="I42" s="1"/>
      <c r="K42" s="2"/>
      <c r="L42" s="2"/>
      <c r="M42" s="2"/>
      <c r="N42" s="2"/>
      <c r="S42" s="2"/>
      <c r="T42" s="2"/>
    </row>
    <row r="43" spans="1:42" ht="19.5" customHeight="1">
      <c r="A43" s="16"/>
      <c r="B43" s="488" t="s">
        <v>161</v>
      </c>
      <c r="C43" s="488">
        <v>51</v>
      </c>
      <c r="D43" s="497">
        <v>55</v>
      </c>
      <c r="E43" s="488">
        <v>46</v>
      </c>
      <c r="F43" s="488">
        <v>3.94</v>
      </c>
      <c r="G43" s="488">
        <v>9.0200000000000002E-2</v>
      </c>
      <c r="H43" s="480">
        <v>16</v>
      </c>
      <c r="I43" s="1"/>
      <c r="K43" s="2"/>
      <c r="L43" s="2"/>
      <c r="M43" s="2"/>
      <c r="N43" s="2"/>
      <c r="S43" s="2"/>
      <c r="T43" s="2"/>
      <c r="V43" s="5"/>
      <c r="W43" s="5"/>
      <c r="X43" s="5"/>
      <c r="Y43" s="5"/>
      <c r="Z43" s="5"/>
      <c r="AA43" s="5"/>
      <c r="AB43" s="5"/>
      <c r="AC43" s="5"/>
      <c r="AD43" s="5"/>
    </row>
    <row r="44" spans="1:42" ht="19.5" customHeight="1">
      <c r="A44" s="16"/>
      <c r="B44" s="488" t="s">
        <v>162</v>
      </c>
      <c r="C44" s="488">
        <v>66</v>
      </c>
      <c r="D44" s="497">
        <v>72</v>
      </c>
      <c r="E44" s="488">
        <v>60</v>
      </c>
      <c r="F44" s="488">
        <v>2.34</v>
      </c>
      <c r="G44" s="488">
        <v>8.5199999999999998E-2</v>
      </c>
      <c r="H44" s="480">
        <v>19</v>
      </c>
      <c r="K44" s="2"/>
      <c r="L44" s="2"/>
      <c r="M44" s="2"/>
      <c r="N44" s="2"/>
      <c r="S44" s="2"/>
      <c r="T44" s="2"/>
      <c r="V44" s="5"/>
      <c r="W44" s="5"/>
      <c r="X44" s="5"/>
      <c r="Y44" s="5"/>
      <c r="Z44" s="5"/>
      <c r="AA44" s="5"/>
      <c r="AB44" s="5"/>
      <c r="AC44" s="5"/>
      <c r="AD44" s="5"/>
    </row>
    <row r="45" spans="1:42" ht="19.5" customHeight="1">
      <c r="A45" s="16"/>
      <c r="B45" s="488" t="s">
        <v>163</v>
      </c>
      <c r="C45" s="488">
        <v>85</v>
      </c>
      <c r="D45" s="497">
        <v>95</v>
      </c>
      <c r="E45" s="488">
        <v>79</v>
      </c>
      <c r="F45" s="488">
        <v>1.47</v>
      </c>
      <c r="G45" s="488">
        <v>8.1500000000000003E-2</v>
      </c>
      <c r="H45" s="480">
        <v>19</v>
      </c>
      <c r="K45" s="2"/>
      <c r="L45" s="2"/>
      <c r="M45" s="2"/>
      <c r="N45" s="2"/>
      <c r="S45" s="2"/>
      <c r="T45" s="2"/>
      <c r="V45" s="5"/>
      <c r="W45" s="5"/>
      <c r="X45" s="5"/>
      <c r="Y45" s="5"/>
      <c r="Z45" s="5"/>
      <c r="AA45" s="5"/>
      <c r="AB45" s="5"/>
      <c r="AC45" s="5"/>
      <c r="AD45" s="5"/>
    </row>
    <row r="46" spans="1:42" ht="19.5" customHeight="1">
      <c r="A46" s="16"/>
      <c r="B46" s="488" t="s">
        <v>164</v>
      </c>
      <c r="C46" s="488">
        <v>122</v>
      </c>
      <c r="D46" s="497">
        <v>122</v>
      </c>
      <c r="E46" s="488">
        <v>100</v>
      </c>
      <c r="F46" s="488">
        <v>0.93</v>
      </c>
      <c r="G46" s="488">
        <v>8.1000000000000003E-2</v>
      </c>
      <c r="H46" s="480">
        <v>23</v>
      </c>
      <c r="O46" s="3"/>
      <c r="P46" s="3"/>
      <c r="Q46" s="3"/>
      <c r="R46" s="3"/>
      <c r="T46" s="5"/>
      <c r="U46" s="5"/>
      <c r="V46" s="5"/>
      <c r="W46" s="5"/>
      <c r="X46" s="5"/>
      <c r="Y46" s="5"/>
      <c r="Z46" s="5"/>
      <c r="AA46" s="5"/>
      <c r="AB46" s="5"/>
      <c r="AC46" s="5"/>
      <c r="AD46" s="5"/>
    </row>
    <row r="47" spans="1:42" ht="19.5" customHeight="1">
      <c r="A47" s="16"/>
      <c r="B47" s="488" t="s">
        <v>165</v>
      </c>
      <c r="C47" s="488">
        <v>148</v>
      </c>
      <c r="D47" s="488">
        <v>146</v>
      </c>
      <c r="E47" s="488">
        <v>120</v>
      </c>
      <c r="F47" s="488">
        <v>0.67100000000000004</v>
      </c>
      <c r="G47" s="488">
        <v>7.9399999999999998E-2</v>
      </c>
      <c r="H47" s="480">
        <v>24</v>
      </c>
      <c r="T47" s="5"/>
      <c r="U47" s="5"/>
      <c r="V47" s="5"/>
      <c r="W47" s="5"/>
      <c r="X47" s="5"/>
      <c r="Y47" s="5"/>
      <c r="Z47" s="5"/>
      <c r="AA47" s="5"/>
      <c r="AB47" s="5"/>
      <c r="AC47" s="5"/>
      <c r="AD47" s="5"/>
    </row>
    <row r="48" spans="1:42" ht="19.5" customHeight="1">
      <c r="A48" s="16"/>
      <c r="B48" s="488" t="s">
        <v>166</v>
      </c>
      <c r="C48" s="488">
        <v>181</v>
      </c>
      <c r="D48" s="488">
        <v>175</v>
      </c>
      <c r="E48" s="488">
        <v>151</v>
      </c>
      <c r="F48" s="488">
        <v>0.495</v>
      </c>
      <c r="G48" s="488">
        <v>7.9200000000000007E-2</v>
      </c>
      <c r="H48" s="480">
        <v>27</v>
      </c>
      <c r="O48" s="3"/>
      <c r="T48" s="5"/>
      <c r="U48" s="5"/>
      <c r="V48" s="5"/>
      <c r="W48" s="5"/>
      <c r="X48" s="5"/>
      <c r="Y48" s="5"/>
      <c r="Z48" s="5"/>
      <c r="AA48" s="5"/>
      <c r="AB48" s="5"/>
      <c r="AC48" s="5"/>
      <c r="AD48" s="5"/>
    </row>
    <row r="49" spans="1:34" ht="19.5" customHeight="1">
      <c r="A49" s="16"/>
      <c r="B49" s="488" t="s">
        <v>167</v>
      </c>
      <c r="C49" s="488">
        <v>230</v>
      </c>
      <c r="D49" s="488">
        <v>212</v>
      </c>
      <c r="E49" s="488">
        <v>182</v>
      </c>
      <c r="F49" s="488">
        <v>0.31900000000000001</v>
      </c>
      <c r="G49" s="497">
        <v>7.5200000000000003E-2</v>
      </c>
      <c r="H49" s="480">
        <v>32</v>
      </c>
      <c r="P49" s="1"/>
      <c r="Q49" s="1"/>
      <c r="R49" s="4"/>
    </row>
    <row r="50" spans="1:34" ht="19.5" customHeight="1">
      <c r="A50" s="16"/>
      <c r="B50" s="488" t="s">
        <v>168</v>
      </c>
      <c r="C50" s="488">
        <v>284</v>
      </c>
      <c r="D50" s="488">
        <v>253</v>
      </c>
      <c r="E50" s="488">
        <v>211</v>
      </c>
      <c r="F50" s="488">
        <v>0.247</v>
      </c>
      <c r="G50" s="497">
        <v>7.3400000000000007E-2</v>
      </c>
      <c r="H50" s="480">
        <v>35</v>
      </c>
      <c r="P50" s="1"/>
      <c r="Q50" s="1"/>
      <c r="R50" s="4"/>
    </row>
    <row r="51" spans="1:34" ht="19.5" customHeight="1">
      <c r="A51" s="16"/>
      <c r="B51" s="488" t="s">
        <v>169</v>
      </c>
      <c r="C51" s="488">
        <v>330</v>
      </c>
      <c r="D51" s="488">
        <v>290</v>
      </c>
      <c r="E51" s="488">
        <v>236</v>
      </c>
      <c r="F51" s="488">
        <v>0.19600000000000001</v>
      </c>
      <c r="G51" s="497">
        <v>7.2599999999999998E-2</v>
      </c>
      <c r="H51" s="480">
        <v>37</v>
      </c>
      <c r="P51" s="1"/>
      <c r="Q51" s="1"/>
      <c r="R51" s="4"/>
    </row>
    <row r="52" spans="1:34" ht="19.5" customHeight="1">
      <c r="A52" s="16"/>
      <c r="B52" s="488" t="s">
        <v>170</v>
      </c>
      <c r="C52" s="488">
        <v>375</v>
      </c>
      <c r="D52" s="488">
        <v>325</v>
      </c>
      <c r="E52" s="488">
        <v>271</v>
      </c>
      <c r="F52" s="488">
        <v>0.159</v>
      </c>
      <c r="G52" s="497">
        <v>7.3200000000000001E-2</v>
      </c>
      <c r="H52" s="480">
        <v>42</v>
      </c>
      <c r="P52" s="1"/>
      <c r="Q52" s="1"/>
      <c r="R52" s="4"/>
    </row>
    <row r="53" spans="1:34" ht="19.5" customHeight="1">
      <c r="A53" s="16"/>
      <c r="B53" s="488" t="s">
        <v>171</v>
      </c>
      <c r="C53" s="488">
        <v>431</v>
      </c>
      <c r="D53" s="488">
        <v>362</v>
      </c>
      <c r="E53" s="488">
        <v>308</v>
      </c>
      <c r="F53" s="488">
        <v>0.127</v>
      </c>
      <c r="G53" s="497">
        <v>7.1999999999999995E-2</v>
      </c>
      <c r="H53" s="480">
        <v>46</v>
      </c>
      <c r="P53" s="1"/>
      <c r="Q53" s="1"/>
      <c r="R53" s="4"/>
    </row>
    <row r="54" spans="1:34" ht="19.5" customHeight="1">
      <c r="A54" s="16"/>
      <c r="B54" s="488" t="s">
        <v>172</v>
      </c>
      <c r="C54" s="488">
        <v>512</v>
      </c>
      <c r="D54" s="488">
        <v>418</v>
      </c>
      <c r="E54" s="488">
        <v>257</v>
      </c>
      <c r="F54" s="488">
        <v>9.6500000000000002E-2</v>
      </c>
      <c r="G54" s="488">
        <v>7.1900000000000006E-2</v>
      </c>
      <c r="H54" s="480">
        <v>52</v>
      </c>
      <c r="I54" s="4"/>
      <c r="P54" s="4"/>
      <c r="Q54" s="4"/>
      <c r="R54" s="4"/>
    </row>
    <row r="55" spans="1:34" ht="19.5" customHeight="1">
      <c r="A55" s="16"/>
      <c r="B55" s="488" t="s">
        <v>173</v>
      </c>
      <c r="C55" s="488">
        <v>582</v>
      </c>
      <c r="D55" s="488">
        <v>467</v>
      </c>
      <c r="E55" s="488">
        <v>406</v>
      </c>
      <c r="F55" s="488">
        <v>7.6899999999999996E-2</v>
      </c>
      <c r="G55" s="488">
        <v>7.1099999999999997E-2</v>
      </c>
      <c r="H55" s="480">
        <v>56</v>
      </c>
      <c r="I55" s="4"/>
      <c r="P55" s="4"/>
      <c r="Q55" s="4"/>
      <c r="R55" s="4"/>
    </row>
    <row r="56" spans="1:34" ht="29.25" customHeight="1">
      <c r="A56" s="16"/>
      <c r="B56" s="488" t="s">
        <v>174</v>
      </c>
      <c r="C56" s="488">
        <v>661</v>
      </c>
      <c r="D56" s="488">
        <v>518</v>
      </c>
      <c r="E56" s="461">
        <v>439</v>
      </c>
      <c r="F56" s="488">
        <v>6.0199999999999997E-2</v>
      </c>
      <c r="G56" s="488">
        <v>7.0499999999999993E-2</v>
      </c>
      <c r="H56" s="480">
        <v>62</v>
      </c>
      <c r="I56" s="4"/>
    </row>
    <row r="57" spans="1:34" ht="19.5" customHeight="1">
      <c r="A57" s="16"/>
      <c r="B57" s="4"/>
      <c r="C57" s="6"/>
      <c r="D57" s="4"/>
      <c r="E57" s="4"/>
      <c r="F57" s="4"/>
      <c r="G57" s="4"/>
      <c r="H57" s="17"/>
      <c r="I57" s="4"/>
    </row>
    <row r="58" spans="1:34" ht="19.5" customHeight="1">
      <c r="A58" s="16"/>
      <c r="B58" s="484" t="s">
        <v>175</v>
      </c>
      <c r="C58" s="485"/>
      <c r="D58" s="485"/>
      <c r="E58" s="485"/>
      <c r="F58" s="485"/>
      <c r="G58" s="485" t="s">
        <v>108</v>
      </c>
      <c r="H58" s="487"/>
      <c r="I58" s="4"/>
    </row>
    <row r="59" spans="1:34" ht="32.25" customHeight="1">
      <c r="A59" s="16"/>
      <c r="B59" s="684" t="s">
        <v>109</v>
      </c>
      <c r="C59" s="684" t="s">
        <v>110</v>
      </c>
      <c r="D59" s="684"/>
      <c r="E59" s="684"/>
      <c r="F59" s="700" t="s">
        <v>111</v>
      </c>
      <c r="G59" s="684" t="s">
        <v>112</v>
      </c>
      <c r="H59" s="690" t="s">
        <v>113</v>
      </c>
      <c r="I59" s="4"/>
    </row>
    <row r="60" spans="1:34" ht="32.25" customHeight="1">
      <c r="A60" s="16"/>
      <c r="B60" s="684"/>
      <c r="C60" s="459" t="s">
        <v>121</v>
      </c>
      <c r="D60" s="459" t="s">
        <v>122</v>
      </c>
      <c r="E60" s="459" t="s">
        <v>123</v>
      </c>
      <c r="F60" s="650"/>
      <c r="G60" s="684"/>
      <c r="H60" s="690"/>
      <c r="I60" s="4"/>
    </row>
    <row r="61" spans="1:34" ht="19.5" customHeight="1">
      <c r="A61" s="16"/>
      <c r="B61" s="470" t="s">
        <v>176</v>
      </c>
      <c r="C61" s="470">
        <v>22</v>
      </c>
      <c r="D61" s="502">
        <v>25</v>
      </c>
      <c r="E61" s="470">
        <v>22</v>
      </c>
      <c r="F61" s="470">
        <v>15.5</v>
      </c>
      <c r="G61" s="470">
        <v>0.108</v>
      </c>
      <c r="H61" s="478">
        <v>13</v>
      </c>
      <c r="I61" s="4"/>
    </row>
    <row r="62" spans="1:34" ht="19.5" customHeight="1">
      <c r="A62" s="16"/>
      <c r="B62" s="488" t="s">
        <v>177</v>
      </c>
      <c r="C62" s="488">
        <v>28</v>
      </c>
      <c r="D62" s="497">
        <v>34</v>
      </c>
      <c r="E62" s="488">
        <v>28</v>
      </c>
      <c r="F62" s="488">
        <v>9.48</v>
      </c>
      <c r="G62" s="488">
        <v>0.1007</v>
      </c>
      <c r="H62" s="480">
        <v>15</v>
      </c>
      <c r="I62" s="4"/>
    </row>
    <row r="63" spans="1:34" ht="19.5" customHeight="1">
      <c r="A63" s="16"/>
      <c r="B63" s="488" t="s">
        <v>178</v>
      </c>
      <c r="C63" s="488">
        <v>38</v>
      </c>
      <c r="D63" s="497">
        <v>44</v>
      </c>
      <c r="E63" s="488">
        <v>37</v>
      </c>
      <c r="F63" s="488">
        <v>5.9</v>
      </c>
      <c r="G63" s="488">
        <v>9.4700000000000006E-2</v>
      </c>
      <c r="H63" s="480">
        <v>16</v>
      </c>
      <c r="I63" s="4"/>
    </row>
    <row r="64" spans="1:34" ht="19.5" customHeight="1">
      <c r="A64" s="16"/>
      <c r="B64" s="488" t="s">
        <v>179</v>
      </c>
      <c r="C64" s="488">
        <v>51</v>
      </c>
      <c r="D64" s="497">
        <v>55</v>
      </c>
      <c r="E64" s="488">
        <v>46</v>
      </c>
      <c r="F64" s="488">
        <v>3.94</v>
      </c>
      <c r="G64" s="488">
        <v>9.0200000000000002E-2</v>
      </c>
      <c r="H64" s="480">
        <v>18</v>
      </c>
      <c r="I64" s="4"/>
      <c r="AH64" s="5"/>
    </row>
    <row r="65" spans="1:34" ht="19.5" customHeight="1">
      <c r="A65" s="16"/>
      <c r="B65" s="488" t="s">
        <v>180</v>
      </c>
      <c r="C65" s="488">
        <v>66</v>
      </c>
      <c r="D65" s="497">
        <v>72</v>
      </c>
      <c r="E65" s="488">
        <v>60</v>
      </c>
      <c r="F65" s="488">
        <v>2.34</v>
      </c>
      <c r="G65" s="488">
        <v>8.5199999999999998E-2</v>
      </c>
      <c r="H65" s="480">
        <v>20</v>
      </c>
      <c r="I65" s="4"/>
      <c r="AH65" s="5"/>
    </row>
    <row r="66" spans="1:34" ht="19.5" customHeight="1">
      <c r="A66" s="16"/>
      <c r="B66" s="488" t="s">
        <v>181</v>
      </c>
      <c r="C66" s="488">
        <v>85</v>
      </c>
      <c r="D66" s="497">
        <v>95</v>
      </c>
      <c r="E66" s="488">
        <v>79</v>
      </c>
      <c r="F66" s="488">
        <v>1.47</v>
      </c>
      <c r="G66" s="488">
        <v>8.1500000000000003E-2</v>
      </c>
      <c r="H66" s="480">
        <v>21</v>
      </c>
      <c r="I66" s="4"/>
      <c r="AH66" s="5"/>
    </row>
    <row r="67" spans="1:34" ht="19.5" customHeight="1">
      <c r="A67" s="16"/>
      <c r="B67" s="488" t="s">
        <v>810</v>
      </c>
      <c r="C67" s="488">
        <v>122</v>
      </c>
      <c r="D67" s="497">
        <v>122</v>
      </c>
      <c r="E67" s="488">
        <v>100</v>
      </c>
      <c r="F67" s="488">
        <v>0.93</v>
      </c>
      <c r="G67" s="488">
        <v>8.1000000000000003E-2</v>
      </c>
      <c r="H67" s="480">
        <v>25</v>
      </c>
      <c r="I67" s="4"/>
      <c r="J67" s="1"/>
      <c r="K67" s="1"/>
      <c r="L67" s="1"/>
      <c r="M67" s="1"/>
      <c r="N67" s="1"/>
      <c r="O67" s="1"/>
      <c r="R67" s="4"/>
      <c r="AH67" s="5"/>
    </row>
    <row r="68" spans="1:34" ht="19.5" customHeight="1">
      <c r="A68" s="16"/>
      <c r="B68" s="488" t="s">
        <v>811</v>
      </c>
      <c r="C68" s="488">
        <v>148</v>
      </c>
      <c r="D68" s="488">
        <v>146</v>
      </c>
      <c r="E68" s="488">
        <v>120</v>
      </c>
      <c r="F68" s="488">
        <v>0.67100000000000004</v>
      </c>
      <c r="G68" s="488">
        <v>7.9399999999999998E-2</v>
      </c>
      <c r="H68" s="480">
        <v>27</v>
      </c>
      <c r="I68" s="4"/>
      <c r="J68" s="1"/>
      <c r="K68" s="1"/>
      <c r="L68" s="1"/>
      <c r="M68" s="1"/>
      <c r="N68" s="1"/>
      <c r="O68" s="1"/>
      <c r="R68" s="4"/>
      <c r="AH68" s="5"/>
    </row>
    <row r="69" spans="1:34" ht="19.5" customHeight="1">
      <c r="A69" s="16"/>
      <c r="B69" s="488" t="s">
        <v>812</v>
      </c>
      <c r="C69" s="488">
        <v>181</v>
      </c>
      <c r="D69" s="488">
        <v>175</v>
      </c>
      <c r="E69" s="488">
        <v>151</v>
      </c>
      <c r="F69" s="488">
        <v>0.495</v>
      </c>
      <c r="G69" s="488">
        <v>7.9200000000000007E-2</v>
      </c>
      <c r="H69" s="480">
        <v>30</v>
      </c>
      <c r="I69" s="4"/>
      <c r="J69" s="1"/>
      <c r="K69" s="1"/>
      <c r="L69" s="1"/>
      <c r="M69" s="1"/>
      <c r="N69" s="1"/>
      <c r="O69" s="1"/>
      <c r="R69" s="4"/>
      <c r="AH69" s="5"/>
    </row>
    <row r="70" spans="1:34" ht="19.5" customHeight="1">
      <c r="A70" s="16"/>
      <c r="B70" s="488" t="s">
        <v>813</v>
      </c>
      <c r="C70" s="488">
        <v>230</v>
      </c>
      <c r="D70" s="488">
        <v>212</v>
      </c>
      <c r="E70" s="488">
        <v>182</v>
      </c>
      <c r="F70" s="488">
        <v>0.31900000000000001</v>
      </c>
      <c r="G70" s="497">
        <v>7.5200000000000003E-2</v>
      </c>
      <c r="H70" s="480">
        <v>36</v>
      </c>
      <c r="I70" s="4"/>
      <c r="J70" s="1"/>
      <c r="K70" s="1"/>
      <c r="L70" s="1"/>
      <c r="M70" s="1"/>
      <c r="N70" s="1"/>
      <c r="O70" s="1"/>
      <c r="R70" s="4"/>
      <c r="AH70" s="5"/>
    </row>
    <row r="71" spans="1:34" ht="19.5" customHeight="1">
      <c r="A71" s="16"/>
      <c r="B71" s="488" t="s">
        <v>814</v>
      </c>
      <c r="C71" s="488">
        <v>284</v>
      </c>
      <c r="D71" s="488">
        <v>253</v>
      </c>
      <c r="E71" s="488">
        <v>211</v>
      </c>
      <c r="F71" s="488">
        <v>0.247</v>
      </c>
      <c r="G71" s="497">
        <v>7.3400000000000007E-2</v>
      </c>
      <c r="H71" s="480">
        <v>39</v>
      </c>
      <c r="I71" s="4"/>
      <c r="J71" s="1"/>
      <c r="K71" s="1"/>
      <c r="L71" s="1"/>
      <c r="M71" s="1"/>
      <c r="N71" s="1"/>
      <c r="O71" s="1"/>
      <c r="R71" s="4"/>
      <c r="AH71" s="5"/>
    </row>
    <row r="72" spans="1:34" ht="19.5" customHeight="1">
      <c r="A72" s="16"/>
      <c r="B72" s="488" t="s">
        <v>815</v>
      </c>
      <c r="C72" s="488">
        <v>330</v>
      </c>
      <c r="D72" s="488">
        <v>290</v>
      </c>
      <c r="E72" s="488">
        <v>236</v>
      </c>
      <c r="F72" s="488">
        <v>0.19600000000000001</v>
      </c>
      <c r="G72" s="497">
        <v>7.2599999999999998E-2</v>
      </c>
      <c r="H72" s="480">
        <v>43</v>
      </c>
      <c r="I72" s="4"/>
      <c r="J72" s="1"/>
      <c r="K72" s="1"/>
      <c r="L72" s="1"/>
      <c r="M72" s="1"/>
      <c r="N72" s="1"/>
      <c r="O72" s="1"/>
      <c r="R72" s="4"/>
      <c r="AH72" s="5"/>
    </row>
    <row r="73" spans="1:34" ht="19.5" customHeight="1">
      <c r="A73" s="16"/>
      <c r="B73" s="488" t="s">
        <v>816</v>
      </c>
      <c r="C73" s="488">
        <v>375</v>
      </c>
      <c r="D73" s="488">
        <v>325</v>
      </c>
      <c r="E73" s="488">
        <v>271</v>
      </c>
      <c r="F73" s="488">
        <v>0.159</v>
      </c>
      <c r="G73" s="497">
        <v>7.3200000000000001E-2</v>
      </c>
      <c r="H73" s="480">
        <v>48</v>
      </c>
      <c r="I73" s="4"/>
      <c r="J73" s="1"/>
      <c r="K73" s="1"/>
      <c r="L73" s="1"/>
      <c r="M73" s="1"/>
      <c r="N73" s="1"/>
      <c r="O73" s="1"/>
      <c r="R73" s="4"/>
      <c r="AH73" s="5"/>
    </row>
    <row r="74" spans="1:34">
      <c r="A74" s="16"/>
      <c r="B74" s="488" t="s">
        <v>817</v>
      </c>
      <c r="C74" s="488">
        <v>431</v>
      </c>
      <c r="D74" s="488">
        <v>362</v>
      </c>
      <c r="E74" s="488">
        <v>308</v>
      </c>
      <c r="F74" s="488">
        <v>0.127</v>
      </c>
      <c r="G74" s="497">
        <v>7.1999999999999995E-2</v>
      </c>
      <c r="H74" s="480">
        <v>53</v>
      </c>
      <c r="I74" s="4"/>
      <c r="J74" s="45"/>
      <c r="K74" s="651"/>
      <c r="L74" s="651"/>
      <c r="M74" s="651"/>
      <c r="N74" s="651"/>
      <c r="O74" s="651"/>
      <c r="P74" s="651"/>
      <c r="Q74" s="46"/>
      <c r="R74" s="651"/>
      <c r="S74" s="651"/>
      <c r="T74" s="651"/>
      <c r="U74" s="651"/>
      <c r="AH74" s="5"/>
    </row>
    <row r="75" spans="1:34" ht="19.5" customHeight="1">
      <c r="A75" s="16"/>
      <c r="B75" s="488" t="s">
        <v>818</v>
      </c>
      <c r="C75" s="488">
        <v>512</v>
      </c>
      <c r="D75" s="488">
        <v>418</v>
      </c>
      <c r="E75" s="488">
        <v>257</v>
      </c>
      <c r="F75" s="488">
        <v>9.6500000000000002E-2</v>
      </c>
      <c r="G75" s="488">
        <v>7.1900000000000006E-2</v>
      </c>
      <c r="H75" s="480">
        <v>58</v>
      </c>
      <c r="I75" s="4"/>
      <c r="J75" s="45"/>
      <c r="K75" s="651"/>
      <c r="L75" s="46"/>
      <c r="M75" s="46"/>
      <c r="N75" s="651"/>
      <c r="O75" s="46"/>
      <c r="P75" s="46"/>
      <c r="Q75" s="46"/>
      <c r="R75" s="46"/>
      <c r="S75" s="46"/>
      <c r="T75" s="46"/>
      <c r="U75" s="46"/>
      <c r="AH75" s="5"/>
    </row>
    <row r="76" spans="1:34" ht="19.5" customHeight="1">
      <c r="A76" s="16"/>
      <c r="B76" s="488" t="s">
        <v>819</v>
      </c>
      <c r="C76" s="488">
        <v>582</v>
      </c>
      <c r="D76" s="488">
        <v>467</v>
      </c>
      <c r="E76" s="488">
        <v>406</v>
      </c>
      <c r="F76" s="488">
        <v>7.6899999999999996E-2</v>
      </c>
      <c r="G76" s="488">
        <v>7.1099999999999997E-2</v>
      </c>
      <c r="H76" s="480">
        <v>64</v>
      </c>
      <c r="I76" s="4"/>
      <c r="J76" s="45"/>
      <c r="K76" s="45"/>
      <c r="L76" s="47"/>
      <c r="M76" s="47"/>
      <c r="N76" s="45"/>
      <c r="O76" s="47"/>
      <c r="P76" s="47"/>
      <c r="Q76" s="47"/>
      <c r="R76" s="47"/>
      <c r="S76" s="45"/>
      <c r="T76" s="45"/>
      <c r="U76" s="45"/>
      <c r="AH76" s="5"/>
    </row>
    <row r="77" spans="1:34" ht="19.5" customHeight="1">
      <c r="A77" s="16"/>
      <c r="B77" s="488" t="s">
        <v>820</v>
      </c>
      <c r="C77" s="488">
        <v>661</v>
      </c>
      <c r="D77" s="488">
        <v>518</v>
      </c>
      <c r="E77" s="461">
        <v>439</v>
      </c>
      <c r="F77" s="488">
        <v>6.0199999999999997E-2</v>
      </c>
      <c r="G77" s="488">
        <v>7.0499999999999993E-2</v>
      </c>
      <c r="H77" s="480">
        <v>72</v>
      </c>
      <c r="I77" s="4"/>
      <c r="J77" s="45"/>
      <c r="K77" s="45"/>
      <c r="L77" s="47"/>
      <c r="M77" s="47"/>
      <c r="N77" s="47"/>
      <c r="O77" s="47"/>
      <c r="P77" s="47"/>
      <c r="Q77" s="47"/>
      <c r="R77" s="48"/>
      <c r="S77" s="49"/>
      <c r="T77" s="50"/>
      <c r="U77" s="49"/>
      <c r="AH77" s="5"/>
    </row>
    <row r="78" spans="1:34" ht="19.5" customHeight="1">
      <c r="A78" s="16"/>
      <c r="B78" s="4"/>
      <c r="C78" s="6"/>
      <c r="D78" s="4"/>
      <c r="E78" s="4"/>
      <c r="F78" s="4"/>
      <c r="G78" s="4"/>
      <c r="H78" s="17"/>
      <c r="I78" s="4"/>
      <c r="J78" s="45"/>
      <c r="K78" s="45"/>
      <c r="L78" s="51"/>
      <c r="M78" s="51"/>
      <c r="N78" s="47"/>
      <c r="O78" s="47"/>
      <c r="P78" s="47"/>
      <c r="Q78" s="47"/>
      <c r="R78" s="48"/>
      <c r="S78" s="49"/>
      <c r="T78" s="50"/>
      <c r="U78" s="49"/>
      <c r="V78" s="5"/>
      <c r="W78" s="5"/>
      <c r="X78" s="5"/>
      <c r="Y78" s="5"/>
      <c r="Z78" s="5"/>
      <c r="AA78" s="5"/>
      <c r="AB78" s="5"/>
      <c r="AC78" s="5"/>
      <c r="AD78" s="5"/>
      <c r="AE78" s="5"/>
      <c r="AF78" s="5"/>
      <c r="AG78" s="5"/>
      <c r="AH78" s="5"/>
    </row>
    <row r="79" spans="1:34" ht="19.5" customHeight="1">
      <c r="A79" s="16"/>
      <c r="B79" s="484" t="s">
        <v>193</v>
      </c>
      <c r="C79" s="489"/>
      <c r="D79" s="489"/>
      <c r="E79" s="489"/>
      <c r="F79" s="489"/>
      <c r="G79" s="485" t="s">
        <v>108</v>
      </c>
      <c r="H79" s="490"/>
      <c r="I79" s="4"/>
      <c r="J79" s="52"/>
      <c r="K79" s="52"/>
      <c r="L79" s="52"/>
      <c r="M79" s="52"/>
      <c r="N79" s="52"/>
      <c r="O79" s="52"/>
      <c r="P79" s="52"/>
      <c r="Q79" s="52"/>
      <c r="R79" s="48"/>
      <c r="S79" s="49"/>
      <c r="T79" s="50"/>
      <c r="U79" s="49"/>
      <c r="V79" s="5"/>
      <c r="W79" s="5"/>
      <c r="X79" s="5"/>
      <c r="Y79" s="5"/>
      <c r="Z79" s="5"/>
      <c r="AA79" s="5"/>
      <c r="AB79" s="5"/>
      <c r="AC79" s="5"/>
      <c r="AD79" s="5"/>
      <c r="AE79" s="5"/>
      <c r="AF79" s="5"/>
      <c r="AG79" s="5"/>
      <c r="AH79" s="5"/>
    </row>
    <row r="80" spans="1:34" ht="36" customHeight="1">
      <c r="A80" s="16"/>
      <c r="B80" s="694" t="s">
        <v>194</v>
      </c>
      <c r="C80" s="694" t="s">
        <v>110</v>
      </c>
      <c r="D80" s="694"/>
      <c r="E80" s="694"/>
      <c r="F80" s="700" t="s">
        <v>111</v>
      </c>
      <c r="G80" s="694" t="s">
        <v>112</v>
      </c>
      <c r="H80" s="690" t="s">
        <v>113</v>
      </c>
      <c r="I80" s="4"/>
      <c r="J80" s="53"/>
      <c r="K80" s="46"/>
      <c r="L80" s="54"/>
      <c r="M80" s="54"/>
      <c r="N80" s="54"/>
      <c r="O80" s="54"/>
      <c r="P80" s="54"/>
      <c r="Q80" s="54"/>
      <c r="R80" s="48"/>
      <c r="S80" s="49"/>
      <c r="T80" s="50"/>
      <c r="U80" s="49"/>
      <c r="V80" s="5"/>
      <c r="W80" s="5"/>
      <c r="X80" s="5"/>
      <c r="Y80" s="5"/>
      <c r="Z80" s="5"/>
      <c r="AA80" s="5"/>
      <c r="AB80" s="5"/>
      <c r="AC80" s="5"/>
      <c r="AD80" s="5"/>
      <c r="AE80" s="5"/>
      <c r="AF80" s="5"/>
      <c r="AG80" s="5"/>
      <c r="AH80" s="5"/>
    </row>
    <row r="81" spans="1:34" ht="36" customHeight="1">
      <c r="A81" s="16"/>
      <c r="B81" s="694"/>
      <c r="C81" s="459" t="s">
        <v>121</v>
      </c>
      <c r="D81" s="459" t="s">
        <v>122</v>
      </c>
      <c r="E81" s="459" t="s">
        <v>123</v>
      </c>
      <c r="F81" s="650"/>
      <c r="G81" s="694"/>
      <c r="H81" s="690"/>
      <c r="I81" s="4"/>
      <c r="J81" s="53"/>
      <c r="K81" s="46"/>
      <c r="L81" s="46"/>
      <c r="M81" s="52"/>
      <c r="N81" s="54"/>
      <c r="O81" s="46"/>
      <c r="P81" s="46"/>
      <c r="Q81" s="46"/>
      <c r="R81" s="48"/>
      <c r="S81" s="49"/>
      <c r="T81" s="50"/>
      <c r="U81" s="49"/>
      <c r="V81" s="5"/>
      <c r="W81" s="5"/>
      <c r="X81" s="5"/>
      <c r="Y81" s="5"/>
      <c r="Z81" s="5"/>
      <c r="AA81" s="5"/>
      <c r="AB81" s="5"/>
      <c r="AC81" s="5"/>
      <c r="AD81" s="5"/>
      <c r="AE81" s="5"/>
      <c r="AF81" s="5"/>
      <c r="AG81" s="5"/>
      <c r="AH81" s="5"/>
    </row>
    <row r="82" spans="1:34" ht="19.5" customHeight="1">
      <c r="A82" s="16"/>
      <c r="B82" s="470" t="s">
        <v>195</v>
      </c>
      <c r="C82" s="470">
        <v>22</v>
      </c>
      <c r="D82" s="502">
        <v>25</v>
      </c>
      <c r="E82" s="470">
        <v>22</v>
      </c>
      <c r="F82" s="470">
        <v>15.5</v>
      </c>
      <c r="G82" s="470">
        <v>0.108</v>
      </c>
      <c r="H82" s="478"/>
      <c r="I82" s="4"/>
      <c r="J82" s="53"/>
      <c r="K82" s="45"/>
      <c r="L82" s="52"/>
      <c r="M82" s="52"/>
      <c r="N82" s="45"/>
      <c r="O82" s="47"/>
      <c r="P82" s="47"/>
      <c r="Q82" s="47"/>
      <c r="R82" s="48"/>
      <c r="S82" s="49"/>
      <c r="T82" s="50"/>
      <c r="U82" s="49"/>
      <c r="V82" s="5"/>
      <c r="W82" s="5"/>
      <c r="X82" s="5"/>
      <c r="Y82" s="5"/>
      <c r="Z82" s="5"/>
      <c r="AA82" s="5"/>
      <c r="AB82" s="5"/>
      <c r="AC82" s="5"/>
      <c r="AD82" s="5"/>
      <c r="AE82" s="5"/>
      <c r="AF82" s="5"/>
      <c r="AG82" s="5"/>
      <c r="AH82" s="5"/>
    </row>
    <row r="83" spans="1:34" ht="19.5" customHeight="1">
      <c r="A83" s="16"/>
      <c r="B83" s="488" t="s">
        <v>196</v>
      </c>
      <c r="C83" s="488">
        <v>28</v>
      </c>
      <c r="D83" s="497">
        <v>34</v>
      </c>
      <c r="E83" s="488">
        <v>28</v>
      </c>
      <c r="F83" s="488">
        <v>9.48</v>
      </c>
      <c r="G83" s="488">
        <v>0.1007</v>
      </c>
      <c r="H83" s="480"/>
      <c r="I83" s="4"/>
      <c r="J83" s="53"/>
      <c r="K83" s="45"/>
      <c r="L83" s="52"/>
      <c r="M83" s="52"/>
      <c r="N83" s="47"/>
      <c r="O83" s="47"/>
      <c r="P83" s="47"/>
      <c r="Q83" s="47"/>
      <c r="R83" s="48"/>
      <c r="S83" s="49"/>
      <c r="T83" s="50"/>
      <c r="U83" s="49"/>
      <c r="V83" s="5"/>
      <c r="W83" s="5"/>
      <c r="X83" s="5"/>
      <c r="Y83" s="5"/>
      <c r="Z83" s="5"/>
      <c r="AA83" s="5"/>
      <c r="AB83" s="5"/>
      <c r="AC83" s="5"/>
      <c r="AD83" s="5"/>
      <c r="AE83" s="5"/>
      <c r="AF83" s="5"/>
      <c r="AG83" s="5"/>
      <c r="AH83" s="5"/>
    </row>
    <row r="84" spans="1:34" ht="19.5" customHeight="1">
      <c r="A84" s="16"/>
      <c r="B84" s="488" t="s">
        <v>197</v>
      </c>
      <c r="C84" s="488">
        <v>38</v>
      </c>
      <c r="D84" s="497">
        <v>44</v>
      </c>
      <c r="E84" s="488">
        <v>37</v>
      </c>
      <c r="F84" s="488">
        <v>5.9</v>
      </c>
      <c r="G84" s="488">
        <v>9.4700000000000006E-2</v>
      </c>
      <c r="H84" s="480"/>
      <c r="I84" s="4"/>
      <c r="J84" s="53"/>
      <c r="K84" s="45"/>
      <c r="L84" s="52"/>
      <c r="M84" s="52"/>
      <c r="N84" s="52"/>
      <c r="O84" s="52"/>
      <c r="P84" s="52"/>
      <c r="Q84" s="52"/>
      <c r="R84" s="48"/>
      <c r="S84" s="49"/>
      <c r="T84" s="48"/>
      <c r="U84" s="49"/>
      <c r="V84" s="5"/>
      <c r="W84" s="5"/>
      <c r="X84" s="5"/>
      <c r="Y84" s="5"/>
      <c r="Z84" s="5"/>
      <c r="AA84" s="5"/>
      <c r="AB84" s="5"/>
      <c r="AC84" s="5"/>
      <c r="AD84" s="5"/>
      <c r="AE84" s="5"/>
      <c r="AF84" s="5"/>
      <c r="AG84" s="5"/>
      <c r="AH84" s="5"/>
    </row>
    <row r="85" spans="1:34" ht="19.5" customHeight="1">
      <c r="A85" s="16"/>
      <c r="B85" s="488" t="s">
        <v>198</v>
      </c>
      <c r="C85" s="488">
        <v>51</v>
      </c>
      <c r="D85" s="497">
        <v>55</v>
      </c>
      <c r="E85" s="488">
        <v>46</v>
      </c>
      <c r="F85" s="488">
        <v>3.94</v>
      </c>
      <c r="G85" s="488">
        <v>9.0200000000000002E-2</v>
      </c>
      <c r="H85" s="480"/>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6"/>
      <c r="B86" s="488" t="s">
        <v>199</v>
      </c>
      <c r="C86" s="488">
        <v>66</v>
      </c>
      <c r="D86" s="497">
        <v>72</v>
      </c>
      <c r="E86" s="488">
        <v>60</v>
      </c>
      <c r="F86" s="488">
        <v>2.34</v>
      </c>
      <c r="G86" s="488">
        <v>8.5199999999999998E-2</v>
      </c>
      <c r="H86" s="480"/>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6"/>
      <c r="B87" s="488" t="s">
        <v>200</v>
      </c>
      <c r="C87" s="488">
        <v>85</v>
      </c>
      <c r="D87" s="497">
        <v>95</v>
      </c>
      <c r="E87" s="488">
        <v>79</v>
      </c>
      <c r="F87" s="488">
        <v>1.47</v>
      </c>
      <c r="G87" s="488">
        <v>8.1500000000000003E-2</v>
      </c>
      <c r="H87" s="480"/>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6"/>
      <c r="B88" s="488" t="s">
        <v>201</v>
      </c>
      <c r="C88" s="488">
        <v>122</v>
      </c>
      <c r="D88" s="497">
        <v>122</v>
      </c>
      <c r="E88" s="488">
        <v>100</v>
      </c>
      <c r="F88" s="488">
        <v>0.93</v>
      </c>
      <c r="G88" s="488">
        <v>8.1000000000000003E-2</v>
      </c>
      <c r="H88" s="480"/>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6"/>
      <c r="B89" s="488" t="s">
        <v>202</v>
      </c>
      <c r="C89" s="488">
        <v>148</v>
      </c>
      <c r="D89" s="488">
        <v>146</v>
      </c>
      <c r="E89" s="488">
        <v>120</v>
      </c>
      <c r="F89" s="488">
        <v>0.67100000000000004</v>
      </c>
      <c r="G89" s="488">
        <v>7.9399999999999998E-2</v>
      </c>
      <c r="H89" s="480"/>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6"/>
      <c r="B90" s="488" t="s">
        <v>203</v>
      </c>
      <c r="C90" s="488">
        <v>181</v>
      </c>
      <c r="D90" s="488">
        <v>175</v>
      </c>
      <c r="E90" s="488">
        <v>151</v>
      </c>
      <c r="F90" s="488">
        <v>0.495</v>
      </c>
      <c r="G90" s="488">
        <v>7.9200000000000007E-2</v>
      </c>
      <c r="H90" s="480"/>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6"/>
      <c r="B91" s="488" t="s">
        <v>204</v>
      </c>
      <c r="C91" s="488">
        <v>230</v>
      </c>
      <c r="D91" s="488">
        <v>212</v>
      </c>
      <c r="E91" s="488">
        <v>182</v>
      </c>
      <c r="F91" s="488">
        <v>0.31900000000000001</v>
      </c>
      <c r="G91" s="497">
        <v>7.5200000000000003E-2</v>
      </c>
      <c r="H91" s="480"/>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6"/>
      <c r="B92" s="7"/>
      <c r="C92" s="7"/>
      <c r="D92" s="7"/>
      <c r="E92" s="7"/>
      <c r="F92" s="56"/>
      <c r="G92" s="56"/>
      <c r="H92" s="57"/>
      <c r="I92" s="4"/>
      <c r="U92" s="5"/>
      <c r="V92" s="5"/>
      <c r="W92" s="5"/>
      <c r="X92" s="5"/>
      <c r="Y92" s="5"/>
      <c r="Z92" s="5"/>
      <c r="AA92" s="5"/>
      <c r="AB92" s="5"/>
      <c r="AC92" s="5"/>
      <c r="AD92" s="5"/>
      <c r="AE92" s="5"/>
      <c r="AF92" s="5"/>
      <c r="AG92" s="5"/>
      <c r="AH92" s="5"/>
    </row>
    <row r="93" spans="1:34" ht="19.5" customHeight="1" thickBot="1">
      <c r="A93" s="21"/>
      <c r="B93" s="22"/>
      <c r="C93" s="23"/>
      <c r="D93" s="22"/>
      <c r="E93" s="22"/>
      <c r="F93" s="22"/>
      <c r="G93" s="22"/>
      <c r="H93" s="24"/>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3"/>
      <c r="B95" s="647" t="s">
        <v>205</v>
      </c>
      <c r="C95" s="648"/>
      <c r="D95" s="648"/>
      <c r="E95" s="648"/>
      <c r="F95" s="649"/>
      <c r="G95" s="25"/>
      <c r="H95" s="15"/>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6"/>
      <c r="B96" s="4"/>
      <c r="C96" s="4"/>
      <c r="D96" s="4"/>
      <c r="E96" s="4"/>
      <c r="F96" s="4"/>
      <c r="G96" s="4"/>
      <c r="H96" s="17"/>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6"/>
      <c r="B97" s="43" t="s">
        <v>206</v>
      </c>
      <c r="C97" s="42"/>
      <c r="D97" s="43"/>
      <c r="E97" s="43"/>
      <c r="F97" s="43" t="s">
        <v>207</v>
      </c>
      <c r="G97" s="44"/>
      <c r="H97" s="17"/>
      <c r="I97" s="4"/>
      <c r="P97" s="4"/>
      <c r="Q97" s="4"/>
      <c r="R97" s="4"/>
      <c r="S97" s="5"/>
      <c r="T97" s="5"/>
      <c r="U97" s="5"/>
      <c r="V97" s="5"/>
      <c r="W97" s="5"/>
      <c r="X97" s="5"/>
      <c r="Y97" s="5"/>
      <c r="Z97" s="5"/>
      <c r="AA97" s="5"/>
      <c r="AB97" s="5"/>
      <c r="AC97" s="5"/>
      <c r="AD97" s="5"/>
      <c r="AE97" s="5"/>
      <c r="AF97" s="5"/>
      <c r="AG97" s="5"/>
      <c r="AH97" s="5"/>
    </row>
    <row r="98" spans="1:34" ht="19.5" customHeight="1">
      <c r="A98" s="16"/>
      <c r="B98" s="7"/>
      <c r="C98" s="7"/>
      <c r="D98" s="7"/>
      <c r="E98" s="7"/>
      <c r="F98" s="7"/>
      <c r="G98" s="7"/>
      <c r="H98" s="17"/>
      <c r="I98" s="4"/>
      <c r="P98" s="4"/>
      <c r="Q98" s="4"/>
      <c r="R98" s="4"/>
      <c r="S98" s="5"/>
      <c r="T98" s="5"/>
      <c r="U98" s="5"/>
      <c r="V98" s="5"/>
      <c r="W98" s="5"/>
      <c r="X98" s="5"/>
      <c r="Y98" s="5"/>
      <c r="Z98" s="5"/>
      <c r="AA98" s="5"/>
      <c r="AB98" s="5"/>
      <c r="AC98" s="5"/>
      <c r="AD98" s="5"/>
      <c r="AE98" s="5"/>
      <c r="AF98" s="5"/>
      <c r="AG98" s="5"/>
      <c r="AH98" s="5"/>
    </row>
    <row r="99" spans="1:34" ht="73.5" customHeight="1">
      <c r="A99" s="16"/>
      <c r="B99" s="700" t="s">
        <v>109</v>
      </c>
      <c r="C99" s="686" t="s">
        <v>110</v>
      </c>
      <c r="D99" s="687"/>
      <c r="E99" s="688"/>
      <c r="F99" s="700" t="s">
        <v>208</v>
      </c>
      <c r="G99" s="700" t="s">
        <v>209</v>
      </c>
      <c r="H99" s="695" t="s">
        <v>210</v>
      </c>
      <c r="I99" s="702" t="s">
        <v>211</v>
      </c>
      <c r="J99" s="692" t="s">
        <v>115</v>
      </c>
      <c r="K99" s="684" t="s">
        <v>807</v>
      </c>
      <c r="L99" s="684" t="s">
        <v>212</v>
      </c>
      <c r="M99" s="684"/>
      <c r="N99" s="684" t="s">
        <v>118</v>
      </c>
      <c r="O99" s="684" t="s">
        <v>213</v>
      </c>
      <c r="P99" s="684"/>
      <c r="Q99" s="686" t="s">
        <v>214</v>
      </c>
      <c r="R99" s="687"/>
      <c r="S99" s="688"/>
      <c r="U99" s="10"/>
      <c r="V99" s="10"/>
      <c r="X99" s="10"/>
      <c r="Y99" s="10"/>
      <c r="Z99" s="5"/>
      <c r="AA99" s="5"/>
      <c r="AB99" s="5"/>
      <c r="AC99" s="5"/>
      <c r="AD99" s="5"/>
      <c r="AE99" s="5"/>
      <c r="AF99" s="5"/>
      <c r="AG99" s="5"/>
      <c r="AH99" s="5"/>
    </row>
    <row r="100" spans="1:34" ht="60" customHeight="1">
      <c r="A100" s="16"/>
      <c r="B100" s="650"/>
      <c r="C100" s="459" t="s">
        <v>215</v>
      </c>
      <c r="D100" s="459" t="s">
        <v>216</v>
      </c>
      <c r="E100" s="459" t="s">
        <v>217</v>
      </c>
      <c r="F100" s="650"/>
      <c r="G100" s="650"/>
      <c r="H100" s="653"/>
      <c r="I100" s="636"/>
      <c r="J100" s="703"/>
      <c r="K100" s="700"/>
      <c r="L100" s="503" t="s">
        <v>218</v>
      </c>
      <c r="M100" s="503" t="s">
        <v>125</v>
      </c>
      <c r="N100" s="700"/>
      <c r="O100" s="503" t="s">
        <v>126</v>
      </c>
      <c r="P100" s="503" t="s">
        <v>127</v>
      </c>
      <c r="Q100" s="503" t="s">
        <v>128</v>
      </c>
      <c r="R100" s="503" t="s">
        <v>126</v>
      </c>
      <c r="S100" s="503" t="s">
        <v>127</v>
      </c>
      <c r="U100" s="10"/>
      <c r="V100" s="10"/>
      <c r="W100" s="10"/>
      <c r="X100" s="10"/>
      <c r="Y100" s="10"/>
      <c r="Z100" s="5"/>
      <c r="AA100" s="5"/>
      <c r="AB100" s="5"/>
      <c r="AC100" s="5"/>
      <c r="AD100" s="5"/>
      <c r="AE100" s="5"/>
      <c r="AF100" s="5"/>
      <c r="AG100" s="5"/>
      <c r="AH100" s="5"/>
    </row>
    <row r="101" spans="1:34" ht="19.5" customHeight="1">
      <c r="A101" s="16"/>
      <c r="B101" s="488" t="s">
        <v>219</v>
      </c>
      <c r="C101" s="488">
        <v>296</v>
      </c>
      <c r="D101" s="488">
        <v>239</v>
      </c>
      <c r="E101" s="488">
        <v>227</v>
      </c>
      <c r="F101" s="488">
        <v>0.34200000000000003</v>
      </c>
      <c r="G101" s="488">
        <v>0.121</v>
      </c>
      <c r="H101" s="462">
        <v>26</v>
      </c>
      <c r="I101" s="704" t="s">
        <v>220</v>
      </c>
      <c r="J101" s="463" t="s">
        <v>131</v>
      </c>
      <c r="K101" s="464">
        <v>0.91</v>
      </c>
      <c r="L101" s="464">
        <v>0.9</v>
      </c>
      <c r="M101" s="464">
        <v>0.97</v>
      </c>
      <c r="N101" s="464" t="s">
        <v>132</v>
      </c>
      <c r="O101" s="464" t="s">
        <v>132</v>
      </c>
      <c r="P101" s="464" t="s">
        <v>132</v>
      </c>
      <c r="Q101" s="466"/>
      <c r="R101" s="466"/>
      <c r="S101" s="466"/>
      <c r="U101" s="10"/>
      <c r="V101" s="10"/>
      <c r="W101" s="10"/>
      <c r="X101" s="10"/>
      <c r="Y101" s="10"/>
      <c r="Z101" s="5"/>
      <c r="AA101" s="5"/>
      <c r="AB101" s="5"/>
      <c r="AC101" s="5"/>
      <c r="AD101" s="5"/>
      <c r="AE101" s="5"/>
      <c r="AF101" s="5"/>
      <c r="AG101" s="5"/>
      <c r="AH101" s="5"/>
    </row>
    <row r="102" spans="1:34" ht="19.5" customHeight="1">
      <c r="A102" s="16"/>
      <c r="B102" s="488" t="s">
        <v>221</v>
      </c>
      <c r="C102" s="488">
        <v>361</v>
      </c>
      <c r="D102" s="488">
        <v>285</v>
      </c>
      <c r="E102" s="488">
        <v>271</v>
      </c>
      <c r="F102" s="488">
        <v>0.247</v>
      </c>
      <c r="G102" s="488">
        <v>0.11600000000000001</v>
      </c>
      <c r="H102" s="462">
        <v>27</v>
      </c>
      <c r="I102" s="633"/>
      <c r="J102" s="493" t="s">
        <v>123</v>
      </c>
      <c r="K102" s="464" t="s">
        <v>132</v>
      </c>
      <c r="L102" s="464">
        <v>0.64</v>
      </c>
      <c r="M102" s="464">
        <v>0.8</v>
      </c>
      <c r="N102" s="464">
        <v>0.89</v>
      </c>
      <c r="O102" s="464">
        <v>0.95</v>
      </c>
      <c r="P102" s="464">
        <v>0.97</v>
      </c>
      <c r="Q102" s="470">
        <v>120</v>
      </c>
      <c r="R102" s="471">
        <v>1.0900000000000001</v>
      </c>
      <c r="S102" s="235">
        <v>1.05</v>
      </c>
      <c r="U102" s="10"/>
      <c r="V102" s="10"/>
      <c r="W102" s="10"/>
      <c r="X102" s="10"/>
      <c r="Y102" s="10"/>
      <c r="Z102" s="5"/>
      <c r="AA102" s="5"/>
      <c r="AB102" s="5"/>
      <c r="AC102" s="5"/>
      <c r="AD102" s="5"/>
      <c r="AE102" s="5"/>
      <c r="AF102" s="5"/>
      <c r="AG102" s="5"/>
      <c r="AH102" s="5"/>
    </row>
    <row r="103" spans="1:34" ht="19.5" customHeight="1">
      <c r="A103" s="16"/>
      <c r="B103" s="488" t="s">
        <v>222</v>
      </c>
      <c r="C103" s="488">
        <v>417</v>
      </c>
      <c r="D103" s="488">
        <v>323</v>
      </c>
      <c r="E103" s="488">
        <v>308</v>
      </c>
      <c r="F103" s="488">
        <v>0.19600000000000001</v>
      </c>
      <c r="G103" s="488">
        <v>0.111</v>
      </c>
      <c r="H103" s="462">
        <v>29</v>
      </c>
      <c r="I103" s="4"/>
      <c r="J103" s="493" t="s">
        <v>122</v>
      </c>
      <c r="K103" s="464" t="s">
        <v>132</v>
      </c>
      <c r="L103" s="464">
        <v>0.64</v>
      </c>
      <c r="M103" s="464">
        <v>0.8</v>
      </c>
      <c r="N103" s="464">
        <v>0.89</v>
      </c>
      <c r="O103" s="464">
        <v>0.95</v>
      </c>
      <c r="P103" s="464">
        <v>0.96</v>
      </c>
      <c r="Q103" s="470">
        <v>150</v>
      </c>
      <c r="R103" s="471">
        <v>1.0900000000000001</v>
      </c>
      <c r="S103" s="235">
        <v>1.05</v>
      </c>
      <c r="U103" s="10"/>
      <c r="V103" s="10"/>
      <c r="W103" s="10"/>
      <c r="X103" s="10"/>
      <c r="Y103" s="10"/>
      <c r="Z103" s="5"/>
      <c r="AA103" s="5"/>
      <c r="AB103" s="5"/>
      <c r="AC103" s="5"/>
      <c r="AD103" s="5"/>
      <c r="AE103" s="5"/>
      <c r="AF103" s="5"/>
      <c r="AG103" s="5"/>
      <c r="AH103" s="5"/>
    </row>
    <row r="104" spans="1:34" ht="38.25" customHeight="1">
      <c r="A104" s="16"/>
      <c r="B104" s="488" t="s">
        <v>223</v>
      </c>
      <c r="C104" s="488">
        <v>473</v>
      </c>
      <c r="D104" s="488">
        <v>361</v>
      </c>
      <c r="E104" s="488">
        <v>343</v>
      </c>
      <c r="F104" s="488">
        <v>0.159</v>
      </c>
      <c r="G104" s="488">
        <v>0.109</v>
      </c>
      <c r="H104" s="462">
        <v>30</v>
      </c>
      <c r="I104" s="4"/>
      <c r="J104" s="507" t="s">
        <v>136</v>
      </c>
      <c r="K104" s="464">
        <v>0.91</v>
      </c>
      <c r="L104" s="464">
        <v>0.9</v>
      </c>
      <c r="M104" s="464">
        <v>0.97</v>
      </c>
      <c r="N104" s="464" t="s">
        <v>132</v>
      </c>
      <c r="O104" s="464" t="s">
        <v>132</v>
      </c>
      <c r="P104" s="464" t="s">
        <v>132</v>
      </c>
      <c r="Q104" s="470">
        <v>185</v>
      </c>
      <c r="R104" s="471">
        <v>1.0900000000000001</v>
      </c>
      <c r="S104" s="235">
        <v>1.05</v>
      </c>
      <c r="U104" s="10"/>
      <c r="V104" s="10"/>
      <c r="W104" s="10"/>
      <c r="X104" s="10"/>
      <c r="Y104" s="10"/>
      <c r="Z104" s="5"/>
      <c r="AA104" s="5"/>
      <c r="AB104" s="5"/>
      <c r="AC104" s="5"/>
      <c r="AD104" s="5"/>
      <c r="AE104" s="5"/>
      <c r="AF104" s="5"/>
      <c r="AG104" s="5"/>
      <c r="AH104" s="5"/>
    </row>
    <row r="105" spans="1:34" ht="44.25" customHeight="1">
      <c r="A105" s="16"/>
      <c r="B105" s="488" t="s">
        <v>129</v>
      </c>
      <c r="C105" s="488">
        <v>543</v>
      </c>
      <c r="D105" s="488">
        <v>406</v>
      </c>
      <c r="E105" s="488">
        <v>387</v>
      </c>
      <c r="F105" s="488">
        <v>0.128</v>
      </c>
      <c r="G105" s="488">
        <v>0.105</v>
      </c>
      <c r="H105" s="462">
        <v>33</v>
      </c>
      <c r="I105" s="4"/>
      <c r="Q105" s="470">
        <v>240</v>
      </c>
      <c r="R105" s="471">
        <v>1.0900000000000001</v>
      </c>
      <c r="S105" s="235">
        <v>1.05</v>
      </c>
      <c r="U105" s="10"/>
      <c r="V105" s="10"/>
      <c r="W105" s="10"/>
      <c r="X105" s="10"/>
      <c r="Y105" s="10"/>
      <c r="Z105" s="5"/>
      <c r="AA105" s="5"/>
      <c r="AB105" s="5"/>
      <c r="AC105" s="5"/>
      <c r="AD105" s="5"/>
      <c r="AE105" s="5"/>
      <c r="AF105" s="5"/>
      <c r="AG105" s="5"/>
      <c r="AH105" s="5"/>
    </row>
    <row r="106" spans="1:34" ht="19.5" customHeight="1">
      <c r="A106" s="16"/>
      <c r="B106" s="488" t="s">
        <v>133</v>
      </c>
      <c r="C106" s="488">
        <v>641</v>
      </c>
      <c r="D106" s="488">
        <v>469</v>
      </c>
      <c r="E106" s="488">
        <v>447</v>
      </c>
      <c r="F106" s="488">
        <v>9.8000000000000004E-2</v>
      </c>
      <c r="G106" s="488">
        <v>0.10100000000000001</v>
      </c>
      <c r="H106" s="462">
        <v>35</v>
      </c>
      <c r="Q106" s="470">
        <v>300</v>
      </c>
      <c r="R106" s="471">
        <v>1.0900000000000001</v>
      </c>
      <c r="S106" s="235">
        <v>1.05</v>
      </c>
      <c r="U106" s="10"/>
      <c r="V106" s="10"/>
      <c r="W106" s="10"/>
      <c r="X106" s="10"/>
      <c r="Y106" s="10"/>
      <c r="Z106" s="5"/>
      <c r="AA106" s="5"/>
      <c r="AB106" s="5"/>
      <c r="AC106" s="5"/>
      <c r="AD106" s="5"/>
      <c r="AE106" s="5"/>
      <c r="AF106" s="5"/>
      <c r="AG106" s="5"/>
      <c r="AH106" s="5"/>
    </row>
    <row r="107" spans="1:34" ht="19.5" customHeight="1">
      <c r="A107" s="16"/>
      <c r="B107" s="488" t="s">
        <v>134</v>
      </c>
      <c r="C107" s="488">
        <v>735</v>
      </c>
      <c r="D107" s="488">
        <v>526</v>
      </c>
      <c r="E107" s="488">
        <v>504</v>
      </c>
      <c r="F107" s="488">
        <v>7.9000000000000001E-2</v>
      </c>
      <c r="G107" s="488">
        <v>0.1</v>
      </c>
      <c r="H107" s="462">
        <v>38</v>
      </c>
      <c r="Q107" s="470">
        <v>400</v>
      </c>
      <c r="R107" s="471">
        <v>1.0900000000000001</v>
      </c>
      <c r="S107" s="235">
        <v>1.05</v>
      </c>
      <c r="U107" s="10"/>
      <c r="V107" s="10"/>
      <c r="W107" s="10"/>
      <c r="X107" s="10"/>
      <c r="Y107" s="10"/>
      <c r="Z107" s="5"/>
      <c r="AA107" s="5"/>
      <c r="AB107" s="5"/>
      <c r="AC107" s="5"/>
      <c r="AD107" s="5"/>
      <c r="AE107" s="5"/>
      <c r="AF107" s="5"/>
      <c r="AG107" s="5"/>
      <c r="AH107" s="5"/>
    </row>
    <row r="108" spans="1:34" ht="19.5" customHeight="1">
      <c r="A108" s="16"/>
      <c r="B108" s="488" t="s">
        <v>135</v>
      </c>
      <c r="C108" s="488">
        <v>845</v>
      </c>
      <c r="D108" s="488">
        <v>590</v>
      </c>
      <c r="E108" s="488">
        <v>564</v>
      </c>
      <c r="F108" s="488">
        <v>6.3E-2</v>
      </c>
      <c r="G108" s="488">
        <v>9.6000000000000002E-2</v>
      </c>
      <c r="H108" s="462">
        <v>41</v>
      </c>
      <c r="Q108" s="470">
        <v>500</v>
      </c>
      <c r="R108" s="471">
        <v>1.0900000000000001</v>
      </c>
      <c r="S108" s="235">
        <v>1.05</v>
      </c>
      <c r="U108" s="10"/>
      <c r="V108" s="10"/>
      <c r="W108" s="10"/>
      <c r="X108" s="10"/>
      <c r="Y108" s="10"/>
      <c r="Z108" s="5"/>
      <c r="AA108" s="5"/>
      <c r="AB108" s="5"/>
      <c r="AC108" s="5"/>
      <c r="AD108" s="5"/>
      <c r="AE108" s="5"/>
      <c r="AF108" s="5"/>
      <c r="AG108" s="5"/>
      <c r="AH108" s="5"/>
    </row>
    <row r="109" spans="1:34" ht="19.5" customHeight="1">
      <c r="A109" s="16"/>
      <c r="B109" s="488" t="s">
        <v>137</v>
      </c>
      <c r="C109" s="488">
        <v>942</v>
      </c>
      <c r="D109" s="488">
        <v>640</v>
      </c>
      <c r="E109" s="488">
        <v>608</v>
      </c>
      <c r="F109" s="488">
        <v>0.05</v>
      </c>
      <c r="G109" s="488">
        <v>9.5000000000000001E-2</v>
      </c>
      <c r="H109" s="462">
        <v>47</v>
      </c>
      <c r="Q109" s="470">
        <v>630</v>
      </c>
      <c r="R109" s="471">
        <v>1.0900000000000001</v>
      </c>
      <c r="S109" s="235">
        <v>1.05</v>
      </c>
      <c r="U109" s="10"/>
      <c r="V109" s="10"/>
      <c r="W109" s="10"/>
      <c r="X109" s="10"/>
      <c r="Y109" s="10"/>
      <c r="Z109" s="5"/>
      <c r="AA109" s="5"/>
      <c r="AB109" s="5"/>
      <c r="AC109" s="5"/>
      <c r="AD109" s="5"/>
      <c r="AE109" s="5"/>
      <c r="AF109" s="5"/>
      <c r="AG109" s="5"/>
      <c r="AH109" s="5"/>
    </row>
    <row r="110" spans="1:34" ht="19.5" customHeight="1">
      <c r="A110" s="16"/>
      <c r="B110" s="488" t="s">
        <v>138</v>
      </c>
      <c r="C110" s="488">
        <v>1071</v>
      </c>
      <c r="D110" s="488">
        <v>712</v>
      </c>
      <c r="E110" s="488">
        <v>676.4</v>
      </c>
      <c r="F110" s="488">
        <v>4.1000000000000002E-2</v>
      </c>
      <c r="G110" s="488">
        <v>9.2999999999999999E-2</v>
      </c>
      <c r="H110" s="462">
        <v>51</v>
      </c>
      <c r="U110" s="10"/>
      <c r="V110" s="10"/>
      <c r="W110" s="10"/>
      <c r="X110" s="10"/>
      <c r="Y110" s="10"/>
      <c r="Z110" s="5"/>
      <c r="AA110" s="5"/>
      <c r="AB110" s="5"/>
      <c r="AC110" s="5"/>
      <c r="AD110" s="5"/>
      <c r="AE110" s="5"/>
      <c r="AF110" s="5"/>
      <c r="AG110" s="5"/>
      <c r="AH110" s="5"/>
    </row>
    <row r="111" spans="1:34" ht="19.5" customHeight="1">
      <c r="A111" s="16"/>
      <c r="B111" s="488" t="s">
        <v>224</v>
      </c>
      <c r="C111" s="488">
        <v>1210</v>
      </c>
      <c r="D111" s="488">
        <v>781</v>
      </c>
      <c r="E111" s="488">
        <v>741.95</v>
      </c>
      <c r="F111" s="488">
        <v>3.4000000000000002E-2</v>
      </c>
      <c r="G111" s="488">
        <v>0.09</v>
      </c>
      <c r="H111" s="462">
        <v>55</v>
      </c>
      <c r="U111" s="10"/>
      <c r="V111" s="10"/>
      <c r="W111" s="10"/>
      <c r="X111" s="10"/>
      <c r="Y111" s="10"/>
      <c r="Z111" s="5"/>
      <c r="AA111" s="5"/>
      <c r="AB111" s="5"/>
      <c r="AC111" s="5"/>
      <c r="AD111" s="5"/>
      <c r="AE111" s="5"/>
      <c r="AF111" s="5"/>
      <c r="AG111" s="5"/>
      <c r="AH111" s="5"/>
    </row>
    <row r="112" spans="1:34" ht="19.5" customHeight="1">
      <c r="A112" s="16"/>
      <c r="B112" s="488" t="s">
        <v>225</v>
      </c>
      <c r="C112" s="488">
        <v>1332</v>
      </c>
      <c r="D112" s="488">
        <v>841</v>
      </c>
      <c r="E112" s="488">
        <v>798.95</v>
      </c>
      <c r="F112" s="488">
        <v>2.9000000000000001E-2</v>
      </c>
      <c r="G112" s="488">
        <v>8.7999999999999995E-2</v>
      </c>
      <c r="H112" s="462">
        <v>59</v>
      </c>
      <c r="U112" s="10"/>
      <c r="V112" s="10"/>
      <c r="W112" s="10"/>
      <c r="X112" s="10"/>
      <c r="Y112" s="10"/>
      <c r="Z112" s="5"/>
      <c r="AA112" s="5"/>
      <c r="AB112" s="5"/>
      <c r="AC112" s="5"/>
      <c r="AD112" s="5"/>
      <c r="AE112" s="5"/>
      <c r="AF112" s="5"/>
      <c r="AG112" s="5"/>
      <c r="AH112" s="5"/>
    </row>
    <row r="113" spans="1:34" ht="19.5" customHeight="1">
      <c r="A113" s="16"/>
      <c r="B113" s="488"/>
      <c r="C113" s="488"/>
      <c r="D113" s="488"/>
      <c r="E113" s="488"/>
      <c r="F113" s="488"/>
      <c r="G113" s="488"/>
      <c r="H113" s="494"/>
      <c r="U113" s="10"/>
      <c r="V113" s="10"/>
      <c r="W113" s="10"/>
      <c r="X113" s="10"/>
      <c r="Y113" s="10"/>
      <c r="Z113" s="5"/>
      <c r="AA113" s="5"/>
      <c r="AB113" s="5"/>
      <c r="AC113" s="5"/>
      <c r="AD113" s="5"/>
      <c r="AE113" s="5"/>
      <c r="AF113" s="5"/>
      <c r="AG113" s="5"/>
      <c r="AH113" s="5"/>
    </row>
    <row r="114" spans="1:34" ht="19.5" customHeight="1">
      <c r="A114" s="16"/>
      <c r="H114" s="17"/>
      <c r="I114" s="7"/>
      <c r="J114" s="3"/>
      <c r="O114" s="3"/>
      <c r="T114" s="5"/>
      <c r="U114" s="5"/>
      <c r="V114" s="5"/>
      <c r="W114" s="5"/>
      <c r="X114" s="5"/>
      <c r="Y114" s="5"/>
      <c r="Z114" s="5"/>
      <c r="AA114" s="5"/>
      <c r="AB114" s="5"/>
      <c r="AC114" s="5"/>
      <c r="AD114" s="5"/>
      <c r="AE114" s="5"/>
      <c r="AF114" s="5"/>
      <c r="AG114" s="5"/>
      <c r="AH114" s="5"/>
    </row>
    <row r="115" spans="1:34" ht="19.5" customHeight="1">
      <c r="A115" s="26"/>
      <c r="H115" s="20"/>
      <c r="I115" s="7"/>
      <c r="J115" s="3"/>
      <c r="O115" s="3"/>
    </row>
    <row r="116" spans="1:34" ht="27.75" customHeight="1">
      <c r="A116" s="26"/>
      <c r="B116" s="43" t="s">
        <v>226</v>
      </c>
      <c r="C116" s="42"/>
      <c r="D116" s="43"/>
      <c r="E116" s="43"/>
      <c r="F116" s="43" t="s">
        <v>207</v>
      </c>
      <c r="G116" s="44"/>
      <c r="H116" s="20"/>
    </row>
    <row r="117" spans="1:34" ht="42" customHeight="1">
      <c r="A117" s="26"/>
      <c r="B117" s="700" t="s">
        <v>109</v>
      </c>
      <c r="C117" s="686" t="s">
        <v>110</v>
      </c>
      <c r="D117" s="687"/>
      <c r="E117" s="688"/>
      <c r="F117" s="700" t="s">
        <v>208</v>
      </c>
      <c r="G117" s="700" t="s">
        <v>209</v>
      </c>
      <c r="H117" s="695" t="s">
        <v>210</v>
      </c>
    </row>
    <row r="118" spans="1:34" ht="32.25" customHeight="1">
      <c r="A118" s="26"/>
      <c r="B118" s="650"/>
      <c r="C118" s="459" t="s">
        <v>121</v>
      </c>
      <c r="D118" s="459" t="s">
        <v>122</v>
      </c>
      <c r="E118" s="459" t="s">
        <v>123</v>
      </c>
      <c r="F118" s="650"/>
      <c r="G118" s="650"/>
      <c r="H118" s="653"/>
    </row>
    <row r="119" spans="1:34" ht="19.5" customHeight="1">
      <c r="A119" s="26"/>
      <c r="B119" s="488" t="s">
        <v>167</v>
      </c>
      <c r="C119" s="488">
        <v>253</v>
      </c>
      <c r="D119" s="488">
        <v>220</v>
      </c>
      <c r="E119" s="488">
        <v>194</v>
      </c>
      <c r="F119" s="488">
        <v>0.34200000000000003</v>
      </c>
      <c r="G119" s="488">
        <v>9.6000000000000002E-2</v>
      </c>
      <c r="H119" s="495">
        <v>49</v>
      </c>
    </row>
    <row r="120" spans="1:34" ht="32.25" customHeight="1">
      <c r="A120" s="26"/>
      <c r="B120" s="488" t="s">
        <v>168</v>
      </c>
      <c r="C120" s="488">
        <v>307</v>
      </c>
      <c r="D120" s="488">
        <v>263</v>
      </c>
      <c r="E120" s="488">
        <v>232</v>
      </c>
      <c r="F120" s="488">
        <v>0.247</v>
      </c>
      <c r="G120" s="488">
        <v>9.2999999999999999E-2</v>
      </c>
      <c r="H120" s="495">
        <v>52</v>
      </c>
    </row>
    <row r="121" spans="1:34" ht="19.5" customHeight="1">
      <c r="A121" s="26"/>
      <c r="B121" s="488" t="s">
        <v>169</v>
      </c>
      <c r="C121" s="488">
        <v>352</v>
      </c>
      <c r="D121" s="488">
        <v>298</v>
      </c>
      <c r="E121" s="488">
        <v>264</v>
      </c>
      <c r="F121" s="488">
        <v>0.19600000000000001</v>
      </c>
      <c r="G121" s="488">
        <v>0.09</v>
      </c>
      <c r="H121" s="495">
        <v>56</v>
      </c>
    </row>
    <row r="122" spans="1:34" ht="19.5" customHeight="1">
      <c r="A122" s="26"/>
      <c r="B122" s="488" t="s">
        <v>170</v>
      </c>
      <c r="C122" s="488">
        <v>397</v>
      </c>
      <c r="D122" s="488">
        <v>332</v>
      </c>
      <c r="E122" s="488">
        <v>296</v>
      </c>
      <c r="F122" s="488">
        <v>0.159</v>
      </c>
      <c r="G122" s="488">
        <v>8.7999999999999995E-2</v>
      </c>
      <c r="H122" s="495">
        <v>58</v>
      </c>
    </row>
    <row r="123" spans="1:34" ht="19.5" customHeight="1">
      <c r="A123" s="26"/>
      <c r="B123" s="488" t="s">
        <v>171</v>
      </c>
      <c r="C123" s="488">
        <v>453</v>
      </c>
      <c r="D123" s="488">
        <v>374</v>
      </c>
      <c r="E123" s="488">
        <v>335</v>
      </c>
      <c r="F123" s="488">
        <v>0.128</v>
      </c>
      <c r="G123" s="488">
        <v>8.4000000000000005E-2</v>
      </c>
      <c r="H123" s="495">
        <v>63</v>
      </c>
    </row>
    <row r="124" spans="1:34" ht="19.5" customHeight="1">
      <c r="A124" s="26"/>
      <c r="B124" s="488" t="s">
        <v>172</v>
      </c>
      <c r="C124" s="488">
        <v>529</v>
      </c>
      <c r="D124" s="488">
        <v>431</v>
      </c>
      <c r="E124" s="488">
        <v>387</v>
      </c>
      <c r="F124" s="488">
        <v>9.9000000000000005E-2</v>
      </c>
      <c r="G124" s="488">
        <v>8.3000000000000004E-2</v>
      </c>
      <c r="H124" s="495">
        <v>69</v>
      </c>
    </row>
    <row r="125" spans="1:34" ht="19.5" customHeight="1">
      <c r="A125" s="26"/>
      <c r="B125" s="488" t="s">
        <v>173</v>
      </c>
      <c r="C125" s="488">
        <v>599</v>
      </c>
      <c r="D125" s="488">
        <v>482</v>
      </c>
      <c r="E125" s="488">
        <v>435</v>
      </c>
      <c r="F125" s="488">
        <v>0.08</v>
      </c>
      <c r="G125" s="488">
        <v>8.2000000000000003E-2</v>
      </c>
      <c r="H125" s="495">
        <v>75</v>
      </c>
    </row>
    <row r="126" spans="1:34" ht="19.5" customHeight="1">
      <c r="A126" s="26"/>
      <c r="B126" s="488" t="s">
        <v>174</v>
      </c>
      <c r="C126" s="488">
        <v>683</v>
      </c>
      <c r="D126" s="488">
        <v>541</v>
      </c>
      <c r="E126" s="488">
        <v>492</v>
      </c>
      <c r="F126" s="488">
        <v>6.4000000000000001E-2</v>
      </c>
      <c r="G126" s="488">
        <v>0.08</v>
      </c>
      <c r="H126" s="495">
        <v>84</v>
      </c>
    </row>
    <row r="127" spans="1:34" ht="19.5" customHeight="1">
      <c r="A127" s="26"/>
      <c r="H127" s="20"/>
    </row>
    <row r="128" spans="1:34" ht="19.5" customHeight="1">
      <c r="A128" s="26"/>
      <c r="H128" s="20"/>
      <c r="I128" s="8"/>
      <c r="K128" s="2"/>
      <c r="L128" s="2"/>
      <c r="M128" s="2"/>
      <c r="N128" s="2"/>
    </row>
    <row r="129" spans="1:34" ht="19.5" customHeight="1">
      <c r="A129" s="26"/>
      <c r="H129" s="20"/>
      <c r="I129" s="8"/>
      <c r="K129" s="2"/>
      <c r="L129" s="2"/>
      <c r="M129" s="2"/>
      <c r="N129" s="2"/>
    </row>
    <row r="130" spans="1:34" ht="19.5" customHeight="1" thickBot="1">
      <c r="A130" s="27"/>
      <c r="B130" s="28"/>
      <c r="C130" s="28"/>
      <c r="D130" s="28"/>
      <c r="E130" s="28"/>
      <c r="F130" s="28"/>
      <c r="G130" s="28"/>
      <c r="H130" s="29"/>
      <c r="I130" s="8"/>
    </row>
    <row r="131" spans="1:34" ht="19.5" customHeight="1">
      <c r="I131" s="8"/>
    </row>
    <row r="132" spans="1:34" ht="19.5" customHeight="1">
      <c r="I132" s="8"/>
    </row>
    <row r="133" spans="1:34" ht="19.5" customHeight="1">
      <c r="I133" s="8"/>
    </row>
    <row r="134" spans="1:34" ht="19.5" customHeight="1" thickBot="1">
      <c r="I134" s="8"/>
    </row>
    <row r="135" spans="1:34" ht="19.5" customHeight="1">
      <c r="A135" s="13"/>
      <c r="B135" s="647" t="s">
        <v>205</v>
      </c>
      <c r="C135" s="648"/>
      <c r="D135" s="648"/>
      <c r="E135" s="648"/>
      <c r="F135" s="649"/>
      <c r="G135" s="25"/>
      <c r="H135" s="15"/>
      <c r="I135" s="4"/>
      <c r="J135" s="9"/>
      <c r="K135" s="9"/>
      <c r="L135" s="9"/>
      <c r="M135" s="9"/>
      <c r="N135" s="9"/>
      <c r="O135" s="10"/>
      <c r="P135" s="4"/>
      <c r="Q135" s="4"/>
      <c r="R135" s="4"/>
      <c r="S135" s="5"/>
      <c r="T135" s="5"/>
      <c r="U135" s="5"/>
      <c r="V135" s="5"/>
      <c r="W135" s="5"/>
      <c r="X135" s="5"/>
      <c r="Y135" s="5"/>
      <c r="Z135" s="5"/>
      <c r="AA135" s="5"/>
      <c r="AB135" s="5"/>
      <c r="AC135" s="5"/>
      <c r="AD135" s="5"/>
      <c r="AE135" s="5"/>
      <c r="AF135" s="5"/>
      <c r="AG135" s="5"/>
      <c r="AH135" s="5"/>
    </row>
    <row r="136" spans="1:34" ht="19.5" customHeight="1">
      <c r="A136" s="16"/>
      <c r="B136" s="4"/>
      <c r="C136" s="4"/>
      <c r="D136" s="4"/>
      <c r="E136" s="4"/>
      <c r="F136" s="4"/>
      <c r="G136" s="4"/>
      <c r="H136" s="17"/>
      <c r="I136" s="4"/>
      <c r="J136" s="4"/>
      <c r="K136" s="4"/>
      <c r="L136" s="4"/>
      <c r="M136" s="4"/>
      <c r="N136" s="4"/>
      <c r="O136" s="4"/>
      <c r="P136" s="4"/>
      <c r="Q136" s="4"/>
      <c r="R136" s="4"/>
      <c r="S136" s="5"/>
      <c r="T136" s="5"/>
      <c r="U136" s="5"/>
      <c r="V136" s="5"/>
      <c r="W136" s="5"/>
      <c r="X136" s="5"/>
      <c r="Y136" s="5"/>
      <c r="Z136" s="5"/>
      <c r="AA136" s="5"/>
      <c r="AB136" s="5"/>
      <c r="AC136" s="5"/>
      <c r="AD136" s="5"/>
      <c r="AE136" s="5"/>
      <c r="AF136" s="5"/>
      <c r="AG136" s="5"/>
      <c r="AH136" s="5"/>
    </row>
    <row r="137" spans="1:34" ht="19.5" customHeight="1">
      <c r="A137" s="16"/>
      <c r="B137" s="43" t="s">
        <v>206</v>
      </c>
      <c r="C137" s="42"/>
      <c r="D137" s="43"/>
      <c r="E137" s="43"/>
      <c r="F137" s="43" t="s">
        <v>207</v>
      </c>
      <c r="G137" s="44"/>
      <c r="H137" s="17"/>
      <c r="I137" s="4"/>
      <c r="P137" s="4"/>
      <c r="Q137" s="4"/>
      <c r="R137" s="4"/>
      <c r="S137" s="5"/>
      <c r="T137" s="5"/>
      <c r="U137" s="5"/>
      <c r="V137" s="5"/>
      <c r="W137" s="5"/>
      <c r="X137" s="5"/>
      <c r="Y137" s="5"/>
      <c r="Z137" s="5"/>
      <c r="AA137" s="5"/>
      <c r="AB137" s="5"/>
      <c r="AC137" s="5"/>
      <c r="AD137" s="5"/>
      <c r="AE137" s="5"/>
      <c r="AF137" s="5"/>
      <c r="AG137" s="5"/>
      <c r="AH137" s="5"/>
    </row>
    <row r="138" spans="1:34" ht="19.5" customHeight="1">
      <c r="A138" s="16"/>
      <c r="B138" s="7"/>
      <c r="C138" s="7"/>
      <c r="D138" s="7"/>
      <c r="E138" s="7"/>
      <c r="F138" s="7"/>
      <c r="G138" s="7"/>
      <c r="H138" s="17"/>
      <c r="I138" s="4"/>
      <c r="P138" s="4"/>
      <c r="Q138" s="4"/>
      <c r="R138" s="4"/>
      <c r="S138" s="5"/>
      <c r="T138" s="5"/>
      <c r="U138" s="5"/>
      <c r="V138" s="5"/>
      <c r="W138" s="5"/>
      <c r="X138" s="5"/>
      <c r="Y138" s="5"/>
      <c r="Z138" s="5"/>
      <c r="AA138" s="5"/>
      <c r="AB138" s="5"/>
      <c r="AC138" s="5"/>
      <c r="AD138" s="5"/>
      <c r="AE138" s="5"/>
      <c r="AF138" s="5"/>
      <c r="AG138" s="5"/>
      <c r="AH138" s="5"/>
    </row>
    <row r="139" spans="1:34" ht="73.5" customHeight="1">
      <c r="A139" s="16"/>
      <c r="B139" s="700" t="s">
        <v>109</v>
      </c>
      <c r="C139" s="686" t="s">
        <v>110</v>
      </c>
      <c r="D139" s="687"/>
      <c r="E139" s="688"/>
      <c r="F139" s="700" t="s">
        <v>208</v>
      </c>
      <c r="G139" s="700" t="s">
        <v>209</v>
      </c>
      <c r="H139" s="695" t="s">
        <v>210</v>
      </c>
      <c r="I139" s="702" t="s">
        <v>211</v>
      </c>
      <c r="J139" s="692" t="s">
        <v>115</v>
      </c>
      <c r="K139" s="684" t="s">
        <v>807</v>
      </c>
      <c r="L139" s="684" t="s">
        <v>212</v>
      </c>
      <c r="M139" s="684"/>
      <c r="N139" s="684" t="s">
        <v>118</v>
      </c>
      <c r="O139" s="684" t="s">
        <v>213</v>
      </c>
      <c r="P139" s="684"/>
      <c r="Q139" s="686" t="s">
        <v>214</v>
      </c>
      <c r="R139" s="687"/>
      <c r="S139" s="688"/>
      <c r="U139" s="10"/>
      <c r="V139" s="10"/>
      <c r="X139" s="10"/>
      <c r="Y139" s="10"/>
      <c r="Z139" s="5"/>
      <c r="AA139" s="5"/>
      <c r="AB139" s="5"/>
      <c r="AC139" s="5"/>
      <c r="AD139" s="5"/>
      <c r="AE139" s="5"/>
      <c r="AF139" s="5"/>
      <c r="AG139" s="5"/>
      <c r="AH139" s="5"/>
    </row>
    <row r="140" spans="1:34" ht="60" customHeight="1">
      <c r="A140" s="16"/>
      <c r="B140" s="650"/>
      <c r="C140" s="459" t="s">
        <v>215</v>
      </c>
      <c r="D140" s="459" t="s">
        <v>216</v>
      </c>
      <c r="E140" s="459" t="s">
        <v>217</v>
      </c>
      <c r="F140" s="650"/>
      <c r="G140" s="650"/>
      <c r="H140" s="653"/>
      <c r="I140" s="636"/>
      <c r="J140" s="703"/>
      <c r="K140" s="700"/>
      <c r="L140" s="503" t="s">
        <v>218</v>
      </c>
      <c r="M140" s="503" t="s">
        <v>125</v>
      </c>
      <c r="N140" s="700"/>
      <c r="O140" s="503" t="s">
        <v>126</v>
      </c>
      <c r="P140" s="503" t="s">
        <v>127</v>
      </c>
      <c r="Q140" s="503" t="s">
        <v>128</v>
      </c>
      <c r="R140" s="503" t="s">
        <v>126</v>
      </c>
      <c r="S140" s="503" t="s">
        <v>127</v>
      </c>
      <c r="U140" s="10"/>
      <c r="V140" s="10"/>
      <c r="W140" s="10"/>
      <c r="X140" s="10"/>
      <c r="Y140" s="10"/>
      <c r="Z140" s="5"/>
      <c r="AA140" s="5"/>
      <c r="AB140" s="5"/>
      <c r="AC140" s="5"/>
      <c r="AD140" s="5"/>
      <c r="AE140" s="5"/>
      <c r="AF140" s="5"/>
      <c r="AG140" s="5"/>
      <c r="AH140" s="5"/>
    </row>
    <row r="141" spans="1:34" ht="19.5" customHeight="1">
      <c r="A141" s="16"/>
      <c r="B141" s="488" t="s">
        <v>219</v>
      </c>
      <c r="C141" s="488">
        <v>296</v>
      </c>
      <c r="D141" s="488">
        <v>239</v>
      </c>
      <c r="E141" s="488">
        <v>227</v>
      </c>
      <c r="F141" s="488">
        <v>0.34200000000000003</v>
      </c>
      <c r="G141" s="488">
        <v>0.121</v>
      </c>
      <c r="H141" s="462">
        <v>26</v>
      </c>
      <c r="I141" s="704" t="s">
        <v>220</v>
      </c>
      <c r="J141" s="463" t="s">
        <v>131</v>
      </c>
      <c r="K141" s="464">
        <v>0.91</v>
      </c>
      <c r="L141" s="464">
        <v>0.9</v>
      </c>
      <c r="M141" s="464">
        <v>0.97</v>
      </c>
      <c r="N141" s="464" t="s">
        <v>132</v>
      </c>
      <c r="O141" s="464" t="s">
        <v>132</v>
      </c>
      <c r="P141" s="464" t="s">
        <v>132</v>
      </c>
      <c r="Q141" s="466"/>
      <c r="R141" s="466"/>
      <c r="S141" s="466"/>
      <c r="U141" s="10"/>
      <c r="V141" s="10"/>
      <c r="W141" s="10"/>
      <c r="X141" s="10"/>
      <c r="Y141" s="10"/>
      <c r="Z141" s="5"/>
      <c r="AA141" s="5"/>
      <c r="AB141" s="5"/>
      <c r="AC141" s="5"/>
      <c r="AD141" s="5"/>
      <c r="AE141" s="5"/>
      <c r="AF141" s="5"/>
      <c r="AG141" s="5"/>
      <c r="AH141" s="5"/>
    </row>
    <row r="142" spans="1:34" ht="19.5" customHeight="1">
      <c r="A142" s="16"/>
      <c r="B142" s="488" t="s">
        <v>221</v>
      </c>
      <c r="C142" s="488">
        <v>361</v>
      </c>
      <c r="D142" s="488">
        <v>285</v>
      </c>
      <c r="E142" s="488">
        <v>271</v>
      </c>
      <c r="F142" s="488">
        <v>0.247</v>
      </c>
      <c r="G142" s="488">
        <v>0.11600000000000001</v>
      </c>
      <c r="H142" s="462">
        <v>27</v>
      </c>
      <c r="I142" s="633"/>
      <c r="J142" s="493" t="s">
        <v>123</v>
      </c>
      <c r="K142" s="464" t="s">
        <v>132</v>
      </c>
      <c r="L142" s="464">
        <v>0.64</v>
      </c>
      <c r="M142" s="464">
        <v>0.8</v>
      </c>
      <c r="N142" s="464">
        <v>0.89</v>
      </c>
      <c r="O142" s="464">
        <v>0.95</v>
      </c>
      <c r="P142" s="464">
        <v>0.97</v>
      </c>
      <c r="Q142" s="470">
        <v>120</v>
      </c>
      <c r="R142" s="471">
        <v>1.0900000000000001</v>
      </c>
      <c r="S142" s="235">
        <v>1.05</v>
      </c>
      <c r="U142" s="10"/>
      <c r="V142" s="10"/>
      <c r="W142" s="10"/>
      <c r="X142" s="10"/>
      <c r="Y142" s="10"/>
      <c r="Z142" s="5"/>
      <c r="AA142" s="5"/>
      <c r="AB142" s="5"/>
      <c r="AC142" s="5"/>
      <c r="AD142" s="5"/>
      <c r="AE142" s="5"/>
      <c r="AF142" s="5"/>
      <c r="AG142" s="5"/>
      <c r="AH142" s="5"/>
    </row>
    <row r="143" spans="1:34" ht="19.5" customHeight="1">
      <c r="A143" s="16"/>
      <c r="B143" s="488" t="s">
        <v>222</v>
      </c>
      <c r="C143" s="488">
        <v>417</v>
      </c>
      <c r="D143" s="488">
        <v>323</v>
      </c>
      <c r="E143" s="488">
        <v>308</v>
      </c>
      <c r="F143" s="488">
        <v>0.19600000000000001</v>
      </c>
      <c r="G143" s="488">
        <v>0.111</v>
      </c>
      <c r="H143" s="462">
        <v>29</v>
      </c>
      <c r="I143" s="4"/>
      <c r="J143" s="493" t="s">
        <v>122</v>
      </c>
      <c r="K143" s="464" t="s">
        <v>132</v>
      </c>
      <c r="L143" s="464">
        <v>0.64</v>
      </c>
      <c r="M143" s="464">
        <v>0.8</v>
      </c>
      <c r="N143" s="464">
        <v>0.89</v>
      </c>
      <c r="O143" s="464">
        <v>0.95</v>
      </c>
      <c r="P143" s="464">
        <v>0.96</v>
      </c>
      <c r="Q143" s="470">
        <v>150</v>
      </c>
      <c r="R143" s="471">
        <v>1.0900000000000001</v>
      </c>
      <c r="S143" s="235">
        <v>1.05</v>
      </c>
      <c r="U143" s="10"/>
      <c r="V143" s="10"/>
      <c r="W143" s="10"/>
      <c r="X143" s="10"/>
      <c r="Y143" s="10"/>
      <c r="Z143" s="5"/>
      <c r="AA143" s="5"/>
      <c r="AB143" s="5"/>
      <c r="AC143" s="5"/>
      <c r="AD143" s="5"/>
      <c r="AE143" s="5"/>
      <c r="AF143" s="5"/>
      <c r="AG143" s="5"/>
      <c r="AH143" s="5"/>
    </row>
    <row r="144" spans="1:34" ht="38.25" customHeight="1">
      <c r="A144" s="16"/>
      <c r="B144" s="488" t="s">
        <v>223</v>
      </c>
      <c r="C144" s="488">
        <v>473</v>
      </c>
      <c r="D144" s="488">
        <v>361</v>
      </c>
      <c r="E144" s="488">
        <v>343</v>
      </c>
      <c r="F144" s="488">
        <v>0.159</v>
      </c>
      <c r="G144" s="488">
        <v>0.109</v>
      </c>
      <c r="H144" s="462">
        <v>30</v>
      </c>
      <c r="I144" s="4"/>
      <c r="J144" s="507" t="s">
        <v>136</v>
      </c>
      <c r="K144" s="464">
        <v>0.91</v>
      </c>
      <c r="L144" s="464">
        <v>0.9</v>
      </c>
      <c r="M144" s="464">
        <v>0.97</v>
      </c>
      <c r="N144" s="464" t="s">
        <v>132</v>
      </c>
      <c r="O144" s="464" t="s">
        <v>132</v>
      </c>
      <c r="P144" s="464" t="s">
        <v>132</v>
      </c>
      <c r="Q144" s="470">
        <v>185</v>
      </c>
      <c r="R144" s="471">
        <v>1.0900000000000001</v>
      </c>
      <c r="S144" s="235">
        <v>1.05</v>
      </c>
      <c r="U144" s="10"/>
      <c r="V144" s="10"/>
      <c r="W144" s="10"/>
      <c r="X144" s="10"/>
      <c r="Y144" s="10"/>
      <c r="Z144" s="5"/>
      <c r="AA144" s="5"/>
      <c r="AB144" s="5"/>
      <c r="AC144" s="5"/>
      <c r="AD144" s="5"/>
      <c r="AE144" s="5"/>
      <c r="AF144" s="5"/>
      <c r="AG144" s="5"/>
      <c r="AH144" s="5"/>
    </row>
    <row r="145" spans="1:34" ht="44.25" customHeight="1">
      <c r="A145" s="16"/>
      <c r="B145" s="488" t="s">
        <v>129</v>
      </c>
      <c r="C145" s="488">
        <v>543</v>
      </c>
      <c r="D145" s="488">
        <v>406</v>
      </c>
      <c r="E145" s="488">
        <v>387</v>
      </c>
      <c r="F145" s="488">
        <v>0.128</v>
      </c>
      <c r="G145" s="488">
        <v>0.105</v>
      </c>
      <c r="H145" s="462">
        <v>33</v>
      </c>
      <c r="I145" s="4"/>
      <c r="Q145" s="470">
        <v>240</v>
      </c>
      <c r="R145" s="471">
        <v>1.0900000000000001</v>
      </c>
      <c r="S145" s="235">
        <v>1.05</v>
      </c>
      <c r="U145" s="10"/>
      <c r="V145" s="10"/>
      <c r="W145" s="10"/>
      <c r="X145" s="10"/>
      <c r="Y145" s="10"/>
      <c r="Z145" s="5"/>
      <c r="AA145" s="5"/>
      <c r="AB145" s="5"/>
      <c r="AC145" s="5"/>
      <c r="AD145" s="5"/>
      <c r="AE145" s="5"/>
      <c r="AF145" s="5"/>
      <c r="AG145" s="5"/>
      <c r="AH145" s="5"/>
    </row>
    <row r="146" spans="1:34" ht="19.5" customHeight="1">
      <c r="A146" s="16"/>
      <c r="B146" s="488" t="s">
        <v>133</v>
      </c>
      <c r="C146" s="488">
        <v>641</v>
      </c>
      <c r="D146" s="488">
        <v>469</v>
      </c>
      <c r="E146" s="488">
        <v>447</v>
      </c>
      <c r="F146" s="488">
        <v>9.8000000000000004E-2</v>
      </c>
      <c r="G146" s="488">
        <v>0.10100000000000001</v>
      </c>
      <c r="H146" s="462">
        <v>35</v>
      </c>
      <c r="Q146" s="470">
        <v>300</v>
      </c>
      <c r="R146" s="471">
        <v>1.0900000000000001</v>
      </c>
      <c r="S146" s="235">
        <v>1.05</v>
      </c>
      <c r="U146" s="10"/>
      <c r="V146" s="10"/>
      <c r="W146" s="10"/>
      <c r="X146" s="10"/>
      <c r="Y146" s="10"/>
      <c r="Z146" s="5"/>
      <c r="AA146" s="5"/>
      <c r="AB146" s="5"/>
      <c r="AC146" s="5"/>
      <c r="AD146" s="5"/>
      <c r="AE146" s="5"/>
      <c r="AF146" s="5"/>
      <c r="AG146" s="5"/>
      <c r="AH146" s="5"/>
    </row>
    <row r="147" spans="1:34" ht="19.5" customHeight="1">
      <c r="A147" s="16"/>
      <c r="B147" s="488" t="s">
        <v>134</v>
      </c>
      <c r="C147" s="488">
        <v>735</v>
      </c>
      <c r="D147" s="488">
        <v>526</v>
      </c>
      <c r="E147" s="488">
        <v>504</v>
      </c>
      <c r="F147" s="488">
        <v>7.9000000000000001E-2</v>
      </c>
      <c r="G147" s="488">
        <v>0.1</v>
      </c>
      <c r="H147" s="462">
        <v>38</v>
      </c>
      <c r="Q147" s="470">
        <v>400</v>
      </c>
      <c r="R147" s="471">
        <v>1.0900000000000001</v>
      </c>
      <c r="S147" s="235">
        <v>1.05</v>
      </c>
      <c r="U147" s="10"/>
      <c r="V147" s="10"/>
      <c r="W147" s="10"/>
      <c r="X147" s="10"/>
      <c r="Y147" s="10"/>
      <c r="Z147" s="5"/>
      <c r="AA147" s="5"/>
      <c r="AB147" s="5"/>
      <c r="AC147" s="5"/>
      <c r="AD147" s="5"/>
      <c r="AE147" s="5"/>
      <c r="AF147" s="5"/>
      <c r="AG147" s="5"/>
      <c r="AH147" s="5"/>
    </row>
    <row r="148" spans="1:34" ht="19.5" customHeight="1">
      <c r="A148" s="16"/>
      <c r="B148" s="488" t="s">
        <v>135</v>
      </c>
      <c r="C148" s="488">
        <v>845</v>
      </c>
      <c r="D148" s="488">
        <v>590</v>
      </c>
      <c r="E148" s="488">
        <v>564</v>
      </c>
      <c r="F148" s="488">
        <v>6.3E-2</v>
      </c>
      <c r="G148" s="488">
        <v>9.6000000000000002E-2</v>
      </c>
      <c r="H148" s="462">
        <v>41</v>
      </c>
      <c r="Q148" s="470">
        <v>500</v>
      </c>
      <c r="R148" s="471">
        <v>1.0900000000000001</v>
      </c>
      <c r="S148" s="235">
        <v>1.05</v>
      </c>
      <c r="U148" s="10"/>
      <c r="V148" s="10"/>
      <c r="W148" s="10"/>
      <c r="X148" s="10"/>
      <c r="Y148" s="10"/>
      <c r="Z148" s="5"/>
      <c r="AA148" s="5"/>
      <c r="AB148" s="5"/>
      <c r="AC148" s="5"/>
      <c r="AD148" s="5"/>
      <c r="AE148" s="5"/>
      <c r="AF148" s="5"/>
      <c r="AG148" s="5"/>
      <c r="AH148" s="5"/>
    </row>
    <row r="149" spans="1:34" ht="19.5" customHeight="1">
      <c r="A149" s="16"/>
      <c r="B149" s="488" t="s">
        <v>137</v>
      </c>
      <c r="C149" s="488">
        <v>942</v>
      </c>
      <c r="D149" s="488">
        <v>640</v>
      </c>
      <c r="E149" s="488">
        <v>608</v>
      </c>
      <c r="F149" s="488">
        <v>0.05</v>
      </c>
      <c r="G149" s="488">
        <v>9.5000000000000001E-2</v>
      </c>
      <c r="H149" s="462">
        <v>47</v>
      </c>
      <c r="Q149" s="470">
        <v>630</v>
      </c>
      <c r="R149" s="471">
        <v>1.0900000000000001</v>
      </c>
      <c r="S149" s="235">
        <v>1.05</v>
      </c>
      <c r="U149" s="10"/>
      <c r="V149" s="10"/>
      <c r="W149" s="10"/>
      <c r="X149" s="10"/>
      <c r="Y149" s="10"/>
      <c r="Z149" s="5"/>
      <c r="AA149" s="5"/>
      <c r="AB149" s="5"/>
      <c r="AC149" s="5"/>
      <c r="AD149" s="5"/>
      <c r="AE149" s="5"/>
      <c r="AF149" s="5"/>
      <c r="AG149" s="5"/>
      <c r="AH149" s="5"/>
    </row>
    <row r="150" spans="1:34" ht="19.5" customHeight="1">
      <c r="A150" s="16"/>
      <c r="B150" s="488" t="s">
        <v>138</v>
      </c>
      <c r="C150" s="488">
        <v>1071</v>
      </c>
      <c r="D150" s="488">
        <v>712</v>
      </c>
      <c r="E150" s="488">
        <v>676.4</v>
      </c>
      <c r="F150" s="488">
        <v>4.1000000000000002E-2</v>
      </c>
      <c r="G150" s="488">
        <v>9.2999999999999999E-2</v>
      </c>
      <c r="H150" s="462">
        <v>51</v>
      </c>
      <c r="U150" s="10"/>
      <c r="V150" s="10"/>
      <c r="W150" s="10"/>
      <c r="X150" s="10"/>
      <c r="Y150" s="10"/>
      <c r="Z150" s="5"/>
      <c r="AA150" s="5"/>
      <c r="AB150" s="5"/>
      <c r="AC150" s="5"/>
      <c r="AD150" s="5"/>
      <c r="AE150" s="5"/>
      <c r="AF150" s="5"/>
      <c r="AG150" s="5"/>
      <c r="AH150" s="5"/>
    </row>
    <row r="151" spans="1:34" ht="19.5" customHeight="1">
      <c r="A151" s="16"/>
      <c r="B151" s="488" t="s">
        <v>224</v>
      </c>
      <c r="C151" s="488">
        <v>1210</v>
      </c>
      <c r="D151" s="488">
        <v>781</v>
      </c>
      <c r="E151" s="488">
        <v>741.95</v>
      </c>
      <c r="F151" s="488">
        <v>3.4000000000000002E-2</v>
      </c>
      <c r="G151" s="488">
        <v>0.09</v>
      </c>
      <c r="H151" s="462">
        <v>55</v>
      </c>
      <c r="U151" s="10"/>
      <c r="V151" s="10"/>
      <c r="W151" s="10"/>
      <c r="X151" s="10"/>
      <c r="Y151" s="10"/>
      <c r="Z151" s="5"/>
      <c r="AA151" s="5"/>
      <c r="AB151" s="5"/>
      <c r="AC151" s="5"/>
      <c r="AD151" s="5"/>
      <c r="AE151" s="5"/>
      <c r="AF151" s="5"/>
      <c r="AG151" s="5"/>
      <c r="AH151" s="5"/>
    </row>
    <row r="152" spans="1:34" ht="19.5" customHeight="1">
      <c r="A152" s="16"/>
      <c r="B152" s="488" t="s">
        <v>225</v>
      </c>
      <c r="C152" s="488">
        <v>1332</v>
      </c>
      <c r="D152" s="488">
        <v>841</v>
      </c>
      <c r="E152" s="488">
        <v>798.95</v>
      </c>
      <c r="F152" s="488">
        <v>2.9000000000000001E-2</v>
      </c>
      <c r="G152" s="488">
        <v>8.7999999999999995E-2</v>
      </c>
      <c r="H152" s="462">
        <v>59</v>
      </c>
      <c r="U152" s="10"/>
      <c r="V152" s="10"/>
      <c r="W152" s="10"/>
      <c r="X152" s="10"/>
      <c r="Y152" s="10"/>
      <c r="Z152" s="5"/>
      <c r="AA152" s="5"/>
      <c r="AB152" s="5"/>
      <c r="AC152" s="5"/>
      <c r="AD152" s="5"/>
      <c r="AE152" s="5"/>
      <c r="AF152" s="5"/>
      <c r="AG152" s="5"/>
      <c r="AH152" s="5"/>
    </row>
    <row r="153" spans="1:34" ht="19.5" customHeight="1">
      <c r="A153" s="16"/>
      <c r="B153" s="488"/>
      <c r="C153" s="488"/>
      <c r="D153" s="488"/>
      <c r="E153" s="488"/>
      <c r="F153" s="488"/>
      <c r="G153" s="488"/>
      <c r="H153" s="494"/>
      <c r="U153" s="10"/>
      <c r="V153" s="10"/>
      <c r="W153" s="10"/>
      <c r="X153" s="10"/>
      <c r="Y153" s="10"/>
      <c r="Z153" s="5"/>
      <c r="AA153" s="5"/>
      <c r="AB153" s="5"/>
      <c r="AC153" s="5"/>
      <c r="AD153" s="5"/>
      <c r="AE153" s="5"/>
      <c r="AF153" s="5"/>
      <c r="AG153" s="5"/>
      <c r="AH153" s="5"/>
    </row>
    <row r="154" spans="1:34" ht="19.5" customHeight="1">
      <c r="A154" s="16"/>
      <c r="H154" s="17"/>
      <c r="I154" s="7"/>
      <c r="J154" s="3"/>
      <c r="O154" s="3"/>
      <c r="T154" s="5"/>
      <c r="U154" s="5"/>
      <c r="V154" s="5"/>
      <c r="W154" s="5"/>
      <c r="X154" s="5"/>
      <c r="Y154" s="5"/>
      <c r="Z154" s="5"/>
      <c r="AA154" s="5"/>
      <c r="AB154" s="5"/>
      <c r="AC154" s="5"/>
      <c r="AD154" s="5"/>
      <c r="AE154" s="5"/>
      <c r="AF154" s="5"/>
      <c r="AG154" s="5"/>
      <c r="AH154" s="5"/>
    </row>
    <row r="155" spans="1:34" ht="19.5" customHeight="1">
      <c r="A155" s="26"/>
      <c r="H155" s="20"/>
      <c r="I155" s="7"/>
      <c r="J155" s="3"/>
      <c r="O155" s="3"/>
    </row>
    <row r="156" spans="1:34" ht="27.75" customHeight="1">
      <c r="A156" s="26"/>
      <c r="B156" s="43" t="s">
        <v>226</v>
      </c>
      <c r="C156" s="42"/>
      <c r="D156" s="43"/>
      <c r="E156" s="43"/>
      <c r="F156" s="43" t="s">
        <v>207</v>
      </c>
      <c r="G156" s="44"/>
      <c r="H156" s="20"/>
    </row>
    <row r="157" spans="1:34" ht="42" customHeight="1">
      <c r="A157" s="26"/>
      <c r="B157" s="700" t="s">
        <v>109</v>
      </c>
      <c r="C157" s="686" t="s">
        <v>110</v>
      </c>
      <c r="D157" s="687"/>
      <c r="E157" s="688"/>
      <c r="F157" s="700" t="s">
        <v>208</v>
      </c>
      <c r="G157" s="700" t="s">
        <v>209</v>
      </c>
      <c r="H157" s="695" t="s">
        <v>210</v>
      </c>
    </row>
    <row r="158" spans="1:34" ht="32.25" customHeight="1">
      <c r="A158" s="26"/>
      <c r="B158" s="650"/>
      <c r="C158" s="459" t="s">
        <v>121</v>
      </c>
      <c r="D158" s="459" t="s">
        <v>122</v>
      </c>
      <c r="E158" s="459" t="s">
        <v>123</v>
      </c>
      <c r="F158" s="650"/>
      <c r="G158" s="650"/>
      <c r="H158" s="653"/>
    </row>
    <row r="159" spans="1:34" ht="19.5" customHeight="1">
      <c r="A159" s="26"/>
      <c r="B159" s="488" t="s">
        <v>167</v>
      </c>
      <c r="C159" s="488">
        <v>253</v>
      </c>
      <c r="D159" s="488">
        <v>220</v>
      </c>
      <c r="E159" s="488">
        <v>194</v>
      </c>
      <c r="F159" s="488">
        <v>0.34200000000000003</v>
      </c>
      <c r="G159" s="488">
        <v>9.6000000000000002E-2</v>
      </c>
      <c r="H159" s="495">
        <v>49</v>
      </c>
    </row>
    <row r="160" spans="1:34" ht="32.25" customHeight="1">
      <c r="A160" s="26"/>
      <c r="B160" s="488" t="s">
        <v>168</v>
      </c>
      <c r="C160" s="488">
        <v>307</v>
      </c>
      <c r="D160" s="488">
        <v>263</v>
      </c>
      <c r="E160" s="488">
        <v>232</v>
      </c>
      <c r="F160" s="488">
        <v>0.247</v>
      </c>
      <c r="G160" s="488">
        <v>9.2999999999999999E-2</v>
      </c>
      <c r="H160" s="495">
        <v>52</v>
      </c>
    </row>
    <row r="161" spans="1:14" ht="19.5" customHeight="1">
      <c r="A161" s="26"/>
      <c r="B161" s="488" t="s">
        <v>169</v>
      </c>
      <c r="C161" s="488">
        <v>352</v>
      </c>
      <c r="D161" s="488">
        <v>298</v>
      </c>
      <c r="E161" s="488">
        <v>264</v>
      </c>
      <c r="F161" s="488">
        <v>0.19600000000000001</v>
      </c>
      <c r="G161" s="488">
        <v>0.09</v>
      </c>
      <c r="H161" s="495">
        <v>56</v>
      </c>
    </row>
    <row r="162" spans="1:14" ht="19.5" customHeight="1">
      <c r="A162" s="26"/>
      <c r="B162" s="488" t="s">
        <v>170</v>
      </c>
      <c r="C162" s="488">
        <v>397</v>
      </c>
      <c r="D162" s="488">
        <v>332</v>
      </c>
      <c r="E162" s="488">
        <v>296</v>
      </c>
      <c r="F162" s="488">
        <v>0.159</v>
      </c>
      <c r="G162" s="488">
        <v>8.7999999999999995E-2</v>
      </c>
      <c r="H162" s="495">
        <v>58</v>
      </c>
    </row>
    <row r="163" spans="1:14" ht="19.5" customHeight="1">
      <c r="A163" s="26"/>
      <c r="B163" s="488" t="s">
        <v>171</v>
      </c>
      <c r="C163" s="488">
        <v>453</v>
      </c>
      <c r="D163" s="488">
        <v>374</v>
      </c>
      <c r="E163" s="488">
        <v>335</v>
      </c>
      <c r="F163" s="488">
        <v>0.128</v>
      </c>
      <c r="G163" s="488">
        <v>8.4000000000000005E-2</v>
      </c>
      <c r="H163" s="495">
        <v>63</v>
      </c>
    </row>
    <row r="164" spans="1:14" ht="19.5" customHeight="1">
      <c r="A164" s="26"/>
      <c r="B164" s="488" t="s">
        <v>172</v>
      </c>
      <c r="C164" s="488">
        <v>529</v>
      </c>
      <c r="D164" s="488">
        <v>431</v>
      </c>
      <c r="E164" s="488">
        <v>387</v>
      </c>
      <c r="F164" s="488">
        <v>9.9000000000000005E-2</v>
      </c>
      <c r="G164" s="488">
        <v>8.3000000000000004E-2</v>
      </c>
      <c r="H164" s="495">
        <v>69</v>
      </c>
    </row>
    <row r="165" spans="1:14" ht="19.5" customHeight="1">
      <c r="A165" s="26"/>
      <c r="B165" s="488" t="s">
        <v>173</v>
      </c>
      <c r="C165" s="488">
        <v>599</v>
      </c>
      <c r="D165" s="488">
        <v>482</v>
      </c>
      <c r="E165" s="488">
        <v>435</v>
      </c>
      <c r="F165" s="488">
        <v>0.08</v>
      </c>
      <c r="G165" s="488">
        <v>8.2000000000000003E-2</v>
      </c>
      <c r="H165" s="495">
        <v>75</v>
      </c>
    </row>
    <row r="166" spans="1:14" ht="19.5" customHeight="1">
      <c r="A166" s="26"/>
      <c r="B166" s="488" t="s">
        <v>174</v>
      </c>
      <c r="C166" s="488">
        <v>683</v>
      </c>
      <c r="D166" s="488">
        <v>541</v>
      </c>
      <c r="E166" s="488">
        <v>492</v>
      </c>
      <c r="F166" s="488">
        <v>6.4000000000000001E-2</v>
      </c>
      <c r="G166" s="488">
        <v>0.08</v>
      </c>
      <c r="H166" s="495">
        <v>84</v>
      </c>
    </row>
    <row r="167" spans="1:14" ht="19.5" customHeight="1">
      <c r="A167" s="26"/>
      <c r="H167" s="20"/>
    </row>
    <row r="168" spans="1:14" ht="19.5" customHeight="1">
      <c r="A168" s="26"/>
      <c r="H168" s="20"/>
      <c r="I168" s="8"/>
      <c r="K168" s="2"/>
      <c r="L168" s="2"/>
      <c r="M168" s="2"/>
      <c r="N168" s="2"/>
    </row>
    <row r="169" spans="1:14" ht="19.5" customHeight="1">
      <c r="A169" s="26"/>
      <c r="H169" s="20"/>
      <c r="I169" s="8"/>
      <c r="K169" s="2"/>
      <c r="L169" s="2"/>
      <c r="M169" s="2"/>
      <c r="N169" s="2"/>
    </row>
    <row r="170" spans="1:14" ht="19.5" customHeight="1" thickBot="1">
      <c r="A170" s="27"/>
      <c r="B170" s="28"/>
      <c r="C170" s="28"/>
      <c r="D170" s="28"/>
      <c r="E170" s="28"/>
      <c r="F170" s="28"/>
      <c r="G170" s="28"/>
      <c r="H170" s="29"/>
      <c r="I170" s="8"/>
    </row>
    <row r="171" spans="1:14" ht="19.5" customHeight="1">
      <c r="I171" s="8"/>
    </row>
    <row r="172" spans="1:14" ht="19.5" customHeight="1">
      <c r="I172" s="8"/>
    </row>
    <row r="173" spans="1:14" ht="19.5" customHeight="1">
      <c r="I173" s="8"/>
    </row>
    <row r="174" spans="1:14" ht="19.5" customHeight="1" thickBot="1">
      <c r="I174" s="8"/>
    </row>
    <row r="175" spans="1:14" ht="19.5" customHeight="1">
      <c r="A175" s="30"/>
      <c r="B175" s="647" t="s">
        <v>228</v>
      </c>
      <c r="C175" s="648"/>
      <c r="D175" s="648"/>
      <c r="E175" s="648"/>
      <c r="F175" s="649"/>
      <c r="G175" s="31"/>
      <c r="H175" s="32"/>
      <c r="I175" s="8"/>
    </row>
    <row r="176" spans="1:14" ht="19.5" customHeight="1">
      <c r="A176" s="26"/>
      <c r="H176" s="20"/>
      <c r="I176" s="8"/>
    </row>
    <row r="177" spans="1:34" ht="28.5" customHeight="1">
      <c r="A177" s="26"/>
      <c r="B177" s="230" t="s">
        <v>206</v>
      </c>
      <c r="C177" s="485"/>
      <c r="D177" s="231"/>
      <c r="E177" s="231"/>
      <c r="F177" s="231" t="s">
        <v>229</v>
      </c>
      <c r="G177" s="232"/>
      <c r="H177" s="233"/>
    </row>
    <row r="178" spans="1:34" ht="19.5" customHeight="1">
      <c r="A178" s="16"/>
      <c r="B178" s="7"/>
      <c r="C178" s="7"/>
      <c r="D178" s="7"/>
      <c r="E178" s="7"/>
      <c r="F178" s="7"/>
      <c r="G178" s="7"/>
      <c r="H178" s="17"/>
      <c r="I178" s="4"/>
      <c r="P178" s="4"/>
      <c r="Q178" s="4"/>
      <c r="R178" s="4"/>
      <c r="S178" s="5"/>
      <c r="T178" s="5"/>
      <c r="U178" s="5"/>
      <c r="V178" s="5"/>
      <c r="W178" s="5"/>
      <c r="X178" s="5"/>
      <c r="Y178" s="5"/>
      <c r="Z178" s="5"/>
      <c r="AA178" s="5"/>
      <c r="AB178" s="5"/>
      <c r="AC178" s="5"/>
      <c r="AD178" s="5"/>
      <c r="AE178" s="5"/>
      <c r="AF178" s="5"/>
      <c r="AG178" s="5"/>
      <c r="AH178" s="5"/>
    </row>
    <row r="179" spans="1:34" ht="98.25" customHeight="1">
      <c r="A179" s="26"/>
      <c r="B179" s="700" t="s">
        <v>109</v>
      </c>
      <c r="C179" s="686" t="s">
        <v>110</v>
      </c>
      <c r="D179" s="687"/>
      <c r="E179" s="688"/>
      <c r="F179" s="700" t="s">
        <v>208</v>
      </c>
      <c r="G179" s="700" t="s">
        <v>209</v>
      </c>
      <c r="H179" s="700" t="s">
        <v>210</v>
      </c>
      <c r="I179" s="634" t="s">
        <v>211</v>
      </c>
      <c r="J179" s="692" t="s">
        <v>115</v>
      </c>
      <c r="K179" s="684" t="s">
        <v>807</v>
      </c>
      <c r="L179" s="684" t="s">
        <v>809</v>
      </c>
      <c r="M179" s="684"/>
      <c r="N179" s="684" t="s">
        <v>118</v>
      </c>
      <c r="O179" s="684" t="s">
        <v>230</v>
      </c>
      <c r="P179" s="684"/>
      <c r="Q179" s="686" t="s">
        <v>231</v>
      </c>
      <c r="R179" s="687"/>
      <c r="S179" s="688"/>
      <c r="U179" s="503" t="s">
        <v>232</v>
      </c>
      <c r="V179" s="503" t="s">
        <v>233</v>
      </c>
      <c r="X179" s="503" t="s">
        <v>232</v>
      </c>
      <c r="Y179" s="503" t="s">
        <v>233</v>
      </c>
    </row>
    <row r="180" spans="1:34" ht="75" customHeight="1">
      <c r="A180" s="26"/>
      <c r="B180" s="650"/>
      <c r="C180" s="459" t="s">
        <v>234</v>
      </c>
      <c r="D180" s="459" t="s">
        <v>216</v>
      </c>
      <c r="E180" s="459" t="s">
        <v>217</v>
      </c>
      <c r="F180" s="650"/>
      <c r="G180" s="650"/>
      <c r="H180" s="650"/>
      <c r="I180" s="635"/>
      <c r="J180" s="703"/>
      <c r="K180" s="700"/>
      <c r="L180" s="503" t="s">
        <v>218</v>
      </c>
      <c r="M180" s="503" t="s">
        <v>125</v>
      </c>
      <c r="N180" s="700"/>
      <c r="O180" s="503" t="s">
        <v>126</v>
      </c>
      <c r="P180" s="503" t="s">
        <v>127</v>
      </c>
      <c r="Q180" s="503" t="s">
        <v>128</v>
      </c>
      <c r="R180" s="503" t="s">
        <v>126</v>
      </c>
      <c r="S180" s="503" t="s">
        <v>127</v>
      </c>
      <c r="U180" s="503" t="s">
        <v>126</v>
      </c>
      <c r="V180" s="503" t="s">
        <v>126</v>
      </c>
      <c r="X180" s="503" t="s">
        <v>127</v>
      </c>
      <c r="Y180" s="503" t="s">
        <v>127</v>
      </c>
    </row>
    <row r="181" spans="1:34" ht="20.149999999999999" customHeight="1">
      <c r="A181" s="26"/>
      <c r="B181" s="461" t="s">
        <v>219</v>
      </c>
      <c r="C181" s="461">
        <v>296</v>
      </c>
      <c r="D181" s="461">
        <v>239</v>
      </c>
      <c r="E181" s="461">
        <v>227</v>
      </c>
      <c r="F181" s="488">
        <v>0.34200000000000003</v>
      </c>
      <c r="G181" s="488">
        <v>0.14499999999999999</v>
      </c>
      <c r="H181" s="234">
        <v>38</v>
      </c>
      <c r="I181" s="704" t="s">
        <v>235</v>
      </c>
      <c r="J181" s="463" t="s">
        <v>131</v>
      </c>
      <c r="K181" s="464">
        <v>0.91</v>
      </c>
      <c r="L181" s="464">
        <v>0.9</v>
      </c>
      <c r="M181" s="464">
        <v>0.97</v>
      </c>
      <c r="N181" s="464" t="s">
        <v>132</v>
      </c>
      <c r="O181" s="464" t="s">
        <v>132</v>
      </c>
      <c r="P181" s="464" t="s">
        <v>132</v>
      </c>
      <c r="Q181" s="466"/>
      <c r="R181" s="466"/>
      <c r="S181" s="466"/>
    </row>
    <row r="182" spans="1:34" ht="20.149999999999999" customHeight="1">
      <c r="A182" s="26"/>
      <c r="B182" s="461" t="s">
        <v>221</v>
      </c>
      <c r="C182" s="461">
        <v>361</v>
      </c>
      <c r="D182" s="461">
        <v>285</v>
      </c>
      <c r="E182" s="461">
        <v>271</v>
      </c>
      <c r="F182" s="488">
        <v>0.247</v>
      </c>
      <c r="G182" s="488">
        <v>0.13900000000000001</v>
      </c>
      <c r="H182" s="234">
        <v>40</v>
      </c>
      <c r="I182" s="633"/>
      <c r="J182" s="493" t="s">
        <v>123</v>
      </c>
      <c r="K182" s="464" t="s">
        <v>132</v>
      </c>
      <c r="L182" s="464">
        <v>0.64</v>
      </c>
      <c r="M182" s="464">
        <v>0.8</v>
      </c>
      <c r="N182" s="464">
        <v>0.89</v>
      </c>
      <c r="O182" s="464">
        <v>0.93</v>
      </c>
      <c r="P182" s="464">
        <v>0.95</v>
      </c>
      <c r="Q182" s="470">
        <v>120</v>
      </c>
      <c r="R182" s="471">
        <v>1.0900000000000001</v>
      </c>
      <c r="S182" s="235">
        <v>1.05</v>
      </c>
      <c r="U182" s="471">
        <v>1.1299999999999999</v>
      </c>
      <c r="V182" s="471">
        <v>0.91</v>
      </c>
      <c r="X182" s="235">
        <v>1.0900000000000001</v>
      </c>
      <c r="Y182" s="235">
        <v>0.93</v>
      </c>
    </row>
    <row r="183" spans="1:34" ht="20.149999999999999" customHeight="1">
      <c r="A183" s="26"/>
      <c r="B183" s="461" t="s">
        <v>222</v>
      </c>
      <c r="C183" s="461">
        <v>417</v>
      </c>
      <c r="D183" s="461">
        <v>323</v>
      </c>
      <c r="E183" s="461">
        <v>308</v>
      </c>
      <c r="F183" s="488">
        <v>0.19600000000000001</v>
      </c>
      <c r="G183" s="488">
        <v>0.13300000000000001</v>
      </c>
      <c r="H183" s="234">
        <v>41</v>
      </c>
      <c r="I183" s="4"/>
      <c r="J183" s="493" t="s">
        <v>122</v>
      </c>
      <c r="K183" s="464" t="s">
        <v>132</v>
      </c>
      <c r="L183" s="464">
        <v>0.64</v>
      </c>
      <c r="M183" s="464">
        <v>0.8</v>
      </c>
      <c r="N183" s="464">
        <v>0.89</v>
      </c>
      <c r="O183" s="464">
        <v>0.93</v>
      </c>
      <c r="P183" s="464">
        <v>0.96</v>
      </c>
      <c r="Q183" s="470">
        <v>150</v>
      </c>
      <c r="R183" s="471">
        <v>1.0900000000000001</v>
      </c>
      <c r="S183" s="235">
        <v>1.05</v>
      </c>
      <c r="U183" s="471">
        <v>1.1299999999999999</v>
      </c>
      <c r="V183" s="471">
        <v>0.91</v>
      </c>
      <c r="X183" s="235">
        <v>1.0900000000000001</v>
      </c>
      <c r="Y183" s="235">
        <v>0.93</v>
      </c>
    </row>
    <row r="184" spans="1:34" ht="37.5" customHeight="1">
      <c r="A184" s="26"/>
      <c r="B184" s="461" t="s">
        <v>223</v>
      </c>
      <c r="C184" s="461">
        <v>473</v>
      </c>
      <c r="D184" s="461">
        <v>361</v>
      </c>
      <c r="E184" s="461">
        <v>343</v>
      </c>
      <c r="F184" s="488">
        <v>0.159</v>
      </c>
      <c r="G184" s="488">
        <v>0.13200000000000001</v>
      </c>
      <c r="H184" s="234">
        <v>44</v>
      </c>
      <c r="I184" s="4"/>
      <c r="J184" s="507" t="s">
        <v>136</v>
      </c>
      <c r="K184" s="464">
        <v>0.91</v>
      </c>
      <c r="L184" s="464">
        <v>0.9</v>
      </c>
      <c r="M184" s="464">
        <v>0.97</v>
      </c>
      <c r="N184" s="464" t="s">
        <v>132</v>
      </c>
      <c r="O184" s="464" t="s">
        <v>132</v>
      </c>
      <c r="P184" s="464" t="s">
        <v>132</v>
      </c>
      <c r="Q184" s="470">
        <v>185</v>
      </c>
      <c r="R184" s="471">
        <v>1.0900000000000001</v>
      </c>
      <c r="S184" s="235">
        <v>1.05</v>
      </c>
      <c r="U184" s="471">
        <v>1.1299999999999999</v>
      </c>
      <c r="V184" s="471">
        <v>0.91</v>
      </c>
      <c r="X184" s="235">
        <v>1.0900000000000001</v>
      </c>
      <c r="Y184" s="235">
        <v>0.93</v>
      </c>
    </row>
    <row r="185" spans="1:34" ht="20.149999999999999" customHeight="1">
      <c r="A185" s="26"/>
      <c r="B185" s="461" t="s">
        <v>129</v>
      </c>
      <c r="C185" s="461">
        <v>543</v>
      </c>
      <c r="D185" s="461">
        <v>406</v>
      </c>
      <c r="E185" s="461">
        <v>387</v>
      </c>
      <c r="F185" s="488">
        <v>0.128</v>
      </c>
      <c r="G185" s="488">
        <v>0.126</v>
      </c>
      <c r="H185" s="234">
        <v>46</v>
      </c>
      <c r="I185" s="4"/>
      <c r="Q185" s="470">
        <v>240</v>
      </c>
      <c r="R185" s="471">
        <v>1.0900000000000001</v>
      </c>
      <c r="S185" s="235">
        <v>1.05</v>
      </c>
      <c r="U185" s="471">
        <v>1.1399999999999999</v>
      </c>
      <c r="V185" s="471">
        <v>0.91</v>
      </c>
      <c r="X185" s="235">
        <v>1.1000000000000001</v>
      </c>
      <c r="Y185" s="235">
        <v>0.93</v>
      </c>
    </row>
    <row r="186" spans="1:34" ht="20.149999999999999" customHeight="1">
      <c r="A186" s="26"/>
      <c r="B186" s="461" t="s">
        <v>133</v>
      </c>
      <c r="C186" s="461">
        <v>641</v>
      </c>
      <c r="D186" s="461">
        <v>469</v>
      </c>
      <c r="E186" s="461">
        <v>447</v>
      </c>
      <c r="F186" s="488">
        <v>9.8000000000000004E-2</v>
      </c>
      <c r="G186" s="488">
        <v>0.121</v>
      </c>
      <c r="H186" s="234">
        <v>48</v>
      </c>
      <c r="Q186" s="470">
        <v>300</v>
      </c>
      <c r="R186" s="471">
        <v>1.0900000000000001</v>
      </c>
      <c r="S186" s="235">
        <v>1.05</v>
      </c>
      <c r="U186" s="471">
        <v>1.1399999999999999</v>
      </c>
      <c r="V186" s="471">
        <v>0.9</v>
      </c>
      <c r="X186" s="235">
        <v>1.1000000000000001</v>
      </c>
      <c r="Y186" s="235">
        <v>0.92</v>
      </c>
    </row>
    <row r="187" spans="1:34" ht="20.149999999999999" customHeight="1">
      <c r="A187" s="26"/>
      <c r="B187" s="461" t="s">
        <v>134</v>
      </c>
      <c r="C187" s="461">
        <v>735</v>
      </c>
      <c r="D187" s="461">
        <v>526</v>
      </c>
      <c r="E187" s="461">
        <v>504</v>
      </c>
      <c r="F187" s="488">
        <v>7.9000000000000001E-2</v>
      </c>
      <c r="G187" s="488">
        <v>0.11799999999999999</v>
      </c>
      <c r="H187" s="234">
        <v>50</v>
      </c>
      <c r="Q187" s="470">
        <v>400</v>
      </c>
      <c r="R187" s="471">
        <v>1.0900000000000001</v>
      </c>
      <c r="S187" s="235">
        <v>1.05</v>
      </c>
      <c r="U187" s="471">
        <v>1.1399999999999999</v>
      </c>
      <c r="V187" s="471">
        <v>0.9</v>
      </c>
      <c r="X187" s="235">
        <v>1.1000000000000001</v>
      </c>
      <c r="Y187" s="235">
        <v>0.92</v>
      </c>
    </row>
    <row r="188" spans="1:34" ht="20.149999999999999" customHeight="1">
      <c r="A188" s="26"/>
      <c r="B188" s="461" t="s">
        <v>135</v>
      </c>
      <c r="C188" s="461">
        <v>845</v>
      </c>
      <c r="D188" s="461">
        <v>590</v>
      </c>
      <c r="E188" s="461">
        <v>564</v>
      </c>
      <c r="F188" s="488">
        <v>6.3E-2</v>
      </c>
      <c r="G188" s="488">
        <v>0.112</v>
      </c>
      <c r="H188" s="234">
        <v>53</v>
      </c>
      <c r="Q188" s="470">
        <v>500</v>
      </c>
      <c r="R188" s="471">
        <v>1.0900000000000001</v>
      </c>
      <c r="S188" s="235">
        <v>1.05</v>
      </c>
      <c r="U188" s="471">
        <v>1.1399999999999999</v>
      </c>
      <c r="V188" s="471">
        <v>0.9</v>
      </c>
      <c r="X188" s="235">
        <v>1.1000000000000001</v>
      </c>
      <c r="Y188" s="235">
        <v>0.92</v>
      </c>
    </row>
    <row r="189" spans="1:34" ht="20.149999999999999" customHeight="1">
      <c r="A189" s="26"/>
      <c r="B189" s="461" t="s">
        <v>137</v>
      </c>
      <c r="C189" s="461">
        <v>942</v>
      </c>
      <c r="D189" s="461">
        <v>640</v>
      </c>
      <c r="E189" s="461">
        <v>608</v>
      </c>
      <c r="F189" s="488">
        <v>0.05</v>
      </c>
      <c r="G189" s="488">
        <v>0.108</v>
      </c>
      <c r="H189" s="234">
        <v>57</v>
      </c>
      <c r="Q189" s="470">
        <v>630</v>
      </c>
      <c r="R189" s="471">
        <v>1.0900000000000001</v>
      </c>
      <c r="S189" s="235">
        <v>1.05</v>
      </c>
      <c r="U189" s="471">
        <v>1.1399999999999999</v>
      </c>
      <c r="V189" s="471">
        <v>0.9</v>
      </c>
      <c r="X189" s="235">
        <v>1.1000000000000001</v>
      </c>
      <c r="Y189" s="235">
        <v>0.92</v>
      </c>
    </row>
    <row r="190" spans="1:34" ht="20.149999999999999" customHeight="1">
      <c r="A190" s="26"/>
      <c r="B190" s="461" t="s">
        <v>138</v>
      </c>
      <c r="C190" s="461">
        <v>1071</v>
      </c>
      <c r="D190" s="461">
        <v>712</v>
      </c>
      <c r="E190" s="461">
        <v>676.4</v>
      </c>
      <c r="F190" s="488">
        <v>4.1000000000000002E-2</v>
      </c>
      <c r="G190" s="488">
        <v>0.104</v>
      </c>
      <c r="H190" s="234">
        <v>61</v>
      </c>
      <c r="I190" s="4"/>
    </row>
    <row r="191" spans="1:34" ht="20.149999999999999" customHeight="1">
      <c r="A191" s="26"/>
      <c r="B191" s="461" t="s">
        <v>224</v>
      </c>
      <c r="C191" s="461">
        <v>1210</v>
      </c>
      <c r="D191" s="461">
        <v>781</v>
      </c>
      <c r="E191" s="461">
        <v>741.95</v>
      </c>
      <c r="F191" s="488">
        <v>3.4000000000000002E-2</v>
      </c>
      <c r="G191" s="488">
        <v>0.10100000000000001</v>
      </c>
      <c r="H191" s="234">
        <v>66</v>
      </c>
      <c r="I191" s="4"/>
    </row>
    <row r="192" spans="1:34" ht="20.149999999999999" customHeight="1">
      <c r="A192" s="26"/>
      <c r="B192" s="461" t="s">
        <v>225</v>
      </c>
      <c r="C192" s="461">
        <v>1332</v>
      </c>
      <c r="D192" s="461">
        <v>841</v>
      </c>
      <c r="E192" s="461">
        <v>798.95</v>
      </c>
      <c r="F192" s="488">
        <v>2.9000000000000001E-2</v>
      </c>
      <c r="G192" s="488">
        <v>9.8000000000000004E-2</v>
      </c>
      <c r="H192" s="234">
        <v>70</v>
      </c>
      <c r="I192" s="4"/>
    </row>
    <row r="193" spans="1:14" ht="20.149999999999999" customHeight="1">
      <c r="A193" s="26"/>
      <c r="B193" s="461"/>
      <c r="C193" s="461"/>
      <c r="D193" s="461"/>
      <c r="E193" s="461"/>
      <c r="F193" s="488"/>
      <c r="G193" s="488"/>
      <c r="H193" s="234"/>
      <c r="I193" s="7"/>
    </row>
    <row r="194" spans="1:14">
      <c r="A194" s="26"/>
      <c r="H194" s="20"/>
      <c r="K194" s="2"/>
    </row>
    <row r="195" spans="1:14">
      <c r="A195" s="26"/>
      <c r="B195" s="230" t="s">
        <v>226</v>
      </c>
      <c r="C195" s="485"/>
      <c r="D195" s="231"/>
      <c r="E195" s="231"/>
      <c r="F195" s="231" t="s">
        <v>229</v>
      </c>
      <c r="G195" s="232"/>
      <c r="H195" s="233"/>
      <c r="K195" s="2"/>
      <c r="L195" s="2"/>
      <c r="M195" s="2"/>
      <c r="N195" s="2"/>
    </row>
    <row r="196" spans="1:14" ht="30" customHeight="1">
      <c r="A196" s="26"/>
      <c r="B196" s="700" t="s">
        <v>109</v>
      </c>
      <c r="C196" s="686" t="s">
        <v>110</v>
      </c>
      <c r="D196" s="687"/>
      <c r="E196" s="688"/>
      <c r="F196" s="700" t="s">
        <v>208</v>
      </c>
      <c r="G196" s="700" t="s">
        <v>209</v>
      </c>
      <c r="H196" s="700" t="s">
        <v>210</v>
      </c>
      <c r="K196" s="2"/>
      <c r="L196" s="2"/>
      <c r="M196" s="2"/>
      <c r="N196" s="2"/>
    </row>
    <row r="197" spans="1:14" ht="30" customHeight="1">
      <c r="A197" s="26"/>
      <c r="B197" s="650"/>
      <c r="C197" s="459" t="s">
        <v>121</v>
      </c>
      <c r="D197" s="459" t="s">
        <v>122</v>
      </c>
      <c r="E197" s="459" t="s">
        <v>123</v>
      </c>
      <c r="F197" s="650"/>
      <c r="G197" s="650"/>
      <c r="H197" s="650"/>
      <c r="K197" s="2"/>
      <c r="L197" s="2"/>
      <c r="M197" s="2"/>
      <c r="N197" s="2"/>
    </row>
    <row r="198" spans="1:14" ht="15" customHeight="1">
      <c r="A198" s="26"/>
      <c r="B198" s="488" t="s">
        <v>167</v>
      </c>
      <c r="C198" s="488">
        <v>253</v>
      </c>
      <c r="D198" s="488">
        <v>220</v>
      </c>
      <c r="E198" s="488">
        <v>194</v>
      </c>
      <c r="F198" s="488">
        <v>0.34200000000000003</v>
      </c>
      <c r="G198" s="488">
        <v>0.129</v>
      </c>
      <c r="H198" s="234">
        <v>49</v>
      </c>
      <c r="K198" s="2"/>
      <c r="L198" s="2"/>
      <c r="M198" s="2"/>
      <c r="N198" s="2"/>
    </row>
    <row r="199" spans="1:14">
      <c r="A199" s="26"/>
      <c r="B199" s="488" t="s">
        <v>168</v>
      </c>
      <c r="C199" s="488">
        <v>307</v>
      </c>
      <c r="D199" s="488">
        <v>263</v>
      </c>
      <c r="E199" s="488">
        <v>232</v>
      </c>
      <c r="F199" s="488">
        <v>0.247</v>
      </c>
      <c r="G199" s="488">
        <v>0.123</v>
      </c>
      <c r="H199" s="234">
        <v>52</v>
      </c>
      <c r="K199" s="2"/>
      <c r="L199" s="2"/>
      <c r="M199" s="2"/>
      <c r="N199" s="2"/>
    </row>
    <row r="200" spans="1:14">
      <c r="A200" s="26"/>
      <c r="B200" s="488" t="s">
        <v>169</v>
      </c>
      <c r="C200" s="488">
        <v>352</v>
      </c>
      <c r="D200" s="488">
        <v>298</v>
      </c>
      <c r="E200" s="488">
        <v>264</v>
      </c>
      <c r="F200" s="488">
        <v>0.19600000000000001</v>
      </c>
      <c r="G200" s="488">
        <v>0.11799999999999999</v>
      </c>
      <c r="H200" s="234">
        <v>56</v>
      </c>
      <c r="K200" s="2"/>
      <c r="L200" s="2"/>
      <c r="M200" s="2"/>
      <c r="N200" s="2"/>
    </row>
    <row r="201" spans="1:14">
      <c r="A201" s="26"/>
      <c r="B201" s="488" t="s">
        <v>170</v>
      </c>
      <c r="C201" s="488">
        <v>397</v>
      </c>
      <c r="D201" s="488">
        <v>332</v>
      </c>
      <c r="E201" s="488">
        <v>296</v>
      </c>
      <c r="F201" s="488">
        <v>0.159</v>
      </c>
      <c r="G201" s="488">
        <v>0.115</v>
      </c>
      <c r="H201" s="234">
        <v>58</v>
      </c>
      <c r="K201" s="2"/>
      <c r="L201" s="2"/>
      <c r="M201" s="2"/>
      <c r="N201" s="2"/>
    </row>
    <row r="202" spans="1:14">
      <c r="A202" s="26"/>
      <c r="B202" s="488" t="s">
        <v>171</v>
      </c>
      <c r="C202" s="488">
        <v>453</v>
      </c>
      <c r="D202" s="488">
        <v>374</v>
      </c>
      <c r="E202" s="488">
        <v>335</v>
      </c>
      <c r="F202" s="488">
        <v>0.128</v>
      </c>
      <c r="G202" s="488">
        <v>0.11</v>
      </c>
      <c r="H202" s="234">
        <v>63</v>
      </c>
      <c r="K202" s="2"/>
      <c r="L202" s="2"/>
      <c r="M202" s="2"/>
      <c r="N202" s="2"/>
    </row>
    <row r="203" spans="1:14">
      <c r="A203" s="26"/>
      <c r="B203" s="488" t="s">
        <v>172</v>
      </c>
      <c r="C203" s="488">
        <v>529</v>
      </c>
      <c r="D203" s="488">
        <v>431</v>
      </c>
      <c r="E203" s="488">
        <v>387</v>
      </c>
      <c r="F203" s="488">
        <v>0.99</v>
      </c>
      <c r="G203" s="488">
        <v>0.105</v>
      </c>
      <c r="H203" s="234">
        <v>69</v>
      </c>
      <c r="K203" s="2"/>
      <c r="L203" s="2"/>
      <c r="M203" s="2"/>
      <c r="N203" s="2"/>
    </row>
    <row r="204" spans="1:14">
      <c r="A204" s="26"/>
      <c r="B204" s="488" t="s">
        <v>173</v>
      </c>
      <c r="C204" s="488">
        <v>599</v>
      </c>
      <c r="D204" s="488">
        <v>482</v>
      </c>
      <c r="E204" s="488">
        <v>435</v>
      </c>
      <c r="F204" s="488">
        <v>0.8</v>
      </c>
      <c r="G204" s="488">
        <v>0.10299999999999999</v>
      </c>
      <c r="H204" s="234">
        <v>75</v>
      </c>
      <c r="K204" s="2"/>
      <c r="L204" s="2"/>
      <c r="M204" s="2"/>
      <c r="N204" s="2"/>
    </row>
    <row r="205" spans="1:14">
      <c r="A205" s="26"/>
      <c r="B205" s="488" t="s">
        <v>174</v>
      </c>
      <c r="C205" s="488">
        <v>683</v>
      </c>
      <c r="D205" s="488">
        <v>541</v>
      </c>
      <c r="E205" s="488">
        <v>492</v>
      </c>
      <c r="F205" s="488">
        <v>6.4000000000000001E-2</v>
      </c>
      <c r="G205" s="488">
        <v>9.8000000000000004E-2</v>
      </c>
      <c r="H205" s="234">
        <v>84</v>
      </c>
      <c r="K205" s="2"/>
      <c r="L205" s="2"/>
      <c r="M205" s="2"/>
      <c r="N205" s="2"/>
    </row>
    <row r="206" spans="1:14">
      <c r="A206" s="26"/>
      <c r="H206" s="20"/>
      <c r="K206" s="2"/>
      <c r="L206" s="2"/>
      <c r="M206" s="2"/>
      <c r="N206" s="2"/>
    </row>
    <row r="207" spans="1:14">
      <c r="A207" s="26"/>
      <c r="H207" s="20"/>
      <c r="K207" s="2"/>
      <c r="L207" s="2"/>
      <c r="M207" s="2"/>
      <c r="N207" s="2"/>
    </row>
    <row r="208" spans="1:14">
      <c r="A208" s="26"/>
      <c r="H208" s="20"/>
      <c r="K208" s="2"/>
      <c r="L208" s="2"/>
      <c r="M208" s="2"/>
      <c r="N208" s="2"/>
    </row>
    <row r="209" spans="1:14">
      <c r="A209" s="26"/>
      <c r="H209" s="20"/>
      <c r="K209" s="2"/>
      <c r="L209" s="2"/>
      <c r="M209" s="2"/>
      <c r="N209" s="2"/>
    </row>
    <row r="210" spans="1:14" ht="15" thickBot="1">
      <c r="A210" s="27"/>
      <c r="B210" s="28"/>
      <c r="C210" s="28"/>
      <c r="D210" s="28"/>
      <c r="E210" s="28"/>
      <c r="F210" s="28"/>
      <c r="G210" s="28"/>
      <c r="H210" s="29"/>
      <c r="K210" s="2"/>
      <c r="L210" s="2"/>
      <c r="M210" s="2"/>
      <c r="N210" s="2"/>
    </row>
    <row r="211" spans="1:14">
      <c r="K211" s="2"/>
      <c r="L211" s="2"/>
      <c r="M211" s="2"/>
      <c r="N211" s="2"/>
    </row>
    <row r="212" spans="1:14">
      <c r="K212" s="2"/>
      <c r="L212" s="2"/>
      <c r="M212" s="2"/>
      <c r="N212" s="2"/>
    </row>
    <row r="230" spans="11:24">
      <c r="K230" s="2"/>
      <c r="L230" s="2"/>
      <c r="M230" s="2"/>
      <c r="N230" s="2"/>
      <c r="S230" s="2"/>
      <c r="T230" s="2"/>
      <c r="U230" s="2"/>
      <c r="V230" s="2"/>
      <c r="W230" s="2"/>
      <c r="X230" s="2"/>
    </row>
    <row r="231" spans="11:24">
      <c r="K231" s="2"/>
      <c r="L231" s="2"/>
      <c r="M231" s="2"/>
      <c r="N231" s="2"/>
      <c r="S231" s="2"/>
      <c r="T231" s="2"/>
      <c r="U231" s="2"/>
      <c r="V231" s="2"/>
      <c r="W231" s="2"/>
      <c r="X231" s="2"/>
    </row>
    <row r="232" spans="11:24">
      <c r="K232" s="2"/>
      <c r="L232" s="2"/>
      <c r="M232" s="2"/>
      <c r="N232" s="2"/>
      <c r="S232" s="2"/>
      <c r="T232" s="2"/>
      <c r="U232" s="2"/>
      <c r="V232" s="2"/>
      <c r="W232" s="2"/>
      <c r="X232" s="2"/>
    </row>
    <row r="233" spans="11:24" ht="15" customHeight="1">
      <c r="K233" s="2"/>
      <c r="L233" s="2"/>
      <c r="M233" s="2"/>
      <c r="N233" s="2"/>
      <c r="S233" s="2"/>
      <c r="T233" s="2"/>
      <c r="U233" s="2"/>
      <c r="V233" s="2"/>
      <c r="W233" s="2"/>
      <c r="X233" s="2"/>
    </row>
    <row r="234" spans="11:24">
      <c r="K234" s="2"/>
      <c r="L234" s="2"/>
      <c r="M234" s="2"/>
      <c r="N234" s="2"/>
      <c r="S234" s="2"/>
      <c r="T234" s="2"/>
      <c r="U234" s="2"/>
      <c r="V234" s="2"/>
      <c r="W234" s="2"/>
      <c r="X234" s="2"/>
    </row>
    <row r="235" spans="11:24">
      <c r="K235" s="2"/>
      <c r="L235" s="2"/>
      <c r="M235" s="2"/>
      <c r="N235" s="2"/>
      <c r="S235" s="2"/>
      <c r="T235" s="2"/>
      <c r="U235" s="2"/>
      <c r="V235" s="2"/>
      <c r="W235" s="2"/>
      <c r="X235" s="2"/>
    </row>
    <row r="236" spans="11:24">
      <c r="K236" s="2"/>
      <c r="L236" s="2"/>
      <c r="M236" s="2"/>
      <c r="N236" s="2"/>
      <c r="S236" s="2"/>
      <c r="T236" s="2"/>
      <c r="U236" s="2"/>
      <c r="V236" s="2"/>
      <c r="W236" s="2"/>
      <c r="X236" s="2"/>
    </row>
    <row r="237" spans="11:24">
      <c r="K237" s="2"/>
      <c r="L237" s="2"/>
      <c r="M237" s="2"/>
      <c r="N237" s="2"/>
      <c r="S237" s="2"/>
      <c r="T237" s="2"/>
      <c r="U237" s="2"/>
      <c r="V237" s="2"/>
      <c r="W237" s="2"/>
      <c r="X237" s="2"/>
    </row>
    <row r="238" spans="11:24">
      <c r="K238" s="2"/>
      <c r="L238" s="2"/>
      <c r="M238" s="2"/>
      <c r="N238" s="2"/>
      <c r="S238" s="2"/>
      <c r="T238" s="2"/>
      <c r="U238" s="2"/>
      <c r="V238" s="2"/>
      <c r="W238" s="2"/>
      <c r="X238" s="2"/>
    </row>
    <row r="239" spans="11:24">
      <c r="K239" s="2"/>
      <c r="L239" s="2"/>
      <c r="M239" s="2"/>
      <c r="N239" s="2"/>
      <c r="S239" s="2"/>
      <c r="T239" s="2"/>
      <c r="U239" s="2"/>
      <c r="V239" s="2"/>
      <c r="W239" s="2"/>
      <c r="X239" s="2"/>
    </row>
    <row r="240" spans="11:24">
      <c r="K240" s="2"/>
      <c r="L240" s="2"/>
      <c r="M240" s="2"/>
      <c r="N240" s="2"/>
      <c r="S240" s="2"/>
      <c r="T240" s="2"/>
      <c r="U240" s="2"/>
      <c r="V240" s="2"/>
      <c r="W240" s="2"/>
      <c r="X240" s="2"/>
    </row>
    <row r="241" spans="11:24">
      <c r="K241" s="2"/>
      <c r="L241" s="2"/>
      <c r="M241" s="2"/>
      <c r="N241" s="2"/>
      <c r="S241" s="2"/>
      <c r="T241" s="2"/>
      <c r="U241" s="2"/>
      <c r="V241" s="2"/>
      <c r="W241" s="2"/>
      <c r="X241" s="2"/>
    </row>
  </sheetData>
  <mergeCells count="102">
    <mergeCell ref="I181:I182"/>
    <mergeCell ref="B196:B197"/>
    <mergeCell ref="C196:E196"/>
    <mergeCell ref="F196:F197"/>
    <mergeCell ref="G196:G197"/>
    <mergeCell ref="H196:H197"/>
    <mergeCell ref="I179:I180"/>
    <mergeCell ref="J179:J180"/>
    <mergeCell ref="K179:K180"/>
    <mergeCell ref="B175:F175"/>
    <mergeCell ref="B179:B180"/>
    <mergeCell ref="C179:E179"/>
    <mergeCell ref="F179:F180"/>
    <mergeCell ref="G179:G180"/>
    <mergeCell ref="H179:H180"/>
    <mergeCell ref="Q139:S139"/>
    <mergeCell ref="I141:I142"/>
    <mergeCell ref="B157:B158"/>
    <mergeCell ref="C157:E157"/>
    <mergeCell ref="F157:F158"/>
    <mergeCell ref="G157:G158"/>
    <mergeCell ref="H157:H158"/>
    <mergeCell ref="I139:I140"/>
    <mergeCell ref="J139:J140"/>
    <mergeCell ref="K139:K140"/>
    <mergeCell ref="L139:M139"/>
    <mergeCell ref="N139:N140"/>
    <mergeCell ref="O139:P139"/>
    <mergeCell ref="Q179:S179"/>
    <mergeCell ref="L179:M179"/>
    <mergeCell ref="N179:N180"/>
    <mergeCell ref="O179:P179"/>
    <mergeCell ref="B135:F135"/>
    <mergeCell ref="B139:B140"/>
    <mergeCell ref="C139:E139"/>
    <mergeCell ref="F139:F140"/>
    <mergeCell ref="G139:G140"/>
    <mergeCell ref="H139:H14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B95:F95"/>
    <mergeCell ref="B99:B100"/>
    <mergeCell ref="C99:E99"/>
    <mergeCell ref="F99:F100"/>
    <mergeCell ref="G99:G100"/>
    <mergeCell ref="H99:H100"/>
    <mergeCell ref="K74:K75"/>
    <mergeCell ref="L74:M74"/>
    <mergeCell ref="N74:N75"/>
    <mergeCell ref="AP9:AP10"/>
    <mergeCell ref="B17:B18"/>
    <mergeCell ref="C17:E17"/>
    <mergeCell ref="F17:F18"/>
    <mergeCell ref="G17:G18"/>
    <mergeCell ref="H17:H18"/>
    <mergeCell ref="O74:P74"/>
    <mergeCell ref="R74:U74"/>
    <mergeCell ref="B80:B81"/>
    <mergeCell ref="C80:E80"/>
    <mergeCell ref="F80:F81"/>
    <mergeCell ref="G80:G81"/>
    <mergeCell ref="H80:H81"/>
    <mergeCell ref="B38:B39"/>
    <mergeCell ref="C38:E38"/>
    <mergeCell ref="F38:F39"/>
    <mergeCell ref="G38:G39"/>
    <mergeCell ref="H38:H39"/>
    <mergeCell ref="B59:B60"/>
    <mergeCell ref="C59:E59"/>
    <mergeCell ref="F59:F60"/>
    <mergeCell ref="G59:G60"/>
    <mergeCell ref="H59:H60"/>
    <mergeCell ref="K7:K8"/>
    <mergeCell ref="L7:M7"/>
    <mergeCell ref="N7:N8"/>
    <mergeCell ref="O7:P7"/>
    <mergeCell ref="Q7:S7"/>
    <mergeCell ref="I9:I10"/>
    <mergeCell ref="B3:F3"/>
    <mergeCell ref="B4:D4"/>
    <mergeCell ref="AN5:AN6"/>
    <mergeCell ref="B7:B8"/>
    <mergeCell ref="C7:E7"/>
    <mergeCell ref="F7:F8"/>
    <mergeCell ref="G7:G8"/>
    <mergeCell ref="H7:H8"/>
    <mergeCell ref="I7:I8"/>
    <mergeCell ref="J7:J8"/>
    <mergeCell ref="AJ9:AJ10"/>
    <mergeCell ref="AL9:AL10"/>
    <mergeCell ref="AN9:AN10"/>
  </mergeCells>
  <pageMargins left="0.7" right="0.7" top="0.75" bottom="0.75" header="0.3" footer="0.3"/>
  <pageSetup scale="3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E427-02B6-43F2-9C9A-2B8E932D959D}">
  <sheetPr codeName="Sheet13">
    <pageSetUpPr fitToPage="1"/>
  </sheetPr>
  <dimension ref="B2:AP72"/>
  <sheetViews>
    <sheetView view="pageBreakPreview" zoomScale="85" zoomScaleNormal="55" zoomScaleSheetLayoutView="85" workbookViewId="0">
      <pane xSplit="7" ySplit="7" topLeftCell="U62" activePane="bottomRight" state="frozen"/>
      <selection pane="topRight" activeCell="F1" sqref="F1"/>
      <selection pane="bottomLeft" activeCell="A7" sqref="A7"/>
      <selection pane="bottomRight" activeCell="X75" sqref="X75"/>
    </sheetView>
  </sheetViews>
  <sheetFormatPr defaultColWidth="9.1796875" defaultRowHeight="15.5"/>
  <cols>
    <col min="1" max="1" width="3.81640625" style="98" customWidth="1"/>
    <col min="2" max="2" width="21.7265625" style="98" customWidth="1"/>
    <col min="3" max="3" width="9.26953125" style="98" customWidth="1"/>
    <col min="4" max="4" width="9.1796875" style="98" bestFit="1" customWidth="1"/>
    <col min="5" max="5" width="11" style="98" customWidth="1"/>
    <col min="6" max="6" width="13.7265625" style="98" customWidth="1"/>
    <col min="7" max="7" width="11.1796875" style="107" customWidth="1"/>
    <col min="8" max="8" width="13.453125" style="98" customWidth="1"/>
    <col min="9" max="13" width="14.7265625" style="98" customWidth="1"/>
    <col min="14" max="14" width="9.81640625" style="98" customWidth="1"/>
    <col min="15" max="17" width="14.7265625" style="98" customWidth="1"/>
    <col min="18" max="18" width="9.54296875" style="98" customWidth="1"/>
    <col min="19" max="28" width="12.81640625" style="98" customWidth="1"/>
    <col min="29" max="29" width="1.81640625" style="98" customWidth="1"/>
    <col min="30" max="32" width="12.81640625" style="98" customWidth="1"/>
    <col min="33" max="33" width="9.1796875" style="98"/>
    <col min="34" max="34" width="11" style="98" customWidth="1"/>
    <col min="35" max="35" width="12.81640625" style="98" customWidth="1"/>
    <col min="36" max="36" width="2.1796875" style="98" customWidth="1"/>
    <col min="37" max="38" width="12.453125" style="98" customWidth="1"/>
    <col min="39" max="39" width="2" style="108" customWidth="1"/>
    <col min="40" max="40" width="12.1796875" style="98" customWidth="1"/>
    <col min="41" max="41" width="2" style="108" customWidth="1"/>
    <col min="42" max="42" width="9" style="108" customWidth="1"/>
    <col min="43" max="16384" width="9.1796875" style="98"/>
  </cols>
  <sheetData>
    <row r="2" spans="2:42" ht="27.75" customHeight="1">
      <c r="B2" s="707" t="s">
        <v>821</v>
      </c>
      <c r="C2" s="707"/>
      <c r="D2" s="707"/>
      <c r="E2" s="707"/>
      <c r="F2" s="707"/>
      <c r="G2" s="707"/>
      <c r="H2" s="707"/>
      <c r="I2" s="707"/>
      <c r="J2" s="707"/>
      <c r="K2" s="707"/>
      <c r="L2" s="707"/>
      <c r="M2" s="707"/>
      <c r="N2" s="707"/>
      <c r="O2" s="707"/>
      <c r="P2" s="707"/>
      <c r="Q2" s="707"/>
      <c r="R2" s="707"/>
      <c r="S2" s="707"/>
      <c r="T2" s="707"/>
      <c r="U2" s="707"/>
      <c r="V2" s="707"/>
      <c r="W2" s="707"/>
      <c r="X2" s="707"/>
      <c r="Y2" s="707"/>
      <c r="Z2" s="707"/>
      <c r="AA2" s="707"/>
      <c r="AB2" s="707"/>
      <c r="AC2" s="707"/>
      <c r="AD2" s="707"/>
      <c r="AE2" s="707"/>
      <c r="AF2" s="707"/>
      <c r="AG2" s="707"/>
      <c r="AH2" s="707"/>
      <c r="AI2" s="707"/>
      <c r="AJ2" s="707"/>
      <c r="AK2" s="707"/>
      <c r="AL2" s="707"/>
      <c r="AM2" s="707"/>
      <c r="AN2" s="707"/>
      <c r="AO2" s="707"/>
      <c r="AP2" s="707"/>
    </row>
    <row r="3" spans="2:42" s="102" customFormat="1" ht="27.75" customHeight="1">
      <c r="B3" s="99"/>
      <c r="C3" s="99"/>
      <c r="D3" s="99"/>
      <c r="E3" s="99"/>
      <c r="F3" s="99"/>
      <c r="G3" s="100"/>
      <c r="H3" s="716" t="s">
        <v>822</v>
      </c>
      <c r="I3" s="717"/>
      <c r="J3" s="717"/>
      <c r="K3" s="717"/>
      <c r="L3" s="717"/>
      <c r="M3" s="717"/>
      <c r="N3" s="718"/>
      <c r="O3" s="713" t="s">
        <v>823</v>
      </c>
      <c r="P3" s="714"/>
      <c r="Q3" s="714"/>
      <c r="R3" s="715"/>
      <c r="S3" s="709" t="s">
        <v>824</v>
      </c>
      <c r="T3" s="710"/>
      <c r="U3" s="710"/>
      <c r="V3" s="710"/>
      <c r="W3" s="710"/>
      <c r="X3" s="710"/>
      <c r="Y3" s="710"/>
      <c r="Z3" s="711"/>
      <c r="AA3" s="101"/>
      <c r="AB3" s="101"/>
      <c r="AC3" s="101"/>
      <c r="AD3" s="708" t="s">
        <v>825</v>
      </c>
      <c r="AE3" s="708"/>
      <c r="AF3" s="708"/>
      <c r="AG3" s="708"/>
      <c r="AH3" s="708"/>
      <c r="AI3" s="708"/>
      <c r="AK3" s="712" t="s">
        <v>826</v>
      </c>
      <c r="AL3" s="712"/>
      <c r="AM3" s="103"/>
      <c r="AN3" s="104"/>
      <c r="AO3" s="103"/>
      <c r="AP3" s="105"/>
    </row>
    <row r="4" spans="2:42" s="102" customFormat="1" ht="128.25" customHeight="1">
      <c r="B4" s="508" t="s">
        <v>827</v>
      </c>
      <c r="C4" s="508" t="s">
        <v>828</v>
      </c>
      <c r="D4" s="508" t="s">
        <v>829</v>
      </c>
      <c r="E4" s="508" t="s">
        <v>830</v>
      </c>
      <c r="F4" s="508" t="s">
        <v>831</v>
      </c>
      <c r="G4" s="509" t="s">
        <v>832</v>
      </c>
      <c r="H4" s="510" t="s">
        <v>833</v>
      </c>
      <c r="I4" s="510" t="s">
        <v>834</v>
      </c>
      <c r="J4" s="510" t="s">
        <v>835</v>
      </c>
      <c r="K4" s="510" t="s">
        <v>836</v>
      </c>
      <c r="L4" s="510" t="s">
        <v>837</v>
      </c>
      <c r="M4" s="510" t="s">
        <v>838</v>
      </c>
      <c r="N4" s="510" t="s">
        <v>839</v>
      </c>
      <c r="O4" s="510" t="s">
        <v>840</v>
      </c>
      <c r="P4" s="510" t="s">
        <v>841</v>
      </c>
      <c r="Q4" s="510" t="s">
        <v>842</v>
      </c>
      <c r="R4" s="510" t="s">
        <v>843</v>
      </c>
      <c r="S4" s="511" t="s">
        <v>844</v>
      </c>
      <c r="T4" s="511" t="s">
        <v>845</v>
      </c>
      <c r="U4" s="511" t="s">
        <v>844</v>
      </c>
      <c r="V4" s="511" t="s">
        <v>846</v>
      </c>
      <c r="W4" s="511" t="s">
        <v>847</v>
      </c>
      <c r="X4" s="512" t="s">
        <v>848</v>
      </c>
      <c r="Y4" s="511" t="s">
        <v>849</v>
      </c>
      <c r="Z4" s="512" t="s">
        <v>850</v>
      </c>
      <c r="AA4" s="513" t="s">
        <v>851</v>
      </c>
      <c r="AB4" s="513" t="s">
        <v>852</v>
      </c>
      <c r="AC4" s="511"/>
      <c r="AD4" s="514" t="s">
        <v>853</v>
      </c>
      <c r="AE4" s="513" t="s">
        <v>854</v>
      </c>
      <c r="AF4" s="514" t="s">
        <v>855</v>
      </c>
      <c r="AG4" s="514" t="s">
        <v>856</v>
      </c>
      <c r="AH4" s="514" t="s">
        <v>857</v>
      </c>
      <c r="AI4" s="514" t="s">
        <v>858</v>
      </c>
      <c r="AJ4" s="515"/>
      <c r="AK4" s="516" t="s">
        <v>859</v>
      </c>
      <c r="AL4" s="516" t="s">
        <v>860</v>
      </c>
      <c r="AM4" s="517"/>
      <c r="AN4" s="518" t="s">
        <v>861</v>
      </c>
      <c r="AO4" s="517"/>
      <c r="AP4" s="519" t="s">
        <v>862</v>
      </c>
    </row>
    <row r="5" spans="2:42" s="102" customFormat="1" ht="26.25" customHeight="1">
      <c r="B5" s="520" t="s">
        <v>863</v>
      </c>
      <c r="C5" s="520"/>
      <c r="D5" s="520"/>
      <c r="E5" s="520"/>
      <c r="F5" s="520"/>
      <c r="G5" s="521"/>
      <c r="H5" s="520" t="s">
        <v>864</v>
      </c>
      <c r="I5" s="520" t="s">
        <v>865</v>
      </c>
      <c r="J5" s="520" t="s">
        <v>866</v>
      </c>
      <c r="K5" s="520" t="s">
        <v>867</v>
      </c>
      <c r="L5" s="520" t="s">
        <v>868</v>
      </c>
      <c r="M5" s="520" t="s">
        <v>869</v>
      </c>
      <c r="N5" s="520" t="s">
        <v>870</v>
      </c>
      <c r="O5" s="520" t="s">
        <v>871</v>
      </c>
      <c r="P5" s="520" t="s">
        <v>872</v>
      </c>
      <c r="Q5" s="520" t="s">
        <v>873</v>
      </c>
      <c r="R5" s="520"/>
      <c r="S5" s="520" t="s">
        <v>874</v>
      </c>
      <c r="T5" s="520" t="s">
        <v>875</v>
      </c>
      <c r="U5" s="520" t="s">
        <v>876</v>
      </c>
      <c r="V5" s="520" t="s">
        <v>877</v>
      </c>
      <c r="W5" s="520" t="s">
        <v>878</v>
      </c>
      <c r="X5" s="520" t="s">
        <v>879</v>
      </c>
      <c r="Y5" s="520" t="s">
        <v>880</v>
      </c>
      <c r="Z5" s="520" t="s">
        <v>881</v>
      </c>
      <c r="AA5" s="520" t="s">
        <v>882</v>
      </c>
      <c r="AB5" s="520" t="s">
        <v>883</v>
      </c>
      <c r="AC5" s="520"/>
      <c r="AD5" s="520" t="s">
        <v>884</v>
      </c>
      <c r="AE5" s="520" t="s">
        <v>885</v>
      </c>
      <c r="AF5" s="520" t="s">
        <v>886</v>
      </c>
      <c r="AG5" s="520" t="s">
        <v>887</v>
      </c>
      <c r="AH5" s="520" t="s">
        <v>888</v>
      </c>
      <c r="AI5" s="520" t="s">
        <v>889</v>
      </c>
      <c r="AJ5" s="522"/>
      <c r="AK5" s="520" t="s">
        <v>890</v>
      </c>
      <c r="AL5" s="520" t="s">
        <v>891</v>
      </c>
      <c r="AM5" s="523"/>
      <c r="AN5" s="520"/>
      <c r="AO5" s="517"/>
      <c r="AP5" s="519"/>
    </row>
    <row r="6" spans="2:42" s="102" customFormat="1" ht="23.25" customHeight="1">
      <c r="B6" s="524" t="s">
        <v>892</v>
      </c>
      <c r="C6" s="524"/>
      <c r="D6" s="524"/>
      <c r="E6" s="524"/>
      <c r="F6" s="524"/>
      <c r="G6" s="525"/>
      <c r="H6" s="524">
        <v>43</v>
      </c>
      <c r="I6" s="524">
        <v>43</v>
      </c>
      <c r="J6" s="524">
        <v>34</v>
      </c>
      <c r="K6" s="524">
        <v>11</v>
      </c>
      <c r="L6" s="524">
        <v>34</v>
      </c>
      <c r="M6" s="524">
        <v>6</v>
      </c>
      <c r="N6" s="524">
        <v>20</v>
      </c>
      <c r="O6" s="524">
        <v>23</v>
      </c>
      <c r="P6" s="524">
        <v>10</v>
      </c>
      <c r="Q6" s="524">
        <v>34</v>
      </c>
      <c r="R6" s="524">
        <v>20</v>
      </c>
      <c r="S6" s="524">
        <v>12</v>
      </c>
      <c r="T6" s="524">
        <v>15</v>
      </c>
      <c r="U6" s="524">
        <v>12</v>
      </c>
      <c r="V6" s="524">
        <v>32</v>
      </c>
      <c r="W6" s="524">
        <v>45</v>
      </c>
      <c r="X6" s="524">
        <v>26</v>
      </c>
      <c r="Y6" s="524">
        <v>40</v>
      </c>
      <c r="Z6" s="524">
        <v>26</v>
      </c>
      <c r="AA6" s="524">
        <v>15</v>
      </c>
      <c r="AB6" s="524">
        <v>25</v>
      </c>
      <c r="AC6" s="524"/>
      <c r="AD6" s="524">
        <v>105</v>
      </c>
      <c r="AE6" s="524">
        <v>35</v>
      </c>
      <c r="AF6" s="524">
        <v>26</v>
      </c>
      <c r="AG6" s="524">
        <v>36</v>
      </c>
      <c r="AH6" s="524">
        <v>40</v>
      </c>
      <c r="AI6" s="524">
        <v>36</v>
      </c>
      <c r="AJ6" s="522"/>
      <c r="AK6" s="524">
        <v>115</v>
      </c>
      <c r="AL6" s="524">
        <v>15</v>
      </c>
      <c r="AM6" s="523"/>
      <c r="AN6" s="524">
        <v>3</v>
      </c>
      <c r="AO6" s="517"/>
      <c r="AP6" s="519"/>
    </row>
    <row r="7" spans="2:42" s="102" customFormat="1" ht="26.25" customHeight="1">
      <c r="B7" s="524" t="s">
        <v>832</v>
      </c>
      <c r="C7" s="524"/>
      <c r="D7" s="524"/>
      <c r="E7" s="524"/>
      <c r="F7" s="524"/>
      <c r="G7" s="525"/>
      <c r="H7" s="523">
        <f>$H$6*E7</f>
        <v>0</v>
      </c>
      <c r="I7" s="523">
        <f>$I$6*$E7</f>
        <v>0</v>
      </c>
      <c r="J7" s="523">
        <f>$J$6*$E7</f>
        <v>0</v>
      </c>
      <c r="K7" s="523">
        <f>$K$6*$E7</f>
        <v>0</v>
      </c>
      <c r="L7" s="523">
        <f>$L$6*$E7</f>
        <v>0</v>
      </c>
      <c r="M7" s="523">
        <f>$M$6*$E7</f>
        <v>0</v>
      </c>
      <c r="N7" s="523">
        <f>$N$6*$E7</f>
        <v>0</v>
      </c>
      <c r="O7" s="523">
        <f>$O$6*$E7</f>
        <v>0</v>
      </c>
      <c r="P7" s="523">
        <f>$P$6*$E7</f>
        <v>0</v>
      </c>
      <c r="Q7" s="523">
        <f>$Q$6*$E7</f>
        <v>0</v>
      </c>
      <c r="R7" s="523">
        <f>$R$6*$E7</f>
        <v>0</v>
      </c>
      <c r="S7" s="523">
        <f>$S$6*$E7</f>
        <v>0</v>
      </c>
      <c r="T7" s="523">
        <f>$T$6*$E7</f>
        <v>0</v>
      </c>
      <c r="U7" s="523">
        <f>$U$6*$E7</f>
        <v>0</v>
      </c>
      <c r="V7" s="523">
        <f>$V$6*$E7</f>
        <v>0</v>
      </c>
      <c r="W7" s="523">
        <f>$W$6*$E7</f>
        <v>0</v>
      </c>
      <c r="X7" s="523">
        <f>$X$6*$E7</f>
        <v>0</v>
      </c>
      <c r="Y7" s="523">
        <f>$Y$6*$E7</f>
        <v>0</v>
      </c>
      <c r="Z7" s="523">
        <f>$Z$6*$E7</f>
        <v>0</v>
      </c>
      <c r="AA7" s="523">
        <f>$AA$6*$E7</f>
        <v>0</v>
      </c>
      <c r="AB7" s="523">
        <f>$AB$6*$E7</f>
        <v>0</v>
      </c>
      <c r="AC7" s="523"/>
      <c r="AD7" s="523">
        <f>$AD$6*$E7</f>
        <v>0</v>
      </c>
      <c r="AE7" s="523">
        <f>$AE$6*$E7</f>
        <v>0</v>
      </c>
      <c r="AF7" s="523">
        <f>$AF$6*$E7</f>
        <v>0</v>
      </c>
      <c r="AG7" s="523">
        <f>$AG$6*$E7</f>
        <v>0</v>
      </c>
      <c r="AH7" s="523">
        <f>$AH$6*$E7</f>
        <v>0</v>
      </c>
      <c r="AI7" s="523">
        <f>$AI$6*$E7</f>
        <v>0</v>
      </c>
      <c r="AJ7" s="522"/>
      <c r="AK7" s="523">
        <f>$AK$6*$E7</f>
        <v>0</v>
      </c>
      <c r="AL7" s="523">
        <f>$AL$6*$E7</f>
        <v>0</v>
      </c>
      <c r="AM7" s="523"/>
      <c r="AN7" s="523">
        <f>$AN$6*$E7*F7</f>
        <v>0</v>
      </c>
      <c r="AO7" s="517"/>
      <c r="AP7" s="519"/>
    </row>
    <row r="8" spans="2:42" ht="35.25" customHeight="1">
      <c r="B8" s="526" t="s">
        <v>893</v>
      </c>
      <c r="C8" s="526"/>
      <c r="D8" s="527"/>
      <c r="E8" s="527"/>
      <c r="F8" s="527"/>
      <c r="G8" s="528"/>
      <c r="H8" s="529"/>
      <c r="I8" s="527"/>
      <c r="J8" s="527"/>
      <c r="K8" s="527"/>
      <c r="L8" s="527"/>
      <c r="M8" s="527"/>
      <c r="N8" s="527"/>
      <c r="O8" s="527"/>
      <c r="P8" s="527"/>
      <c r="Q8" s="527"/>
      <c r="R8" s="527"/>
      <c r="S8" s="527"/>
      <c r="T8" s="527"/>
      <c r="U8" s="527"/>
      <c r="V8" s="527"/>
      <c r="W8" s="527"/>
      <c r="X8" s="527"/>
      <c r="Y8" s="527"/>
      <c r="Z8" s="527"/>
      <c r="AA8" s="527"/>
      <c r="AB8" s="527"/>
      <c r="AC8" s="527"/>
      <c r="AD8" s="527"/>
      <c r="AE8" s="527"/>
      <c r="AF8" s="527"/>
      <c r="AG8" s="527"/>
      <c r="AH8" s="527"/>
      <c r="AI8" s="527"/>
      <c r="AJ8" s="530"/>
      <c r="AK8" s="527"/>
      <c r="AL8" s="527"/>
      <c r="AM8" s="529"/>
      <c r="AN8" s="529"/>
      <c r="AO8" s="529"/>
      <c r="AP8" s="531"/>
    </row>
    <row r="9" spans="2:42">
      <c r="B9" s="532" t="s">
        <v>894</v>
      </c>
      <c r="C9" s="532" t="s">
        <v>895</v>
      </c>
      <c r="D9" s="532" t="s">
        <v>896</v>
      </c>
      <c r="E9" s="532">
        <v>1</v>
      </c>
      <c r="F9" s="532"/>
      <c r="G9" s="533"/>
      <c r="H9" s="532"/>
      <c r="I9" s="532"/>
      <c r="J9" s="532"/>
      <c r="K9" s="532"/>
      <c r="L9" s="532"/>
      <c r="M9" s="532"/>
      <c r="N9" s="532"/>
      <c r="O9" s="532"/>
      <c r="P9" s="532"/>
      <c r="Q9" s="532"/>
      <c r="R9" s="532"/>
      <c r="S9" s="532"/>
      <c r="T9" s="532"/>
      <c r="U9" s="532"/>
      <c r="V9" s="532"/>
      <c r="W9" s="532"/>
      <c r="X9" s="532"/>
      <c r="Y9" s="532"/>
      <c r="Z9" s="532"/>
      <c r="AA9" s="532"/>
      <c r="AB9" s="532"/>
      <c r="AC9" s="532"/>
      <c r="AD9" s="532"/>
      <c r="AE9" s="532"/>
      <c r="AF9" s="532"/>
      <c r="AG9" s="532"/>
      <c r="AH9" s="532"/>
      <c r="AI9" s="532"/>
      <c r="AJ9" s="534"/>
      <c r="AK9" s="532"/>
      <c r="AL9" s="532"/>
      <c r="AM9" s="532"/>
      <c r="AN9" s="535">
        <f t="shared" ref="AN9:AN48" si="0">$AN$6*$E9*F9</f>
        <v>0</v>
      </c>
      <c r="AO9" s="532"/>
      <c r="AP9" s="519">
        <f t="shared" ref="AP9:AP48" si="1">SUM(H9:AO9)</f>
        <v>0</v>
      </c>
    </row>
    <row r="10" spans="2:42">
      <c r="B10" s="535" t="s">
        <v>894</v>
      </c>
      <c r="C10" s="532" t="s">
        <v>895</v>
      </c>
      <c r="D10" s="535" t="s">
        <v>896</v>
      </c>
      <c r="E10" s="532">
        <v>1</v>
      </c>
      <c r="F10" s="532"/>
      <c r="G10" s="533" t="s">
        <v>897</v>
      </c>
      <c r="H10" s="517"/>
      <c r="I10" s="517"/>
      <c r="J10" s="532"/>
      <c r="K10" s="532"/>
      <c r="L10" s="532"/>
      <c r="M10" s="532"/>
      <c r="N10" s="532"/>
      <c r="O10" s="535">
        <f>$O$6*$E10</f>
        <v>23</v>
      </c>
      <c r="P10" s="535">
        <f>$P$6*$E10</f>
        <v>10</v>
      </c>
      <c r="Q10" s="532"/>
      <c r="R10" s="536">
        <f>$R$6*$E10</f>
        <v>20</v>
      </c>
      <c r="S10" s="532"/>
      <c r="T10" s="532"/>
      <c r="U10" s="535">
        <f>$U$6*$E10</f>
        <v>12</v>
      </c>
      <c r="V10" s="535">
        <f>$V$6*$E10</f>
        <v>32</v>
      </c>
      <c r="W10" s="535">
        <f>$W$6*$E10</f>
        <v>45</v>
      </c>
      <c r="X10" s="532"/>
      <c r="Y10" s="535">
        <f>$Y$6*$E10</f>
        <v>40</v>
      </c>
      <c r="Z10" s="532"/>
      <c r="AA10" s="532"/>
      <c r="AB10" s="532"/>
      <c r="AC10" s="532"/>
      <c r="AD10" s="532"/>
      <c r="AE10" s="532"/>
      <c r="AF10" s="532"/>
      <c r="AG10" s="532"/>
      <c r="AH10" s="532"/>
      <c r="AI10" s="532"/>
      <c r="AJ10" s="534"/>
      <c r="AK10" s="532"/>
      <c r="AL10" s="532"/>
      <c r="AM10" s="532"/>
      <c r="AN10" s="535">
        <f t="shared" si="0"/>
        <v>0</v>
      </c>
      <c r="AO10" s="532"/>
      <c r="AP10" s="519">
        <f t="shared" si="1"/>
        <v>182</v>
      </c>
    </row>
    <row r="11" spans="2:42">
      <c r="B11" s="532" t="s">
        <v>894</v>
      </c>
      <c r="C11" s="532" t="s">
        <v>895</v>
      </c>
      <c r="D11" s="532" t="s">
        <v>898</v>
      </c>
      <c r="E11" s="532">
        <v>1</v>
      </c>
      <c r="F11" s="532"/>
      <c r="G11" s="533"/>
      <c r="H11" s="532"/>
      <c r="I11" s="532"/>
      <c r="J11" s="532"/>
      <c r="K11" s="532"/>
      <c r="L11" s="532"/>
      <c r="M11" s="532"/>
      <c r="N11" s="532"/>
      <c r="O11" s="532"/>
      <c r="P11" s="532"/>
      <c r="Q11" s="532"/>
      <c r="R11" s="536">
        <f>$R$6*$E11</f>
        <v>20</v>
      </c>
      <c r="S11" s="532"/>
      <c r="T11" s="532"/>
      <c r="U11" s="532"/>
      <c r="V11" s="532"/>
      <c r="W11" s="532"/>
      <c r="X11" s="535">
        <f>$X$6*$E11</f>
        <v>26</v>
      </c>
      <c r="Y11" s="532"/>
      <c r="Z11" s="535">
        <f>$Z$6*$E11</f>
        <v>26</v>
      </c>
      <c r="AA11" s="537"/>
      <c r="AB11" s="537"/>
      <c r="AC11" s="532"/>
      <c r="AD11" s="532"/>
      <c r="AE11" s="532"/>
      <c r="AF11" s="532"/>
      <c r="AG11" s="532"/>
      <c r="AH11" s="532"/>
      <c r="AI11" s="532"/>
      <c r="AJ11" s="534"/>
      <c r="AK11" s="537"/>
      <c r="AL11" s="537"/>
      <c r="AM11" s="532"/>
      <c r="AN11" s="535">
        <f t="shared" si="0"/>
        <v>0</v>
      </c>
      <c r="AO11" s="532"/>
      <c r="AP11" s="519">
        <f t="shared" si="1"/>
        <v>72</v>
      </c>
    </row>
    <row r="12" spans="2:42">
      <c r="B12" s="532" t="s">
        <v>894</v>
      </c>
      <c r="C12" s="532" t="s">
        <v>895</v>
      </c>
      <c r="D12" s="532" t="s">
        <v>898</v>
      </c>
      <c r="E12" s="532">
        <v>1</v>
      </c>
      <c r="F12" s="532"/>
      <c r="G12" s="533"/>
      <c r="H12" s="532"/>
      <c r="I12" s="532"/>
      <c r="J12" s="532"/>
      <c r="K12" s="532"/>
      <c r="L12" s="532"/>
      <c r="M12" s="532"/>
      <c r="N12" s="532"/>
      <c r="O12" s="532"/>
      <c r="P12" s="532"/>
      <c r="Q12" s="532"/>
      <c r="R12" s="532"/>
      <c r="S12" s="532"/>
      <c r="T12" s="532"/>
      <c r="U12" s="532"/>
      <c r="V12" s="532"/>
      <c r="W12" s="532"/>
      <c r="X12" s="532"/>
      <c r="Y12" s="532"/>
      <c r="Z12" s="532"/>
      <c r="AA12" s="532"/>
      <c r="AB12" s="532"/>
      <c r="AC12" s="532"/>
      <c r="AD12" s="532"/>
      <c r="AE12" s="532"/>
      <c r="AF12" s="532"/>
      <c r="AG12" s="532"/>
      <c r="AH12" s="532"/>
      <c r="AI12" s="532"/>
      <c r="AJ12" s="534"/>
      <c r="AK12" s="532"/>
      <c r="AL12" s="532"/>
      <c r="AM12" s="532"/>
      <c r="AN12" s="535">
        <f t="shared" si="0"/>
        <v>0</v>
      </c>
      <c r="AO12" s="532"/>
      <c r="AP12" s="519">
        <f t="shared" si="1"/>
        <v>0</v>
      </c>
    </row>
    <row r="13" spans="2:42">
      <c r="B13" s="532" t="s">
        <v>894</v>
      </c>
      <c r="C13" s="532" t="s">
        <v>895</v>
      </c>
      <c r="D13" s="532" t="s">
        <v>899</v>
      </c>
      <c r="E13" s="532">
        <v>1</v>
      </c>
      <c r="F13" s="532">
        <v>2</v>
      </c>
      <c r="G13" s="533" t="s">
        <v>897</v>
      </c>
      <c r="H13" s="532"/>
      <c r="I13" s="532"/>
      <c r="J13" s="532"/>
      <c r="K13" s="532"/>
      <c r="L13" s="532"/>
      <c r="M13" s="532"/>
      <c r="N13" s="532"/>
      <c r="O13" s="532"/>
      <c r="P13" s="532"/>
      <c r="Q13" s="532"/>
      <c r="R13" s="532"/>
      <c r="S13" s="532"/>
      <c r="T13" s="532"/>
      <c r="U13" s="532"/>
      <c r="V13" s="532"/>
      <c r="W13" s="538"/>
      <c r="X13" s="532"/>
      <c r="Y13" s="532"/>
      <c r="Z13" s="532"/>
      <c r="AA13" s="532"/>
      <c r="AB13" s="532"/>
      <c r="AC13" s="532"/>
      <c r="AD13" s="532"/>
      <c r="AE13" s="532"/>
      <c r="AF13" s="532"/>
      <c r="AG13" s="532"/>
      <c r="AH13" s="532"/>
      <c r="AI13" s="532"/>
      <c r="AJ13" s="534"/>
      <c r="AK13" s="532"/>
      <c r="AL13" s="532"/>
      <c r="AM13" s="532"/>
      <c r="AN13" s="535">
        <f t="shared" si="0"/>
        <v>6</v>
      </c>
      <c r="AO13" s="532"/>
      <c r="AP13" s="519">
        <f t="shared" si="1"/>
        <v>6</v>
      </c>
    </row>
    <row r="14" spans="2:42">
      <c r="B14" s="532" t="s">
        <v>894</v>
      </c>
      <c r="C14" s="532" t="s">
        <v>895</v>
      </c>
      <c r="D14" s="532" t="s">
        <v>899</v>
      </c>
      <c r="E14" s="532">
        <v>1</v>
      </c>
      <c r="F14" s="532"/>
      <c r="G14" s="533"/>
      <c r="H14" s="532"/>
      <c r="I14" s="532"/>
      <c r="J14" s="532"/>
      <c r="K14" s="532"/>
      <c r="L14" s="532"/>
      <c r="M14" s="532"/>
      <c r="N14" s="532"/>
      <c r="O14" s="532"/>
      <c r="P14" s="532"/>
      <c r="Q14" s="532"/>
      <c r="R14" s="532"/>
      <c r="S14" s="532"/>
      <c r="T14" s="532"/>
      <c r="U14" s="532"/>
      <c r="V14" s="532"/>
      <c r="W14" s="538"/>
      <c r="X14" s="532"/>
      <c r="Y14" s="532"/>
      <c r="Z14" s="532"/>
      <c r="AA14" s="532"/>
      <c r="AB14" s="532"/>
      <c r="AC14" s="532"/>
      <c r="AD14" s="532"/>
      <c r="AE14" s="532"/>
      <c r="AF14" s="532"/>
      <c r="AG14" s="532"/>
      <c r="AH14" s="532"/>
      <c r="AI14" s="532"/>
      <c r="AJ14" s="534"/>
      <c r="AK14" s="532"/>
      <c r="AL14" s="532"/>
      <c r="AM14" s="532"/>
      <c r="AN14" s="535">
        <f t="shared" si="0"/>
        <v>0</v>
      </c>
      <c r="AO14" s="532"/>
      <c r="AP14" s="519">
        <f t="shared" si="1"/>
        <v>0</v>
      </c>
    </row>
    <row r="15" spans="2:42">
      <c r="B15" s="532"/>
      <c r="C15" s="532"/>
      <c r="D15" s="532"/>
      <c r="E15" s="532"/>
      <c r="F15" s="532"/>
      <c r="G15" s="533"/>
      <c r="H15" s="532"/>
      <c r="I15" s="532"/>
      <c r="J15" s="532"/>
      <c r="K15" s="532"/>
      <c r="L15" s="532"/>
      <c r="M15" s="532"/>
      <c r="N15" s="532"/>
      <c r="O15" s="532"/>
      <c r="P15" s="532"/>
      <c r="Q15" s="532"/>
      <c r="R15" s="532"/>
      <c r="S15" s="532"/>
      <c r="T15" s="532"/>
      <c r="U15" s="532"/>
      <c r="V15" s="532"/>
      <c r="W15" s="538"/>
      <c r="X15" s="532"/>
      <c r="Y15" s="532"/>
      <c r="Z15" s="532"/>
      <c r="AA15" s="532"/>
      <c r="AB15" s="532"/>
      <c r="AC15" s="532"/>
      <c r="AD15" s="532"/>
      <c r="AE15" s="532"/>
      <c r="AF15" s="532"/>
      <c r="AG15" s="532"/>
      <c r="AH15" s="532"/>
      <c r="AI15" s="532"/>
      <c r="AJ15" s="534"/>
      <c r="AK15" s="532"/>
      <c r="AL15" s="532"/>
      <c r="AM15" s="532"/>
      <c r="AN15" s="535">
        <f t="shared" si="0"/>
        <v>0</v>
      </c>
      <c r="AO15" s="532"/>
      <c r="AP15" s="519">
        <f t="shared" si="1"/>
        <v>0</v>
      </c>
    </row>
    <row r="16" spans="2:42">
      <c r="B16" s="532"/>
      <c r="C16" s="532"/>
      <c r="D16" s="532"/>
      <c r="E16" s="532"/>
      <c r="F16" s="532"/>
      <c r="G16" s="533"/>
      <c r="H16" s="532"/>
      <c r="I16" s="532"/>
      <c r="J16" s="532"/>
      <c r="K16" s="532"/>
      <c r="L16" s="532"/>
      <c r="M16" s="532"/>
      <c r="N16" s="532"/>
      <c r="O16" s="532"/>
      <c r="P16" s="532"/>
      <c r="Q16" s="532"/>
      <c r="R16" s="532"/>
      <c r="S16" s="532"/>
      <c r="T16" s="532"/>
      <c r="U16" s="532"/>
      <c r="V16" s="532"/>
      <c r="W16" s="538"/>
      <c r="X16" s="532"/>
      <c r="Y16" s="532"/>
      <c r="Z16" s="532"/>
      <c r="AA16" s="532"/>
      <c r="AB16" s="532"/>
      <c r="AC16" s="532"/>
      <c r="AD16" s="532"/>
      <c r="AE16" s="532"/>
      <c r="AF16" s="532"/>
      <c r="AG16" s="532"/>
      <c r="AH16" s="532"/>
      <c r="AI16" s="532"/>
      <c r="AJ16" s="534"/>
      <c r="AK16" s="532"/>
      <c r="AL16" s="532"/>
      <c r="AM16" s="532"/>
      <c r="AN16" s="535">
        <f t="shared" si="0"/>
        <v>0</v>
      </c>
      <c r="AO16" s="532"/>
      <c r="AP16" s="519">
        <f t="shared" si="1"/>
        <v>0</v>
      </c>
    </row>
    <row r="17" spans="2:42">
      <c r="B17" s="532" t="s">
        <v>900</v>
      </c>
      <c r="C17" s="532" t="s">
        <v>895</v>
      </c>
      <c r="D17" s="532" t="s">
        <v>896</v>
      </c>
      <c r="E17" s="532">
        <v>2</v>
      </c>
      <c r="F17" s="532"/>
      <c r="G17" s="533"/>
      <c r="H17" s="539"/>
      <c r="I17" s="539"/>
      <c r="J17" s="539"/>
      <c r="K17" s="540"/>
      <c r="L17" s="536">
        <f>$L$6*$E17</f>
        <v>68</v>
      </c>
      <c r="M17" s="536">
        <f>$M$6*$E17</f>
        <v>12</v>
      </c>
      <c r="N17" s="536"/>
      <c r="O17" s="540"/>
      <c r="P17" s="539"/>
      <c r="Q17" s="539"/>
      <c r="R17" s="539"/>
      <c r="S17" s="539"/>
      <c r="T17" s="539"/>
      <c r="U17" s="539"/>
      <c r="V17" s="532"/>
      <c r="W17" s="538"/>
      <c r="X17" s="532"/>
      <c r="Y17" s="532"/>
      <c r="Z17" s="532"/>
      <c r="AA17" s="532"/>
      <c r="AB17" s="532"/>
      <c r="AC17" s="532"/>
      <c r="AD17" s="532"/>
      <c r="AE17" s="532"/>
      <c r="AF17" s="532"/>
      <c r="AG17" s="532"/>
      <c r="AH17" s="532"/>
      <c r="AI17" s="532"/>
      <c r="AJ17" s="534"/>
      <c r="AK17" s="532"/>
      <c r="AL17" s="532"/>
      <c r="AM17" s="532"/>
      <c r="AN17" s="535">
        <f t="shared" si="0"/>
        <v>0</v>
      </c>
      <c r="AO17" s="532"/>
      <c r="AP17" s="519">
        <f t="shared" si="1"/>
        <v>80</v>
      </c>
    </row>
    <row r="18" spans="2:42">
      <c r="B18" s="532" t="s">
        <v>900</v>
      </c>
      <c r="C18" s="532" t="s">
        <v>895</v>
      </c>
      <c r="D18" s="532" t="s">
        <v>896</v>
      </c>
      <c r="E18" s="532">
        <v>1</v>
      </c>
      <c r="F18" s="532"/>
      <c r="G18" s="533"/>
      <c r="H18" s="517"/>
      <c r="I18" s="517"/>
      <c r="J18" s="532"/>
      <c r="K18" s="540"/>
      <c r="L18" s="540"/>
      <c r="M18" s="517"/>
      <c r="N18" s="517"/>
      <c r="O18" s="532"/>
      <c r="P18" s="532"/>
      <c r="Q18" s="532"/>
      <c r="R18" s="532"/>
      <c r="S18" s="532"/>
      <c r="T18" s="532"/>
      <c r="U18" s="532"/>
      <c r="V18" s="532"/>
      <c r="W18" s="538"/>
      <c r="X18" s="532"/>
      <c r="Y18" s="532"/>
      <c r="Z18" s="532"/>
      <c r="AA18" s="532"/>
      <c r="AB18" s="532"/>
      <c r="AC18" s="532"/>
      <c r="AD18" s="532"/>
      <c r="AE18" s="532"/>
      <c r="AF18" s="532"/>
      <c r="AG18" s="532"/>
      <c r="AH18" s="532"/>
      <c r="AI18" s="532"/>
      <c r="AJ18" s="534"/>
      <c r="AK18" s="532"/>
      <c r="AL18" s="532"/>
      <c r="AM18" s="532"/>
      <c r="AN18" s="535">
        <f t="shared" si="0"/>
        <v>0</v>
      </c>
      <c r="AO18" s="532"/>
      <c r="AP18" s="519">
        <f t="shared" si="1"/>
        <v>0</v>
      </c>
    </row>
    <row r="19" spans="2:42">
      <c r="B19" s="532" t="s">
        <v>900</v>
      </c>
      <c r="C19" s="532" t="s">
        <v>895</v>
      </c>
      <c r="D19" s="532" t="s">
        <v>896</v>
      </c>
      <c r="E19" s="532">
        <v>1</v>
      </c>
      <c r="F19" s="532"/>
      <c r="G19" s="533"/>
      <c r="H19" s="532"/>
      <c r="I19" s="532"/>
      <c r="J19" s="532"/>
      <c r="K19" s="532"/>
      <c r="L19" s="532"/>
      <c r="M19" s="532"/>
      <c r="N19" s="532"/>
      <c r="O19" s="532"/>
      <c r="P19" s="532"/>
      <c r="Q19" s="532"/>
      <c r="R19" s="532"/>
      <c r="S19" s="532"/>
      <c r="T19" s="532"/>
      <c r="U19" s="532"/>
      <c r="V19" s="532"/>
      <c r="W19" s="538"/>
      <c r="X19" s="532"/>
      <c r="Y19" s="532"/>
      <c r="Z19" s="532"/>
      <c r="AA19" s="532"/>
      <c r="AB19" s="532"/>
      <c r="AC19" s="532"/>
      <c r="AD19" s="532"/>
      <c r="AE19" s="532"/>
      <c r="AF19" s="532"/>
      <c r="AG19" s="532"/>
      <c r="AH19" s="532"/>
      <c r="AI19" s="532"/>
      <c r="AJ19" s="534"/>
      <c r="AK19" s="532"/>
      <c r="AL19" s="532"/>
      <c r="AM19" s="532"/>
      <c r="AN19" s="535">
        <f t="shared" si="0"/>
        <v>0</v>
      </c>
      <c r="AO19" s="532"/>
      <c r="AP19" s="519">
        <f t="shared" si="1"/>
        <v>0</v>
      </c>
    </row>
    <row r="20" spans="2:42">
      <c r="B20" s="532" t="s">
        <v>900</v>
      </c>
      <c r="C20" s="532" t="s">
        <v>895</v>
      </c>
      <c r="D20" s="532" t="s">
        <v>898</v>
      </c>
      <c r="E20" s="532">
        <v>1</v>
      </c>
      <c r="F20" s="532"/>
      <c r="G20" s="533"/>
      <c r="H20" s="532"/>
      <c r="I20" s="532"/>
      <c r="J20" s="532"/>
      <c r="K20" s="532"/>
      <c r="L20" s="532"/>
      <c r="M20" s="532"/>
      <c r="N20" s="532"/>
      <c r="O20" s="532"/>
      <c r="P20" s="532"/>
      <c r="Q20" s="532"/>
      <c r="R20" s="532"/>
      <c r="S20" s="532"/>
      <c r="T20" s="532"/>
      <c r="U20" s="532"/>
      <c r="V20" s="532"/>
      <c r="W20" s="538"/>
      <c r="X20" s="532"/>
      <c r="Y20" s="532"/>
      <c r="Z20" s="532"/>
      <c r="AA20" s="532"/>
      <c r="AB20" s="532"/>
      <c r="AC20" s="532"/>
      <c r="AD20" s="532"/>
      <c r="AE20" s="532"/>
      <c r="AF20" s="532"/>
      <c r="AG20" s="532"/>
      <c r="AH20" s="532"/>
      <c r="AI20" s="532"/>
      <c r="AJ20" s="534"/>
      <c r="AK20" s="532"/>
      <c r="AL20" s="532"/>
      <c r="AM20" s="532"/>
      <c r="AN20" s="535">
        <f t="shared" si="0"/>
        <v>0</v>
      </c>
      <c r="AO20" s="532"/>
      <c r="AP20" s="519">
        <f t="shared" si="1"/>
        <v>0</v>
      </c>
    </row>
    <row r="21" spans="2:42">
      <c r="B21" s="532" t="s">
        <v>900</v>
      </c>
      <c r="C21" s="532" t="s">
        <v>895</v>
      </c>
      <c r="D21" s="532" t="s">
        <v>898</v>
      </c>
      <c r="E21" s="532">
        <v>1</v>
      </c>
      <c r="F21" s="532"/>
      <c r="G21" s="533"/>
      <c r="H21" s="532"/>
      <c r="I21" s="532"/>
      <c r="J21" s="532"/>
      <c r="K21" s="532"/>
      <c r="L21" s="532"/>
      <c r="M21" s="532"/>
      <c r="N21" s="532"/>
      <c r="O21" s="532"/>
      <c r="P21" s="532"/>
      <c r="Q21" s="532"/>
      <c r="R21" s="532"/>
      <c r="S21" s="532"/>
      <c r="T21" s="532"/>
      <c r="U21" s="532"/>
      <c r="V21" s="532"/>
      <c r="W21" s="538"/>
      <c r="X21" s="532"/>
      <c r="Y21" s="532"/>
      <c r="Z21" s="532"/>
      <c r="AA21" s="532"/>
      <c r="AB21" s="532"/>
      <c r="AC21" s="532"/>
      <c r="AD21" s="532"/>
      <c r="AE21" s="532"/>
      <c r="AF21" s="532"/>
      <c r="AG21" s="532"/>
      <c r="AH21" s="532"/>
      <c r="AI21" s="532"/>
      <c r="AJ21" s="534"/>
      <c r="AK21" s="532"/>
      <c r="AL21" s="532"/>
      <c r="AM21" s="532"/>
      <c r="AN21" s="535">
        <f t="shared" si="0"/>
        <v>0</v>
      </c>
      <c r="AO21" s="532"/>
      <c r="AP21" s="519">
        <f t="shared" si="1"/>
        <v>0</v>
      </c>
    </row>
    <row r="22" spans="2:42">
      <c r="B22" s="532" t="s">
        <v>900</v>
      </c>
      <c r="C22" s="532" t="s">
        <v>895</v>
      </c>
      <c r="D22" s="532" t="s">
        <v>899</v>
      </c>
      <c r="E22" s="532">
        <v>1</v>
      </c>
      <c r="F22" s="532"/>
      <c r="G22" s="533"/>
      <c r="H22" s="532"/>
      <c r="I22" s="532"/>
      <c r="J22" s="532"/>
      <c r="K22" s="532"/>
      <c r="L22" s="532"/>
      <c r="M22" s="532"/>
      <c r="N22" s="532"/>
      <c r="O22" s="532"/>
      <c r="P22" s="532"/>
      <c r="Q22" s="532"/>
      <c r="R22" s="532"/>
      <c r="S22" s="532"/>
      <c r="T22" s="532"/>
      <c r="U22" s="532"/>
      <c r="V22" s="532"/>
      <c r="W22" s="538"/>
      <c r="X22" s="532"/>
      <c r="Y22" s="532"/>
      <c r="Z22" s="532"/>
      <c r="AA22" s="532"/>
      <c r="AB22" s="532"/>
      <c r="AC22" s="532"/>
      <c r="AD22" s="532"/>
      <c r="AE22" s="532"/>
      <c r="AF22" s="532"/>
      <c r="AG22" s="532"/>
      <c r="AH22" s="532"/>
      <c r="AI22" s="532"/>
      <c r="AJ22" s="534"/>
      <c r="AK22" s="532"/>
      <c r="AL22" s="532"/>
      <c r="AM22" s="532"/>
      <c r="AN22" s="535">
        <f t="shared" si="0"/>
        <v>0</v>
      </c>
      <c r="AO22" s="532"/>
      <c r="AP22" s="519">
        <f t="shared" si="1"/>
        <v>0</v>
      </c>
    </row>
    <row r="23" spans="2:42">
      <c r="B23" s="532" t="s">
        <v>900</v>
      </c>
      <c r="C23" s="532" t="s">
        <v>895</v>
      </c>
      <c r="D23" s="532" t="s">
        <v>899</v>
      </c>
      <c r="E23" s="532">
        <v>1</v>
      </c>
      <c r="F23" s="532"/>
      <c r="G23" s="533"/>
      <c r="H23" s="532"/>
      <c r="I23" s="532"/>
      <c r="J23" s="532"/>
      <c r="K23" s="532"/>
      <c r="L23" s="532"/>
      <c r="M23" s="532"/>
      <c r="N23" s="532"/>
      <c r="O23" s="532"/>
      <c r="P23" s="532"/>
      <c r="Q23" s="532"/>
      <c r="R23" s="532"/>
      <c r="S23" s="532"/>
      <c r="T23" s="532"/>
      <c r="U23" s="532"/>
      <c r="V23" s="532"/>
      <c r="W23" s="538"/>
      <c r="X23" s="532"/>
      <c r="Y23" s="532"/>
      <c r="Z23" s="532"/>
      <c r="AA23" s="532"/>
      <c r="AB23" s="532"/>
      <c r="AC23" s="532"/>
      <c r="AD23" s="532"/>
      <c r="AE23" s="532"/>
      <c r="AF23" s="532"/>
      <c r="AG23" s="532"/>
      <c r="AH23" s="532"/>
      <c r="AI23" s="532"/>
      <c r="AJ23" s="534"/>
      <c r="AK23" s="532"/>
      <c r="AL23" s="532"/>
      <c r="AM23" s="532"/>
      <c r="AN23" s="535">
        <f t="shared" si="0"/>
        <v>0</v>
      </c>
      <c r="AO23" s="532"/>
      <c r="AP23" s="519">
        <f t="shared" si="1"/>
        <v>0</v>
      </c>
    </row>
    <row r="24" spans="2:42">
      <c r="B24" s="534"/>
      <c r="C24" s="534"/>
      <c r="D24" s="534"/>
      <c r="E24" s="534"/>
      <c r="F24" s="534"/>
      <c r="G24" s="533"/>
      <c r="H24" s="534"/>
      <c r="I24" s="534"/>
      <c r="J24" s="534"/>
      <c r="K24" s="534"/>
      <c r="L24" s="534"/>
      <c r="M24" s="534"/>
      <c r="N24" s="534"/>
      <c r="O24" s="534"/>
      <c r="P24" s="534"/>
      <c r="Q24" s="534"/>
      <c r="R24" s="534"/>
      <c r="S24" s="534"/>
      <c r="T24" s="534"/>
      <c r="U24" s="534"/>
      <c r="V24" s="534"/>
      <c r="W24" s="534"/>
      <c r="X24" s="534"/>
      <c r="Y24" s="534"/>
      <c r="Z24" s="534"/>
      <c r="AA24" s="534"/>
      <c r="AB24" s="534"/>
      <c r="AC24" s="534"/>
      <c r="AD24" s="534"/>
      <c r="AE24" s="534"/>
      <c r="AF24" s="534"/>
      <c r="AG24" s="534"/>
      <c r="AH24" s="534"/>
      <c r="AI24" s="534"/>
      <c r="AJ24" s="534"/>
      <c r="AK24" s="534"/>
      <c r="AL24" s="534"/>
      <c r="AM24" s="532"/>
      <c r="AN24" s="535">
        <f t="shared" si="0"/>
        <v>0</v>
      </c>
      <c r="AO24" s="532"/>
      <c r="AP24" s="519">
        <f t="shared" si="1"/>
        <v>0</v>
      </c>
    </row>
    <row r="25" spans="2:42">
      <c r="B25" s="532" t="s">
        <v>901</v>
      </c>
      <c r="C25" s="532" t="s">
        <v>895</v>
      </c>
      <c r="D25" s="532" t="s">
        <v>896</v>
      </c>
      <c r="E25" s="532">
        <v>1</v>
      </c>
      <c r="F25" s="532"/>
      <c r="G25" s="533"/>
      <c r="H25" s="532"/>
      <c r="I25" s="532"/>
      <c r="J25" s="517"/>
      <c r="K25" s="517"/>
      <c r="L25" s="532"/>
      <c r="M25" s="532"/>
      <c r="N25" s="532"/>
      <c r="O25" s="532"/>
      <c r="P25" s="532"/>
      <c r="Q25" s="532"/>
      <c r="R25" s="532"/>
      <c r="S25" s="532"/>
      <c r="T25" s="532"/>
      <c r="U25" s="532"/>
      <c r="V25" s="532"/>
      <c r="W25" s="538"/>
      <c r="X25" s="532"/>
      <c r="Y25" s="532"/>
      <c r="Z25" s="532"/>
      <c r="AA25" s="532"/>
      <c r="AB25" s="532"/>
      <c r="AC25" s="532"/>
      <c r="AD25" s="532"/>
      <c r="AE25" s="532"/>
      <c r="AF25" s="532"/>
      <c r="AG25" s="532"/>
      <c r="AH25" s="532"/>
      <c r="AI25" s="532"/>
      <c r="AJ25" s="534"/>
      <c r="AK25" s="532"/>
      <c r="AL25" s="532"/>
      <c r="AM25" s="532"/>
      <c r="AN25" s="535">
        <f t="shared" si="0"/>
        <v>0</v>
      </c>
      <c r="AO25" s="532"/>
      <c r="AP25" s="519">
        <f t="shared" si="1"/>
        <v>0</v>
      </c>
    </row>
    <row r="26" spans="2:42">
      <c r="B26" s="532" t="s">
        <v>901</v>
      </c>
      <c r="C26" s="532" t="s">
        <v>895</v>
      </c>
      <c r="D26" s="532" t="s">
        <v>896</v>
      </c>
      <c r="E26" s="532">
        <v>1</v>
      </c>
      <c r="F26" s="532"/>
      <c r="G26" s="533"/>
      <c r="H26" s="532"/>
      <c r="I26" s="532"/>
      <c r="J26" s="517"/>
      <c r="K26" s="517"/>
      <c r="L26" s="532"/>
      <c r="M26" s="532"/>
      <c r="N26" s="532"/>
      <c r="O26" s="532"/>
      <c r="P26" s="532"/>
      <c r="Q26" s="532"/>
      <c r="R26" s="532"/>
      <c r="S26" s="517"/>
      <c r="T26" s="517"/>
      <c r="U26" s="517"/>
      <c r="V26" s="517"/>
      <c r="W26" s="538"/>
      <c r="X26" s="532"/>
      <c r="Y26" s="532"/>
      <c r="Z26" s="532"/>
      <c r="AA26" s="532"/>
      <c r="AB26" s="532"/>
      <c r="AC26" s="532"/>
      <c r="AD26" s="532"/>
      <c r="AE26" s="532"/>
      <c r="AF26" s="532"/>
      <c r="AG26" s="532"/>
      <c r="AH26" s="532"/>
      <c r="AI26" s="532"/>
      <c r="AJ26" s="534"/>
      <c r="AK26" s="532"/>
      <c r="AL26" s="532"/>
      <c r="AM26" s="532"/>
      <c r="AN26" s="535">
        <f t="shared" si="0"/>
        <v>0</v>
      </c>
      <c r="AO26" s="532"/>
      <c r="AP26" s="519">
        <f t="shared" si="1"/>
        <v>0</v>
      </c>
    </row>
    <row r="27" spans="2:42">
      <c r="B27" s="532" t="s">
        <v>901</v>
      </c>
      <c r="C27" s="532" t="s">
        <v>895</v>
      </c>
      <c r="D27" s="532" t="s">
        <v>896</v>
      </c>
      <c r="E27" s="532">
        <v>1</v>
      </c>
      <c r="F27" s="532"/>
      <c r="G27" s="533" t="s">
        <v>902</v>
      </c>
      <c r="H27" s="532"/>
      <c r="I27" s="532"/>
      <c r="J27" s="536">
        <f>$J$6*$E27</f>
        <v>34</v>
      </c>
      <c r="K27" s="536">
        <f>$K$6*$E27</f>
        <v>11</v>
      </c>
      <c r="L27" s="540"/>
      <c r="M27" s="540"/>
      <c r="N27" s="540"/>
      <c r="O27" s="540"/>
      <c r="P27" s="532"/>
      <c r="Q27" s="532"/>
      <c r="R27" s="536">
        <f>$R$6*$E27</f>
        <v>20</v>
      </c>
      <c r="S27" s="536">
        <f>$S$6*$E27</f>
        <v>12</v>
      </c>
      <c r="T27" s="536">
        <f>$T$6*$E27</f>
        <v>15</v>
      </c>
      <c r="U27" s="536">
        <f>$U$6*$E27</f>
        <v>12</v>
      </c>
      <c r="V27" s="536">
        <f>$V$6*$E27</f>
        <v>32</v>
      </c>
      <c r="W27" s="538"/>
      <c r="X27" s="532"/>
      <c r="Y27" s="532"/>
      <c r="Z27" s="532"/>
      <c r="AA27" s="532"/>
      <c r="AB27" s="532"/>
      <c r="AC27" s="532"/>
      <c r="AD27" s="532"/>
      <c r="AE27" s="532"/>
      <c r="AF27" s="532"/>
      <c r="AG27" s="532"/>
      <c r="AH27" s="532"/>
      <c r="AI27" s="532"/>
      <c r="AJ27" s="534"/>
      <c r="AK27" s="536">
        <f>$AD$6*$E27</f>
        <v>105</v>
      </c>
      <c r="AL27" s="536">
        <f>$AF$6*$E27</f>
        <v>26</v>
      </c>
      <c r="AM27" s="532"/>
      <c r="AN27" s="535">
        <f t="shared" si="0"/>
        <v>0</v>
      </c>
      <c r="AO27" s="532"/>
      <c r="AP27" s="519">
        <f t="shared" si="1"/>
        <v>267</v>
      </c>
    </row>
    <row r="28" spans="2:42">
      <c r="B28" s="532" t="s">
        <v>901</v>
      </c>
      <c r="C28" s="532" t="s">
        <v>895</v>
      </c>
      <c r="D28" s="532" t="s">
        <v>896</v>
      </c>
      <c r="E28" s="532">
        <v>1</v>
      </c>
      <c r="F28" s="532"/>
      <c r="G28" s="533" t="s">
        <v>903</v>
      </c>
      <c r="H28" s="532"/>
      <c r="I28" s="532"/>
      <c r="J28" s="536">
        <f>$J$6*$E28</f>
        <v>34</v>
      </c>
      <c r="K28" s="536">
        <f>$K$6*$E28</f>
        <v>11</v>
      </c>
      <c r="L28" s="540"/>
      <c r="M28" s="540"/>
      <c r="N28" s="540"/>
      <c r="O28" s="540"/>
      <c r="P28" s="532"/>
      <c r="Q28" s="532"/>
      <c r="R28" s="536">
        <f>$R$6*$E28</f>
        <v>20</v>
      </c>
      <c r="S28" s="536">
        <f>$S$6*$E28</f>
        <v>12</v>
      </c>
      <c r="T28" s="536">
        <f>$T$6*$E28</f>
        <v>15</v>
      </c>
      <c r="U28" s="536">
        <f>$U$6*$E28</f>
        <v>12</v>
      </c>
      <c r="V28" s="536">
        <f>$V$6*$E28</f>
        <v>32</v>
      </c>
      <c r="W28" s="538"/>
      <c r="X28" s="532"/>
      <c r="Y28" s="532"/>
      <c r="Z28" s="532"/>
      <c r="AA28" s="532"/>
      <c r="AB28" s="532"/>
      <c r="AC28" s="532"/>
      <c r="AD28" s="532"/>
      <c r="AE28" s="532"/>
      <c r="AF28" s="532"/>
      <c r="AG28" s="532"/>
      <c r="AH28" s="532"/>
      <c r="AI28" s="532"/>
      <c r="AJ28" s="534"/>
      <c r="AK28" s="532"/>
      <c r="AL28" s="532"/>
      <c r="AM28" s="532"/>
      <c r="AN28" s="535">
        <f t="shared" si="0"/>
        <v>0</v>
      </c>
      <c r="AO28" s="532"/>
      <c r="AP28" s="519">
        <f t="shared" si="1"/>
        <v>136</v>
      </c>
    </row>
    <row r="29" spans="2:42">
      <c r="B29" s="532" t="s">
        <v>901</v>
      </c>
      <c r="C29" s="532" t="s">
        <v>895</v>
      </c>
      <c r="D29" s="532" t="s">
        <v>898</v>
      </c>
      <c r="E29" s="532">
        <v>1</v>
      </c>
      <c r="F29" s="532"/>
      <c r="G29" s="533"/>
      <c r="H29" s="532"/>
      <c r="I29" s="532"/>
      <c r="J29" s="532"/>
      <c r="K29" s="532"/>
      <c r="L29" s="532"/>
      <c r="M29" s="532"/>
      <c r="N29" s="532"/>
      <c r="O29" s="532"/>
      <c r="P29" s="532"/>
      <c r="Q29" s="532"/>
      <c r="R29" s="532"/>
      <c r="S29" s="532"/>
      <c r="T29" s="532"/>
      <c r="U29" s="532"/>
      <c r="V29" s="532"/>
      <c r="W29" s="538"/>
      <c r="X29" s="532"/>
      <c r="Y29" s="532"/>
      <c r="Z29" s="532"/>
      <c r="AA29" s="532"/>
      <c r="AB29" s="532"/>
      <c r="AC29" s="532"/>
      <c r="AD29" s="532"/>
      <c r="AE29" s="532"/>
      <c r="AF29" s="532"/>
      <c r="AG29" s="532"/>
      <c r="AH29" s="532"/>
      <c r="AI29" s="532"/>
      <c r="AJ29" s="534"/>
      <c r="AK29" s="532"/>
      <c r="AL29" s="532"/>
      <c r="AM29" s="532"/>
      <c r="AN29" s="535">
        <f t="shared" si="0"/>
        <v>0</v>
      </c>
      <c r="AO29" s="532"/>
      <c r="AP29" s="519">
        <f t="shared" si="1"/>
        <v>0</v>
      </c>
    </row>
    <row r="30" spans="2:42">
      <c r="B30" s="532" t="s">
        <v>901</v>
      </c>
      <c r="C30" s="532" t="s">
        <v>895</v>
      </c>
      <c r="D30" s="532" t="s">
        <v>898</v>
      </c>
      <c r="E30" s="532">
        <v>1</v>
      </c>
      <c r="F30" s="532"/>
      <c r="G30" s="533"/>
      <c r="H30" s="532"/>
      <c r="I30" s="532"/>
      <c r="J30" s="532"/>
      <c r="K30" s="532"/>
      <c r="L30" s="532"/>
      <c r="M30" s="532"/>
      <c r="N30" s="532"/>
      <c r="O30" s="532"/>
      <c r="P30" s="532"/>
      <c r="Q30" s="532"/>
      <c r="R30" s="536">
        <f>$R$6*$E30</f>
        <v>20</v>
      </c>
      <c r="S30" s="532"/>
      <c r="T30" s="532"/>
      <c r="U30" s="532"/>
      <c r="V30" s="532"/>
      <c r="W30" s="538"/>
      <c r="X30" s="536">
        <f>$X$6*$E30</f>
        <v>26</v>
      </c>
      <c r="Y30" s="532"/>
      <c r="Z30" s="536">
        <f>$Z$6*$E30</f>
        <v>26</v>
      </c>
      <c r="AA30" s="536"/>
      <c r="AB30" s="536"/>
      <c r="AC30" s="532"/>
      <c r="AD30" s="532"/>
      <c r="AE30" s="532"/>
      <c r="AF30" s="532"/>
      <c r="AG30" s="532"/>
      <c r="AH30" s="532"/>
      <c r="AI30" s="532"/>
      <c r="AJ30" s="534"/>
      <c r="AK30" s="532"/>
      <c r="AL30" s="532"/>
      <c r="AM30" s="532"/>
      <c r="AN30" s="535">
        <f t="shared" si="0"/>
        <v>0</v>
      </c>
      <c r="AO30" s="532"/>
      <c r="AP30" s="519">
        <f t="shared" si="1"/>
        <v>72</v>
      </c>
    </row>
    <row r="31" spans="2:42">
      <c r="B31" s="532" t="s">
        <v>901</v>
      </c>
      <c r="C31" s="532" t="s">
        <v>895</v>
      </c>
      <c r="D31" s="532" t="s">
        <v>899</v>
      </c>
      <c r="E31" s="532">
        <v>1</v>
      </c>
      <c r="F31" s="532">
        <v>6</v>
      </c>
      <c r="G31" s="533"/>
      <c r="H31" s="532"/>
      <c r="I31" s="532"/>
      <c r="J31" s="532"/>
      <c r="K31" s="532"/>
      <c r="L31" s="532"/>
      <c r="M31" s="532"/>
      <c r="N31" s="532"/>
      <c r="O31" s="532"/>
      <c r="P31" s="532"/>
      <c r="Q31" s="532"/>
      <c r="R31" s="532"/>
      <c r="S31" s="532"/>
      <c r="T31" s="532"/>
      <c r="U31" s="532"/>
      <c r="V31" s="532"/>
      <c r="W31" s="538"/>
      <c r="X31" s="532"/>
      <c r="Y31" s="532"/>
      <c r="Z31" s="532"/>
      <c r="AA31" s="532"/>
      <c r="AB31" s="532"/>
      <c r="AC31" s="532"/>
      <c r="AD31" s="532"/>
      <c r="AE31" s="532"/>
      <c r="AF31" s="532"/>
      <c r="AG31" s="532"/>
      <c r="AH31" s="532"/>
      <c r="AI31" s="532"/>
      <c r="AJ31" s="534"/>
      <c r="AK31" s="532"/>
      <c r="AL31" s="532"/>
      <c r="AM31" s="532"/>
      <c r="AN31" s="535">
        <f t="shared" si="0"/>
        <v>18</v>
      </c>
      <c r="AO31" s="532"/>
      <c r="AP31" s="519">
        <f t="shared" si="1"/>
        <v>18</v>
      </c>
    </row>
    <row r="32" spans="2:42">
      <c r="B32" s="532" t="s">
        <v>901</v>
      </c>
      <c r="C32" s="532" t="s">
        <v>895</v>
      </c>
      <c r="D32" s="532" t="s">
        <v>899</v>
      </c>
      <c r="E32" s="532">
        <v>1</v>
      </c>
      <c r="F32" s="532"/>
      <c r="G32" s="533"/>
      <c r="H32" s="532"/>
      <c r="I32" s="532"/>
      <c r="J32" s="532"/>
      <c r="K32" s="532"/>
      <c r="L32" s="532"/>
      <c r="M32" s="532"/>
      <c r="N32" s="532"/>
      <c r="O32" s="532"/>
      <c r="P32" s="532"/>
      <c r="Q32" s="532"/>
      <c r="R32" s="532"/>
      <c r="S32" s="532"/>
      <c r="T32" s="532"/>
      <c r="U32" s="532"/>
      <c r="V32" s="532"/>
      <c r="W32" s="538"/>
      <c r="X32" s="532"/>
      <c r="Y32" s="532"/>
      <c r="Z32" s="532"/>
      <c r="AA32" s="532"/>
      <c r="AB32" s="532"/>
      <c r="AC32" s="532"/>
      <c r="AD32" s="532"/>
      <c r="AE32" s="532"/>
      <c r="AF32" s="532"/>
      <c r="AG32" s="532"/>
      <c r="AH32" s="532"/>
      <c r="AI32" s="532"/>
      <c r="AJ32" s="534"/>
      <c r="AK32" s="532"/>
      <c r="AL32" s="532"/>
      <c r="AM32" s="532"/>
      <c r="AN32" s="535">
        <f t="shared" si="0"/>
        <v>0</v>
      </c>
      <c r="AO32" s="532"/>
      <c r="AP32" s="519">
        <f t="shared" si="1"/>
        <v>0</v>
      </c>
    </row>
    <row r="33" spans="2:42">
      <c r="B33" s="534"/>
      <c r="C33" s="534"/>
      <c r="D33" s="534"/>
      <c r="E33" s="534"/>
      <c r="F33" s="534"/>
      <c r="G33" s="533"/>
      <c r="H33" s="534"/>
      <c r="I33" s="534"/>
      <c r="J33" s="534"/>
      <c r="K33" s="534"/>
      <c r="L33" s="534"/>
      <c r="M33" s="534"/>
      <c r="N33" s="534"/>
      <c r="O33" s="534"/>
      <c r="P33" s="534"/>
      <c r="Q33" s="534"/>
      <c r="R33" s="534"/>
      <c r="S33" s="534"/>
      <c r="T33" s="534"/>
      <c r="U33" s="534"/>
      <c r="V33" s="534"/>
      <c r="W33" s="534"/>
      <c r="X33" s="534"/>
      <c r="Y33" s="534"/>
      <c r="Z33" s="534"/>
      <c r="AA33" s="534"/>
      <c r="AB33" s="534"/>
      <c r="AC33" s="534"/>
      <c r="AD33" s="534"/>
      <c r="AE33" s="534"/>
      <c r="AF33" s="534"/>
      <c r="AG33" s="534"/>
      <c r="AH33" s="534"/>
      <c r="AI33" s="534"/>
      <c r="AJ33" s="534"/>
      <c r="AK33" s="534"/>
      <c r="AL33" s="534"/>
      <c r="AM33" s="532"/>
      <c r="AN33" s="535">
        <f t="shared" si="0"/>
        <v>0</v>
      </c>
      <c r="AO33" s="532"/>
      <c r="AP33" s="519">
        <f t="shared" si="1"/>
        <v>0</v>
      </c>
    </row>
    <row r="34" spans="2:42">
      <c r="B34" s="532" t="s">
        <v>904</v>
      </c>
      <c r="C34" s="532" t="s">
        <v>895</v>
      </c>
      <c r="D34" s="532" t="s">
        <v>896</v>
      </c>
      <c r="E34" s="532">
        <v>2</v>
      </c>
      <c r="F34" s="532"/>
      <c r="G34" s="533" t="s">
        <v>905</v>
      </c>
      <c r="H34" s="536">
        <f>$H$6*E34</f>
        <v>86</v>
      </c>
      <c r="I34" s="532"/>
      <c r="J34" s="532"/>
      <c r="K34" s="532"/>
      <c r="L34" s="532"/>
      <c r="M34" s="532"/>
      <c r="N34" s="532"/>
      <c r="O34" s="532"/>
      <c r="P34" s="532"/>
      <c r="Q34" s="532"/>
      <c r="R34" s="536">
        <f>$R$6*$E34</f>
        <v>40</v>
      </c>
      <c r="S34" s="532"/>
      <c r="T34" s="536">
        <f>$U$6*$E34</f>
        <v>24</v>
      </c>
      <c r="U34" s="536">
        <f>$V$6*$E34</f>
        <v>64</v>
      </c>
      <c r="V34" s="536">
        <f>$W$6*$E34</f>
        <v>90</v>
      </c>
      <c r="W34" s="536">
        <f>$X$6*$E34</f>
        <v>52</v>
      </c>
      <c r="X34" s="517"/>
      <c r="Y34" s="517"/>
      <c r="Z34" s="517"/>
      <c r="AA34" s="517"/>
      <c r="AB34" s="517"/>
      <c r="AC34" s="532"/>
      <c r="AD34" s="532"/>
      <c r="AE34" s="532"/>
      <c r="AF34" s="532"/>
      <c r="AG34" s="532"/>
      <c r="AH34" s="532"/>
      <c r="AI34" s="532"/>
      <c r="AJ34" s="534"/>
      <c r="AK34" s="532"/>
      <c r="AL34" s="532"/>
      <c r="AM34" s="532"/>
      <c r="AN34" s="535">
        <f t="shared" si="0"/>
        <v>0</v>
      </c>
      <c r="AO34" s="532"/>
      <c r="AP34" s="519">
        <f t="shared" si="1"/>
        <v>356</v>
      </c>
    </row>
    <row r="35" spans="2:42">
      <c r="B35" s="532" t="s">
        <v>904</v>
      </c>
      <c r="C35" s="532" t="s">
        <v>895</v>
      </c>
      <c r="D35" s="532" t="s">
        <v>896</v>
      </c>
      <c r="E35" s="532">
        <v>1</v>
      </c>
      <c r="F35" s="532"/>
      <c r="G35" s="533"/>
      <c r="H35" s="532"/>
      <c r="I35" s="532"/>
      <c r="J35" s="532"/>
      <c r="K35" s="532"/>
      <c r="L35" s="532"/>
      <c r="M35" s="532"/>
      <c r="N35" s="532"/>
      <c r="O35" s="532"/>
      <c r="P35" s="532"/>
      <c r="Q35" s="532"/>
      <c r="R35" s="536">
        <f>$R$6*$E35</f>
        <v>20</v>
      </c>
      <c r="S35" s="532"/>
      <c r="T35" s="532"/>
      <c r="U35" s="532"/>
      <c r="V35" s="532"/>
      <c r="W35" s="538"/>
      <c r="X35" s="536">
        <f>$Y$6*$E35</f>
        <v>40</v>
      </c>
      <c r="Y35" s="536">
        <f>$Z$6*$E35</f>
        <v>26</v>
      </c>
      <c r="Z35" s="536">
        <f>$Z$6*$E35</f>
        <v>26</v>
      </c>
      <c r="AA35" s="536"/>
      <c r="AB35" s="536"/>
      <c r="AC35" s="532"/>
      <c r="AD35" s="532"/>
      <c r="AE35" s="532"/>
      <c r="AF35" s="532"/>
      <c r="AG35" s="532"/>
      <c r="AH35" s="532"/>
      <c r="AI35" s="532"/>
      <c r="AJ35" s="534"/>
      <c r="AK35" s="532"/>
      <c r="AL35" s="532"/>
      <c r="AM35" s="532"/>
      <c r="AN35" s="535">
        <f t="shared" si="0"/>
        <v>0</v>
      </c>
      <c r="AO35" s="532"/>
      <c r="AP35" s="519">
        <f t="shared" si="1"/>
        <v>112</v>
      </c>
    </row>
    <row r="36" spans="2:42">
      <c r="B36" s="532" t="s">
        <v>904</v>
      </c>
      <c r="C36" s="532" t="s">
        <v>895</v>
      </c>
      <c r="D36" s="532" t="s">
        <v>898</v>
      </c>
      <c r="E36" s="532">
        <v>1</v>
      </c>
      <c r="F36" s="532">
        <v>4</v>
      </c>
      <c r="G36" s="533"/>
      <c r="H36" s="532"/>
      <c r="I36" s="532"/>
      <c r="J36" s="532"/>
      <c r="K36" s="532"/>
      <c r="L36" s="532"/>
      <c r="M36" s="532"/>
      <c r="N36" s="532"/>
      <c r="O36" s="532"/>
      <c r="P36" s="532"/>
      <c r="Q36" s="532"/>
      <c r="R36" s="532"/>
      <c r="S36" s="532"/>
      <c r="T36" s="532"/>
      <c r="U36" s="532"/>
      <c r="V36" s="532"/>
      <c r="W36" s="538"/>
      <c r="X36" s="532"/>
      <c r="Y36" s="517"/>
      <c r="Z36" s="517"/>
      <c r="AA36" s="517"/>
      <c r="AB36" s="517"/>
      <c r="AC36" s="532"/>
      <c r="AD36" s="532"/>
      <c r="AE36" s="532"/>
      <c r="AF36" s="532"/>
      <c r="AG36" s="532"/>
      <c r="AH36" s="532"/>
      <c r="AI36" s="532"/>
      <c r="AJ36" s="534"/>
      <c r="AK36" s="532"/>
      <c r="AL36" s="532"/>
      <c r="AM36" s="532"/>
      <c r="AN36" s="535">
        <f t="shared" si="0"/>
        <v>12</v>
      </c>
      <c r="AO36" s="532"/>
      <c r="AP36" s="519">
        <f t="shared" si="1"/>
        <v>12</v>
      </c>
    </row>
    <row r="37" spans="2:42">
      <c r="B37" s="532" t="s">
        <v>904</v>
      </c>
      <c r="C37" s="532" t="s">
        <v>895</v>
      </c>
      <c r="D37" s="532" t="s">
        <v>898</v>
      </c>
      <c r="E37" s="532">
        <v>1</v>
      </c>
      <c r="F37" s="532"/>
      <c r="G37" s="533"/>
      <c r="H37" s="532"/>
      <c r="I37" s="532"/>
      <c r="J37" s="532"/>
      <c r="K37" s="532"/>
      <c r="L37" s="532"/>
      <c r="M37" s="532"/>
      <c r="N37" s="532"/>
      <c r="O37" s="532"/>
      <c r="P37" s="532"/>
      <c r="Q37" s="532"/>
      <c r="R37" s="532"/>
      <c r="S37" s="532"/>
      <c r="T37" s="532"/>
      <c r="U37" s="532"/>
      <c r="V37" s="532"/>
      <c r="W37" s="538"/>
      <c r="X37" s="532"/>
      <c r="Y37" s="532"/>
      <c r="Z37" s="532"/>
      <c r="AA37" s="532"/>
      <c r="AB37" s="532"/>
      <c r="AC37" s="532"/>
      <c r="AD37" s="532"/>
      <c r="AE37" s="532"/>
      <c r="AF37" s="532"/>
      <c r="AG37" s="532"/>
      <c r="AH37" s="532"/>
      <c r="AI37" s="532"/>
      <c r="AJ37" s="534"/>
      <c r="AK37" s="532"/>
      <c r="AL37" s="532"/>
      <c r="AM37" s="532"/>
      <c r="AN37" s="535">
        <f t="shared" si="0"/>
        <v>0</v>
      </c>
      <c r="AO37" s="532"/>
      <c r="AP37" s="519">
        <f t="shared" si="1"/>
        <v>0</v>
      </c>
    </row>
    <row r="38" spans="2:42">
      <c r="B38" s="532" t="s">
        <v>904</v>
      </c>
      <c r="C38" s="532" t="s">
        <v>895</v>
      </c>
      <c r="D38" s="532" t="s">
        <v>899</v>
      </c>
      <c r="E38" s="532">
        <v>1</v>
      </c>
      <c r="F38" s="532"/>
      <c r="G38" s="533"/>
      <c r="H38" s="532"/>
      <c r="I38" s="532"/>
      <c r="J38" s="532"/>
      <c r="K38" s="532"/>
      <c r="L38" s="532"/>
      <c r="M38" s="532"/>
      <c r="N38" s="532"/>
      <c r="O38" s="532"/>
      <c r="P38" s="532"/>
      <c r="Q38" s="532"/>
      <c r="R38" s="532"/>
      <c r="S38" s="532"/>
      <c r="T38" s="532"/>
      <c r="U38" s="532"/>
      <c r="V38" s="532"/>
      <c r="W38" s="538"/>
      <c r="X38" s="532"/>
      <c r="Y38" s="532"/>
      <c r="Z38" s="532"/>
      <c r="AA38" s="532"/>
      <c r="AB38" s="532"/>
      <c r="AC38" s="532"/>
      <c r="AD38" s="532"/>
      <c r="AE38" s="532"/>
      <c r="AF38" s="532"/>
      <c r="AG38" s="532"/>
      <c r="AH38" s="532"/>
      <c r="AI38" s="532"/>
      <c r="AJ38" s="534"/>
      <c r="AK38" s="532"/>
      <c r="AL38" s="532"/>
      <c r="AM38" s="532"/>
      <c r="AN38" s="535">
        <f t="shared" si="0"/>
        <v>0</v>
      </c>
      <c r="AO38" s="532"/>
      <c r="AP38" s="519">
        <f t="shared" si="1"/>
        <v>0</v>
      </c>
    </row>
    <row r="39" spans="2:42">
      <c r="B39" s="532" t="s">
        <v>904</v>
      </c>
      <c r="C39" s="532" t="s">
        <v>895</v>
      </c>
      <c r="D39" s="532" t="s">
        <v>899</v>
      </c>
      <c r="E39" s="532">
        <v>1</v>
      </c>
      <c r="F39" s="532"/>
      <c r="G39" s="533"/>
      <c r="H39" s="532"/>
      <c r="I39" s="532"/>
      <c r="J39" s="532"/>
      <c r="K39" s="532"/>
      <c r="L39" s="532"/>
      <c r="M39" s="532"/>
      <c r="N39" s="532"/>
      <c r="O39" s="532"/>
      <c r="P39" s="532"/>
      <c r="Q39" s="532"/>
      <c r="R39" s="532"/>
      <c r="S39" s="532"/>
      <c r="T39" s="532"/>
      <c r="U39" s="532"/>
      <c r="V39" s="532"/>
      <c r="W39" s="538"/>
      <c r="X39" s="532"/>
      <c r="Y39" s="532"/>
      <c r="Z39" s="532"/>
      <c r="AA39" s="532"/>
      <c r="AB39" s="532"/>
      <c r="AC39" s="532"/>
      <c r="AD39" s="532"/>
      <c r="AE39" s="532"/>
      <c r="AF39" s="532"/>
      <c r="AG39" s="532"/>
      <c r="AH39" s="532"/>
      <c r="AI39" s="532"/>
      <c r="AJ39" s="534"/>
      <c r="AK39" s="532"/>
      <c r="AL39" s="532"/>
      <c r="AM39" s="532"/>
      <c r="AN39" s="535">
        <f t="shared" si="0"/>
        <v>0</v>
      </c>
      <c r="AO39" s="532"/>
      <c r="AP39" s="519">
        <f t="shared" si="1"/>
        <v>0</v>
      </c>
    </row>
    <row r="40" spans="2:42">
      <c r="B40" s="534"/>
      <c r="C40" s="534"/>
      <c r="D40" s="534"/>
      <c r="E40" s="534"/>
      <c r="F40" s="534"/>
      <c r="G40" s="533"/>
      <c r="H40" s="534"/>
      <c r="I40" s="534"/>
      <c r="J40" s="534"/>
      <c r="K40" s="534"/>
      <c r="L40" s="534"/>
      <c r="M40" s="534"/>
      <c r="N40" s="534"/>
      <c r="O40" s="534"/>
      <c r="P40" s="534"/>
      <c r="Q40" s="534"/>
      <c r="R40" s="534"/>
      <c r="S40" s="534"/>
      <c r="T40" s="534"/>
      <c r="U40" s="534"/>
      <c r="V40" s="534"/>
      <c r="W40" s="534"/>
      <c r="X40" s="534"/>
      <c r="Y40" s="534"/>
      <c r="Z40" s="534"/>
      <c r="AA40" s="534"/>
      <c r="AB40" s="534"/>
      <c r="AC40" s="534"/>
      <c r="AD40" s="534"/>
      <c r="AE40" s="534"/>
      <c r="AF40" s="534"/>
      <c r="AG40" s="534"/>
      <c r="AH40" s="534"/>
      <c r="AI40" s="534"/>
      <c r="AJ40" s="534"/>
      <c r="AK40" s="534"/>
      <c r="AL40" s="534"/>
      <c r="AM40" s="532"/>
      <c r="AN40" s="535">
        <f t="shared" si="0"/>
        <v>0</v>
      </c>
      <c r="AO40" s="532"/>
      <c r="AP40" s="519">
        <f t="shared" si="1"/>
        <v>0</v>
      </c>
    </row>
    <row r="41" spans="2:42">
      <c r="B41" s="532" t="s">
        <v>906</v>
      </c>
      <c r="C41" s="532" t="s">
        <v>895</v>
      </c>
      <c r="D41" s="532" t="s">
        <v>896</v>
      </c>
      <c r="E41" s="532">
        <v>3</v>
      </c>
      <c r="F41" s="532"/>
      <c r="G41" s="533" t="s">
        <v>907</v>
      </c>
      <c r="H41" s="532"/>
      <c r="I41" s="536">
        <f>$I$6*$E41</f>
        <v>129</v>
      </c>
      <c r="J41" s="532"/>
      <c r="K41" s="532"/>
      <c r="L41" s="532"/>
      <c r="M41" s="532"/>
      <c r="N41" s="532"/>
      <c r="O41" s="532"/>
      <c r="P41" s="532"/>
      <c r="Q41" s="532"/>
      <c r="R41" s="532"/>
      <c r="S41" s="532"/>
      <c r="T41" s="532"/>
      <c r="U41" s="532"/>
      <c r="V41" s="532"/>
      <c r="W41" s="538"/>
      <c r="X41" s="532"/>
      <c r="Y41" s="532"/>
      <c r="Z41" s="532"/>
      <c r="AA41" s="532"/>
      <c r="AB41" s="532"/>
      <c r="AC41" s="532"/>
      <c r="AD41" s="532"/>
      <c r="AE41" s="532"/>
      <c r="AF41" s="532"/>
      <c r="AG41" s="532"/>
      <c r="AH41" s="532"/>
      <c r="AI41" s="532"/>
      <c r="AJ41" s="534"/>
      <c r="AK41" s="532"/>
      <c r="AL41" s="532"/>
      <c r="AM41" s="532"/>
      <c r="AN41" s="535">
        <f t="shared" si="0"/>
        <v>0</v>
      </c>
      <c r="AO41" s="532"/>
      <c r="AP41" s="519">
        <f t="shared" si="1"/>
        <v>129</v>
      </c>
    </row>
    <row r="42" spans="2:42">
      <c r="B42" s="532" t="s">
        <v>906</v>
      </c>
      <c r="C42" s="532" t="s">
        <v>895</v>
      </c>
      <c r="D42" s="532" t="s">
        <v>896</v>
      </c>
      <c r="E42" s="532">
        <v>2</v>
      </c>
      <c r="F42" s="532"/>
      <c r="G42" s="533"/>
      <c r="H42" s="532"/>
      <c r="I42" s="532"/>
      <c r="J42" s="532"/>
      <c r="K42" s="532"/>
      <c r="L42" s="532"/>
      <c r="M42" s="532"/>
      <c r="N42" s="532"/>
      <c r="O42" s="532"/>
      <c r="P42" s="532"/>
      <c r="Q42" s="532"/>
      <c r="R42" s="536">
        <f>$R$6*$E42</f>
        <v>40</v>
      </c>
      <c r="S42" s="536">
        <f>$S$6*$E42</f>
        <v>24</v>
      </c>
      <c r="T42" s="536">
        <f>$T$6*$E42</f>
        <v>30</v>
      </c>
      <c r="U42" s="536">
        <f>$U$6*$E42</f>
        <v>24</v>
      </c>
      <c r="V42" s="536">
        <f>$V$6*$E42</f>
        <v>64</v>
      </c>
      <c r="W42" s="538"/>
      <c r="X42" s="532"/>
      <c r="Y42" s="532"/>
      <c r="Z42" s="532"/>
      <c r="AA42" s="517"/>
      <c r="AB42" s="517"/>
      <c r="AC42" s="532"/>
      <c r="AD42" s="532"/>
      <c r="AE42" s="536">
        <f>$AE$6*$E42</f>
        <v>70</v>
      </c>
      <c r="AF42" s="532"/>
      <c r="AG42" s="532"/>
      <c r="AH42" s="532"/>
      <c r="AI42" s="532"/>
      <c r="AJ42" s="534"/>
      <c r="AK42" s="532"/>
      <c r="AL42" s="532"/>
      <c r="AM42" s="532"/>
      <c r="AN42" s="535">
        <f t="shared" si="0"/>
        <v>0</v>
      </c>
      <c r="AO42" s="532"/>
      <c r="AP42" s="519">
        <f t="shared" si="1"/>
        <v>252</v>
      </c>
    </row>
    <row r="43" spans="2:42">
      <c r="B43" s="532" t="s">
        <v>906</v>
      </c>
      <c r="C43" s="532" t="s">
        <v>895</v>
      </c>
      <c r="D43" s="532" t="s">
        <v>896</v>
      </c>
      <c r="E43" s="532">
        <v>1</v>
      </c>
      <c r="F43" s="532"/>
      <c r="G43" s="533"/>
      <c r="H43" s="532"/>
      <c r="I43" s="532"/>
      <c r="J43" s="532"/>
      <c r="K43" s="532"/>
      <c r="L43" s="532"/>
      <c r="M43" s="532"/>
      <c r="N43" s="532"/>
      <c r="O43" s="532"/>
      <c r="P43" s="532"/>
      <c r="Q43" s="532"/>
      <c r="R43" s="536">
        <f>$R$6*$E43</f>
        <v>20</v>
      </c>
      <c r="S43" s="517"/>
      <c r="T43" s="517"/>
      <c r="U43" s="517"/>
      <c r="V43" s="517"/>
      <c r="W43" s="538"/>
      <c r="X43" s="532"/>
      <c r="Y43" s="532"/>
      <c r="Z43" s="532"/>
      <c r="AA43" s="536">
        <f>$AA$6*$E43</f>
        <v>15</v>
      </c>
      <c r="AB43" s="536">
        <f>$AB$6*$E43</f>
        <v>25</v>
      </c>
      <c r="AC43" s="532"/>
      <c r="AD43" s="532"/>
      <c r="AE43" s="517"/>
      <c r="AF43" s="532"/>
      <c r="AG43" s="532"/>
      <c r="AH43" s="532"/>
      <c r="AI43" s="532"/>
      <c r="AJ43" s="534"/>
      <c r="AK43" s="532"/>
      <c r="AL43" s="532"/>
      <c r="AM43" s="532"/>
      <c r="AN43" s="535">
        <f t="shared" si="0"/>
        <v>0</v>
      </c>
      <c r="AO43" s="532"/>
      <c r="AP43" s="519">
        <f t="shared" si="1"/>
        <v>60</v>
      </c>
    </row>
    <row r="44" spans="2:42">
      <c r="B44" s="532" t="s">
        <v>906</v>
      </c>
      <c r="C44" s="532" t="s">
        <v>895</v>
      </c>
      <c r="D44" s="532" t="s">
        <v>898</v>
      </c>
      <c r="E44" s="532">
        <v>1</v>
      </c>
      <c r="F44" s="532"/>
      <c r="G44" s="533"/>
      <c r="H44" s="532"/>
      <c r="I44" s="532"/>
      <c r="J44" s="532"/>
      <c r="K44" s="532"/>
      <c r="L44" s="532"/>
      <c r="M44" s="532"/>
      <c r="N44" s="532"/>
      <c r="O44" s="532"/>
      <c r="P44" s="532"/>
      <c r="Q44" s="532"/>
      <c r="R44" s="536">
        <f>$R$6*$E44</f>
        <v>20</v>
      </c>
      <c r="S44" s="532"/>
      <c r="T44" s="532"/>
      <c r="U44" s="532"/>
      <c r="V44" s="532"/>
      <c r="W44" s="538"/>
      <c r="X44" s="532"/>
      <c r="Y44" s="532"/>
      <c r="Z44" s="532"/>
      <c r="AA44" s="536">
        <f>$AA$6*$E44</f>
        <v>15</v>
      </c>
      <c r="AB44" s="536">
        <f>$AB$6*$E44</f>
        <v>25</v>
      </c>
      <c r="AC44" s="532"/>
      <c r="AD44" s="532"/>
      <c r="AE44" s="532"/>
      <c r="AF44" s="532"/>
      <c r="AG44" s="532"/>
      <c r="AH44" s="532"/>
      <c r="AI44" s="532"/>
      <c r="AJ44" s="534"/>
      <c r="AK44" s="532"/>
      <c r="AL44" s="532"/>
      <c r="AM44" s="532"/>
      <c r="AN44" s="535">
        <f t="shared" si="0"/>
        <v>0</v>
      </c>
      <c r="AO44" s="532"/>
      <c r="AP44" s="519">
        <f t="shared" si="1"/>
        <v>60</v>
      </c>
    </row>
    <row r="45" spans="2:42">
      <c r="B45" s="532" t="s">
        <v>906</v>
      </c>
      <c r="C45" s="532" t="s">
        <v>895</v>
      </c>
      <c r="D45" s="532" t="s">
        <v>898</v>
      </c>
      <c r="E45" s="532">
        <v>1</v>
      </c>
      <c r="F45" s="532"/>
      <c r="G45" s="533"/>
      <c r="H45" s="532"/>
      <c r="I45" s="532"/>
      <c r="J45" s="532"/>
      <c r="K45" s="532"/>
      <c r="L45" s="532"/>
      <c r="M45" s="532"/>
      <c r="N45" s="532"/>
      <c r="O45" s="532"/>
      <c r="P45" s="532"/>
      <c r="Q45" s="532"/>
      <c r="R45" s="532"/>
      <c r="S45" s="532"/>
      <c r="T45" s="532"/>
      <c r="U45" s="532"/>
      <c r="V45" s="532"/>
      <c r="W45" s="538"/>
      <c r="X45" s="532"/>
      <c r="Y45" s="532"/>
      <c r="Z45" s="532"/>
      <c r="AA45" s="532"/>
      <c r="AB45" s="532"/>
      <c r="AC45" s="532"/>
      <c r="AD45" s="532"/>
      <c r="AE45" s="532"/>
      <c r="AF45" s="532"/>
      <c r="AG45" s="532"/>
      <c r="AH45" s="532"/>
      <c r="AI45" s="532"/>
      <c r="AJ45" s="534"/>
      <c r="AK45" s="532"/>
      <c r="AL45" s="532"/>
      <c r="AM45" s="532"/>
      <c r="AN45" s="535">
        <f t="shared" si="0"/>
        <v>0</v>
      </c>
      <c r="AO45" s="532"/>
      <c r="AP45" s="519">
        <f t="shared" si="1"/>
        <v>0</v>
      </c>
    </row>
    <row r="46" spans="2:42">
      <c r="B46" s="532" t="s">
        <v>906</v>
      </c>
      <c r="C46" s="532" t="s">
        <v>895</v>
      </c>
      <c r="D46" s="532" t="s">
        <v>899</v>
      </c>
      <c r="E46" s="532">
        <v>1</v>
      </c>
      <c r="F46" s="532">
        <f>23</f>
        <v>23</v>
      </c>
      <c r="G46" s="533" t="s">
        <v>908</v>
      </c>
      <c r="H46" s="532"/>
      <c r="I46" s="532"/>
      <c r="J46" s="532"/>
      <c r="K46" s="532"/>
      <c r="L46" s="532"/>
      <c r="M46" s="532"/>
      <c r="N46" s="532"/>
      <c r="O46" s="532"/>
      <c r="P46" s="532"/>
      <c r="Q46" s="532"/>
      <c r="R46" s="532"/>
      <c r="S46" s="532"/>
      <c r="T46" s="532"/>
      <c r="U46" s="532"/>
      <c r="V46" s="532"/>
      <c r="W46" s="538"/>
      <c r="X46" s="532"/>
      <c r="Y46" s="532"/>
      <c r="Z46" s="532"/>
      <c r="AA46" s="532"/>
      <c r="AB46" s="532"/>
      <c r="AC46" s="532"/>
      <c r="AD46" s="532"/>
      <c r="AE46" s="532"/>
      <c r="AF46" s="532"/>
      <c r="AG46" s="532"/>
      <c r="AH46" s="532"/>
      <c r="AI46" s="532"/>
      <c r="AJ46" s="534"/>
      <c r="AK46" s="532"/>
      <c r="AL46" s="532"/>
      <c r="AM46" s="532"/>
      <c r="AN46" s="535">
        <f t="shared" si="0"/>
        <v>69</v>
      </c>
      <c r="AO46" s="532"/>
      <c r="AP46" s="519">
        <f t="shared" si="1"/>
        <v>69</v>
      </c>
    </row>
    <row r="47" spans="2:42">
      <c r="B47" s="532" t="s">
        <v>906</v>
      </c>
      <c r="C47" s="532" t="s">
        <v>895</v>
      </c>
      <c r="D47" s="532" t="s">
        <v>899</v>
      </c>
      <c r="E47" s="532">
        <v>1</v>
      </c>
      <c r="F47" s="532">
        <v>41</v>
      </c>
      <c r="G47" s="533"/>
      <c r="H47" s="532"/>
      <c r="I47" s="532"/>
      <c r="J47" s="532"/>
      <c r="K47" s="532"/>
      <c r="L47" s="532"/>
      <c r="M47" s="532"/>
      <c r="N47" s="532"/>
      <c r="O47" s="532"/>
      <c r="P47" s="532"/>
      <c r="Q47" s="532"/>
      <c r="R47" s="532"/>
      <c r="S47" s="532"/>
      <c r="T47" s="532"/>
      <c r="U47" s="532"/>
      <c r="V47" s="532"/>
      <c r="W47" s="538"/>
      <c r="X47" s="532"/>
      <c r="Y47" s="532"/>
      <c r="Z47" s="532"/>
      <c r="AA47" s="532"/>
      <c r="AB47" s="532"/>
      <c r="AC47" s="532"/>
      <c r="AD47" s="532"/>
      <c r="AE47" s="532"/>
      <c r="AF47" s="532"/>
      <c r="AG47" s="532"/>
      <c r="AH47" s="532"/>
      <c r="AI47" s="532"/>
      <c r="AJ47" s="534"/>
      <c r="AK47" s="532"/>
      <c r="AL47" s="532"/>
      <c r="AM47" s="532"/>
      <c r="AN47" s="535">
        <f t="shared" si="0"/>
        <v>123</v>
      </c>
      <c r="AO47" s="532"/>
      <c r="AP47" s="519">
        <f t="shared" si="1"/>
        <v>123</v>
      </c>
    </row>
    <row r="48" spans="2:42">
      <c r="B48" s="534"/>
      <c r="C48" s="534"/>
      <c r="D48" s="534"/>
      <c r="E48" s="534"/>
      <c r="F48" s="534"/>
      <c r="G48" s="533"/>
      <c r="H48" s="534"/>
      <c r="I48" s="534"/>
      <c r="J48" s="534"/>
      <c r="K48" s="534"/>
      <c r="L48" s="534"/>
      <c r="M48" s="534"/>
      <c r="N48" s="534"/>
      <c r="O48" s="534"/>
      <c r="P48" s="534"/>
      <c r="Q48" s="534"/>
      <c r="R48" s="534"/>
      <c r="S48" s="534"/>
      <c r="T48" s="534"/>
      <c r="U48" s="534"/>
      <c r="V48" s="534"/>
      <c r="W48" s="534"/>
      <c r="X48" s="534"/>
      <c r="Y48" s="534"/>
      <c r="Z48" s="534"/>
      <c r="AA48" s="534"/>
      <c r="AB48" s="534"/>
      <c r="AC48" s="534"/>
      <c r="AD48" s="534"/>
      <c r="AE48" s="534"/>
      <c r="AF48" s="534"/>
      <c r="AG48" s="534"/>
      <c r="AH48" s="534"/>
      <c r="AI48" s="534"/>
      <c r="AJ48" s="534"/>
      <c r="AK48" s="534"/>
      <c r="AL48" s="534"/>
      <c r="AM48" s="532"/>
      <c r="AN48" s="535">
        <f t="shared" si="0"/>
        <v>0</v>
      </c>
      <c r="AO48" s="532"/>
      <c r="AP48" s="519">
        <f t="shared" si="1"/>
        <v>0</v>
      </c>
    </row>
    <row r="49" spans="2:42" ht="25.5" customHeight="1">
      <c r="B49" s="526" t="s">
        <v>909</v>
      </c>
      <c r="C49" s="526"/>
      <c r="D49" s="527"/>
      <c r="E49" s="527"/>
      <c r="F49" s="527"/>
      <c r="G49" s="528"/>
      <c r="H49" s="529"/>
      <c r="I49" s="527"/>
      <c r="J49" s="527"/>
      <c r="K49" s="527"/>
      <c r="L49" s="527"/>
      <c r="M49" s="527"/>
      <c r="N49" s="527"/>
      <c r="O49" s="527"/>
      <c r="P49" s="527"/>
      <c r="Q49" s="527"/>
      <c r="R49" s="527"/>
      <c r="S49" s="527"/>
      <c r="T49" s="527"/>
      <c r="U49" s="527"/>
      <c r="V49" s="527"/>
      <c r="W49" s="527"/>
      <c r="X49" s="527"/>
      <c r="Y49" s="527"/>
      <c r="Z49" s="527"/>
      <c r="AA49" s="527"/>
      <c r="AB49" s="530"/>
      <c r="AC49" s="530"/>
      <c r="AD49" s="530"/>
      <c r="AE49" s="530"/>
      <c r="AF49" s="530"/>
      <c r="AG49" s="530"/>
      <c r="AH49" s="530"/>
      <c r="AI49" s="530"/>
      <c r="AJ49" s="530"/>
      <c r="AK49" s="530"/>
      <c r="AL49" s="530"/>
      <c r="AM49" s="529"/>
      <c r="AN49" s="529"/>
      <c r="AO49" s="529"/>
      <c r="AP49" s="531"/>
    </row>
    <row r="50" spans="2:42">
      <c r="B50" s="532" t="s">
        <v>910</v>
      </c>
      <c r="C50" s="532" t="s">
        <v>333</v>
      </c>
      <c r="D50" s="532" t="s">
        <v>911</v>
      </c>
      <c r="E50" s="532">
        <v>1</v>
      </c>
      <c r="F50" s="532"/>
      <c r="G50" s="533"/>
      <c r="H50" s="536">
        <f>$H$6*E50</f>
        <v>43</v>
      </c>
      <c r="I50" s="536">
        <f>$I$6*$E50</f>
        <v>43</v>
      </c>
      <c r="J50" s="536">
        <f>$J$6*$E50</f>
        <v>34</v>
      </c>
      <c r="K50" s="536">
        <f>$K$6*$E50</f>
        <v>11</v>
      </c>
      <c r="L50" s="536">
        <f>$L$6*$E50</f>
        <v>34</v>
      </c>
      <c r="M50" s="536">
        <f>$M$6*$E50</f>
        <v>6</v>
      </c>
      <c r="N50" s="536"/>
      <c r="O50" s="536">
        <f>$O$6*$E50</f>
        <v>23</v>
      </c>
      <c r="P50" s="536">
        <f>$P$6*$E50</f>
        <v>10</v>
      </c>
      <c r="Q50" s="536">
        <f>$Q$6*$E50</f>
        <v>34</v>
      </c>
      <c r="R50" s="536">
        <f>$R$6*$E50</f>
        <v>20</v>
      </c>
      <c r="S50" s="536">
        <f>$S$6*$E50</f>
        <v>12</v>
      </c>
      <c r="T50" s="536">
        <f>$T$6*$E50</f>
        <v>15</v>
      </c>
      <c r="U50" s="536">
        <f>$U$6*$E50</f>
        <v>12</v>
      </c>
      <c r="V50" s="536">
        <f>$V$6*$E50</f>
        <v>32</v>
      </c>
      <c r="W50" s="536">
        <f>$W$6*$E50</f>
        <v>45</v>
      </c>
      <c r="X50" s="536"/>
      <c r="Y50" s="536">
        <f>$Y$6*$E50</f>
        <v>40</v>
      </c>
      <c r="Z50" s="536">
        <f>$Z$6*$E50</f>
        <v>26</v>
      </c>
      <c r="AA50" s="517"/>
      <c r="AB50" s="517"/>
      <c r="AC50" s="532"/>
      <c r="AD50" s="532"/>
      <c r="AE50" s="536">
        <f>$AE$6*$E50</f>
        <v>35</v>
      </c>
      <c r="AF50" s="532"/>
      <c r="AG50" s="532"/>
      <c r="AH50" s="532"/>
      <c r="AI50" s="532"/>
      <c r="AJ50" s="515"/>
      <c r="AK50" s="532"/>
      <c r="AL50" s="532"/>
      <c r="AM50" s="532"/>
      <c r="AN50" s="535">
        <f>$AN$6*$E50*F50</f>
        <v>0</v>
      </c>
      <c r="AO50" s="532"/>
      <c r="AP50" s="519">
        <f>SUM(H50:AO50)</f>
        <v>475</v>
      </c>
    </row>
    <row r="51" spans="2:42">
      <c r="B51" s="532" t="s">
        <v>910</v>
      </c>
      <c r="C51" s="532" t="s">
        <v>333</v>
      </c>
      <c r="D51" s="532" t="s">
        <v>912</v>
      </c>
      <c r="E51" s="532">
        <v>1</v>
      </c>
      <c r="F51" s="532"/>
      <c r="G51" s="533"/>
      <c r="H51" s="532"/>
      <c r="I51" s="532"/>
      <c r="J51" s="532"/>
      <c r="K51" s="536">
        <f>$K$6*$E52</f>
        <v>11</v>
      </c>
      <c r="L51" s="532"/>
      <c r="M51" s="536">
        <f>$M$6*$E51</f>
        <v>6</v>
      </c>
      <c r="N51" s="536">
        <f>$N$6*$E51</f>
        <v>20</v>
      </c>
      <c r="O51" s="532"/>
      <c r="P51" s="532"/>
      <c r="Q51" s="532"/>
      <c r="R51" s="536">
        <f>$R$6*$E51</f>
        <v>20</v>
      </c>
      <c r="S51" s="532"/>
      <c r="T51" s="532"/>
      <c r="U51" s="532"/>
      <c r="V51" s="532"/>
      <c r="W51" s="538"/>
      <c r="X51" s="536">
        <f>$X$6*$E51</f>
        <v>26</v>
      </c>
      <c r="Y51" s="532"/>
      <c r="Z51" s="536">
        <f>$Z$6*$E51</f>
        <v>26</v>
      </c>
      <c r="AA51" s="536">
        <f>$AA$6*$E51</f>
        <v>15</v>
      </c>
      <c r="AB51" s="536">
        <f>$AB$6*$E51</f>
        <v>25</v>
      </c>
      <c r="AC51" s="532"/>
      <c r="AD51" s="536">
        <f>$AD$6*$E51</f>
        <v>105</v>
      </c>
      <c r="AE51" s="532"/>
      <c r="AF51" s="536">
        <f>$AF$6*$E51</f>
        <v>26</v>
      </c>
      <c r="AG51" s="536">
        <f>$AG$6*$E51</f>
        <v>36</v>
      </c>
      <c r="AH51" s="536">
        <f>$AH$6*$E51</f>
        <v>40</v>
      </c>
      <c r="AI51" s="536">
        <f>$AI$6*$E51</f>
        <v>36</v>
      </c>
      <c r="AJ51" s="534"/>
      <c r="AK51" s="536">
        <f>$AK$6*$E51</f>
        <v>115</v>
      </c>
      <c r="AL51" s="536">
        <f>$AL$6*$E51</f>
        <v>15</v>
      </c>
      <c r="AM51" s="532"/>
      <c r="AN51" s="535">
        <f>$AN$6*$E51*F51</f>
        <v>0</v>
      </c>
      <c r="AO51" s="532"/>
      <c r="AP51" s="519">
        <f>SUM(H51:AO51)</f>
        <v>522</v>
      </c>
    </row>
    <row r="52" spans="2:42">
      <c r="B52" s="532" t="s">
        <v>910</v>
      </c>
      <c r="C52" s="532" t="s">
        <v>333</v>
      </c>
      <c r="D52" s="532" t="s">
        <v>912</v>
      </c>
      <c r="E52" s="532">
        <v>1</v>
      </c>
      <c r="F52" s="532"/>
      <c r="G52" s="533"/>
      <c r="H52" s="532"/>
      <c r="I52" s="532"/>
      <c r="J52" s="532"/>
      <c r="L52" s="532"/>
      <c r="M52" s="517"/>
      <c r="N52" s="536"/>
      <c r="O52" s="532"/>
      <c r="P52" s="532"/>
      <c r="Q52" s="532"/>
      <c r="R52" s="532"/>
      <c r="S52" s="532"/>
      <c r="T52" s="532"/>
      <c r="U52" s="532"/>
      <c r="V52" s="532"/>
      <c r="W52" s="538"/>
      <c r="X52" s="532"/>
      <c r="Y52" s="532"/>
      <c r="Z52" s="532"/>
      <c r="AA52" s="532"/>
      <c r="AB52" s="532"/>
      <c r="AC52" s="532"/>
      <c r="AD52" s="532"/>
      <c r="AE52" s="532"/>
      <c r="AF52" s="532"/>
      <c r="AG52" s="532"/>
      <c r="AH52" s="532"/>
      <c r="AI52" s="532"/>
      <c r="AJ52" s="534"/>
      <c r="AK52" s="532"/>
      <c r="AL52" s="532"/>
      <c r="AM52" s="532"/>
      <c r="AN52" s="535">
        <f>$AN$6*$E52*F52</f>
        <v>0</v>
      </c>
      <c r="AO52" s="532"/>
      <c r="AP52" s="519">
        <f>SUM(H52:AO52)</f>
        <v>0</v>
      </c>
    </row>
    <row r="53" spans="2:42">
      <c r="B53" s="532" t="s">
        <v>910</v>
      </c>
      <c r="C53" s="532" t="s">
        <v>333</v>
      </c>
      <c r="D53" s="532" t="s">
        <v>913</v>
      </c>
      <c r="E53" s="532">
        <v>1</v>
      </c>
      <c r="F53" s="532"/>
      <c r="G53" s="533"/>
      <c r="H53" s="532"/>
      <c r="I53" s="532"/>
      <c r="J53" s="532"/>
      <c r="K53" s="532"/>
      <c r="L53" s="532"/>
      <c r="M53" s="532"/>
      <c r="N53" s="536">
        <f>$N$6*$E53</f>
        <v>20</v>
      </c>
      <c r="O53" s="532"/>
      <c r="P53" s="532"/>
      <c r="Q53" s="532"/>
      <c r="R53" s="532"/>
      <c r="S53" s="532"/>
      <c r="T53" s="532"/>
      <c r="U53" s="532"/>
      <c r="V53" s="532"/>
      <c r="W53" s="538"/>
      <c r="X53" s="536">
        <f>$X$6*$E53</f>
        <v>26</v>
      </c>
      <c r="Y53" s="532"/>
      <c r="Z53" s="536">
        <f>$Z$6*$E53</f>
        <v>26</v>
      </c>
      <c r="AA53" s="532"/>
      <c r="AB53" s="532"/>
      <c r="AC53" s="532"/>
      <c r="AD53" s="532"/>
      <c r="AE53" s="532"/>
      <c r="AF53" s="532"/>
      <c r="AG53" s="532"/>
      <c r="AH53" s="532"/>
      <c r="AI53" s="532"/>
      <c r="AJ53" s="534"/>
      <c r="AK53" s="532"/>
      <c r="AL53" s="532"/>
      <c r="AM53" s="532"/>
      <c r="AN53" s="535">
        <f>$AN$6*$E53*F53</f>
        <v>0</v>
      </c>
      <c r="AO53" s="532"/>
      <c r="AP53" s="519">
        <f>SUM(H53:AO53)</f>
        <v>72</v>
      </c>
    </row>
    <row r="54" spans="2:42">
      <c r="B54" s="532" t="s">
        <v>910</v>
      </c>
      <c r="C54" s="532" t="s">
        <v>333</v>
      </c>
      <c r="D54" s="532" t="s">
        <v>913</v>
      </c>
      <c r="E54" s="532">
        <v>1</v>
      </c>
      <c r="F54" s="532"/>
      <c r="G54" s="533"/>
      <c r="H54" s="532"/>
      <c r="I54" s="532"/>
      <c r="J54" s="532"/>
      <c r="K54" s="532"/>
      <c r="L54" s="532"/>
      <c r="M54" s="532"/>
      <c r="N54" s="532"/>
      <c r="O54" s="532"/>
      <c r="P54" s="532"/>
      <c r="Q54" s="532"/>
      <c r="R54" s="532"/>
      <c r="S54" s="532"/>
      <c r="T54" s="532"/>
      <c r="U54" s="532"/>
      <c r="V54" s="532"/>
      <c r="W54" s="538"/>
      <c r="X54" s="532"/>
      <c r="Y54" s="532"/>
      <c r="Z54" s="532"/>
      <c r="AA54" s="532"/>
      <c r="AB54" s="532"/>
      <c r="AC54" s="532"/>
      <c r="AD54" s="532"/>
      <c r="AE54" s="532"/>
      <c r="AF54" s="532"/>
      <c r="AG54" s="532"/>
      <c r="AH54" s="532"/>
      <c r="AI54" s="532"/>
      <c r="AJ54" s="534"/>
      <c r="AK54" s="532"/>
      <c r="AL54" s="532"/>
      <c r="AM54" s="532"/>
      <c r="AN54" s="535">
        <f>$AN$6*$E54*F54</f>
        <v>0</v>
      </c>
      <c r="AO54" s="532"/>
      <c r="AP54" s="519">
        <f>SUM(H54:AO54)</f>
        <v>0</v>
      </c>
    </row>
    <row r="55" spans="2:42">
      <c r="B55" s="534"/>
      <c r="C55" s="534"/>
      <c r="D55" s="534"/>
      <c r="E55" s="534"/>
      <c r="F55" s="534"/>
      <c r="G55" s="533"/>
      <c r="H55" s="534"/>
      <c r="I55" s="534"/>
      <c r="J55" s="534"/>
      <c r="K55" s="534"/>
      <c r="L55" s="534"/>
      <c r="M55" s="534"/>
      <c r="N55" s="534"/>
      <c r="O55" s="534"/>
      <c r="P55" s="534"/>
      <c r="Q55" s="534"/>
      <c r="R55" s="534"/>
      <c r="S55" s="534"/>
      <c r="T55" s="534"/>
      <c r="U55" s="534"/>
      <c r="V55" s="534"/>
      <c r="W55" s="534"/>
      <c r="X55" s="534"/>
      <c r="Y55" s="534"/>
      <c r="Z55" s="534"/>
      <c r="AA55" s="534"/>
      <c r="AB55" s="534"/>
      <c r="AC55" s="534"/>
      <c r="AD55" s="534"/>
      <c r="AE55" s="534"/>
      <c r="AF55" s="534"/>
      <c r="AG55" s="534"/>
      <c r="AH55" s="534"/>
      <c r="AI55" s="534"/>
      <c r="AJ55" s="534"/>
      <c r="AK55" s="534"/>
      <c r="AL55" s="534"/>
      <c r="AM55" s="532"/>
      <c r="AN55" s="534"/>
      <c r="AO55" s="532"/>
      <c r="AP55" s="532"/>
    </row>
    <row r="56" spans="2:42">
      <c r="B56" s="534"/>
      <c r="C56" s="534"/>
      <c r="D56" s="534"/>
      <c r="E56" s="534"/>
      <c r="F56" s="534"/>
      <c r="G56" s="533"/>
      <c r="H56" s="534"/>
      <c r="I56" s="534"/>
      <c r="J56" s="534"/>
      <c r="K56" s="534"/>
      <c r="L56" s="534"/>
      <c r="M56" s="534"/>
      <c r="N56" s="534"/>
      <c r="O56" s="534"/>
      <c r="P56" s="534"/>
      <c r="Q56" s="534"/>
      <c r="R56" s="534"/>
      <c r="S56" s="534"/>
      <c r="T56" s="534"/>
      <c r="U56" s="534"/>
      <c r="V56" s="534"/>
      <c r="W56" s="534"/>
      <c r="X56" s="534"/>
      <c r="Y56" s="534"/>
      <c r="Z56" s="534"/>
      <c r="AA56" s="534"/>
      <c r="AB56" s="534"/>
      <c r="AC56" s="534"/>
      <c r="AD56" s="534"/>
      <c r="AE56" s="534"/>
      <c r="AF56" s="534"/>
      <c r="AG56" s="534"/>
      <c r="AH56" s="534"/>
      <c r="AI56" s="534"/>
      <c r="AJ56" s="534"/>
      <c r="AK56" s="534"/>
      <c r="AL56" s="534"/>
      <c r="AM56" s="532"/>
      <c r="AN56" s="534"/>
      <c r="AO56" s="532"/>
      <c r="AP56" s="532"/>
    </row>
    <row r="57" spans="2:42">
      <c r="B57" s="534"/>
      <c r="C57" s="534"/>
      <c r="D57" s="534"/>
      <c r="E57" s="534"/>
      <c r="F57" s="534"/>
      <c r="G57" s="533"/>
      <c r="H57" s="534"/>
      <c r="I57" s="534"/>
      <c r="J57" s="534"/>
      <c r="K57" s="534"/>
      <c r="L57" s="534"/>
      <c r="M57" s="534"/>
      <c r="N57" s="534"/>
      <c r="O57" s="534"/>
      <c r="P57" s="534"/>
      <c r="Q57" s="534"/>
      <c r="R57" s="534"/>
      <c r="S57" s="534"/>
      <c r="T57" s="534"/>
      <c r="U57" s="534"/>
      <c r="V57" s="534"/>
      <c r="W57" s="534"/>
      <c r="X57" s="534"/>
      <c r="Y57" s="534"/>
      <c r="Z57" s="534"/>
      <c r="AA57" s="534"/>
      <c r="AB57" s="534"/>
      <c r="AC57" s="534"/>
      <c r="AD57" s="534"/>
      <c r="AE57" s="534"/>
      <c r="AF57" s="534"/>
      <c r="AG57" s="534"/>
      <c r="AH57" s="534"/>
      <c r="AI57" s="534"/>
      <c r="AJ57" s="534"/>
      <c r="AK57" s="534"/>
      <c r="AL57" s="534"/>
      <c r="AM57" s="532"/>
      <c r="AN57" s="534"/>
      <c r="AO57" s="532"/>
      <c r="AP57" s="532"/>
    </row>
    <row r="58" spans="2:42">
      <c r="B58" s="534"/>
      <c r="C58" s="534"/>
      <c r="D58" s="534"/>
      <c r="E58" s="534"/>
      <c r="F58" s="534"/>
      <c r="G58" s="533"/>
      <c r="H58" s="534"/>
      <c r="I58" s="534"/>
      <c r="J58" s="534"/>
      <c r="K58" s="534"/>
      <c r="L58" s="534"/>
      <c r="M58" s="534"/>
      <c r="N58" s="534"/>
      <c r="O58" s="534"/>
      <c r="P58" s="534"/>
      <c r="Q58" s="534"/>
      <c r="R58" s="534"/>
      <c r="S58" s="534"/>
      <c r="T58" s="534"/>
      <c r="U58" s="534"/>
      <c r="V58" s="534"/>
      <c r="W58" s="534"/>
      <c r="X58" s="534"/>
      <c r="Y58" s="534"/>
      <c r="Z58" s="534"/>
      <c r="AA58" s="534"/>
      <c r="AB58" s="534"/>
      <c r="AC58" s="534"/>
      <c r="AD58" s="534"/>
      <c r="AE58" s="534"/>
      <c r="AF58" s="534"/>
      <c r="AG58" s="534"/>
      <c r="AH58" s="534"/>
      <c r="AI58" s="534"/>
      <c r="AJ58" s="534"/>
      <c r="AK58" s="534"/>
      <c r="AL58" s="534"/>
      <c r="AM58" s="532"/>
      <c r="AN58" s="534"/>
      <c r="AO58" s="532"/>
      <c r="AP58" s="532"/>
    </row>
    <row r="59" spans="2:42">
      <c r="B59" s="534"/>
      <c r="C59" s="534"/>
      <c r="D59" s="534"/>
      <c r="E59" s="534"/>
      <c r="F59" s="534"/>
      <c r="G59" s="533"/>
      <c r="H59" s="534"/>
      <c r="I59" s="534"/>
      <c r="J59" s="534"/>
      <c r="K59" s="534"/>
      <c r="L59" s="534"/>
      <c r="M59" s="534"/>
      <c r="N59" s="534"/>
      <c r="O59" s="534"/>
      <c r="P59" s="534"/>
      <c r="Q59" s="534"/>
      <c r="R59" s="534"/>
      <c r="S59" s="534"/>
      <c r="T59" s="534"/>
      <c r="U59" s="534"/>
      <c r="V59" s="534"/>
      <c r="W59" s="534"/>
      <c r="X59" s="534"/>
      <c r="Y59" s="534"/>
      <c r="Z59" s="534"/>
      <c r="AA59" s="534"/>
      <c r="AB59" s="534"/>
      <c r="AC59" s="534"/>
      <c r="AD59" s="534"/>
      <c r="AE59" s="534"/>
      <c r="AF59" s="534"/>
      <c r="AG59" s="534"/>
      <c r="AH59" s="534"/>
      <c r="AI59" s="534"/>
      <c r="AJ59" s="534"/>
      <c r="AK59" s="534"/>
      <c r="AL59" s="534"/>
      <c r="AM59" s="532"/>
      <c r="AN59" s="534"/>
      <c r="AO59" s="532"/>
      <c r="AP59" s="532"/>
    </row>
    <row r="60" spans="2:42">
      <c r="B60" s="106"/>
      <c r="AP60" s="109">
        <f>SUM(AP8:AP59)</f>
        <v>3075</v>
      </c>
    </row>
    <row r="61" spans="2:42">
      <c r="B61" s="106"/>
      <c r="AP61" s="110"/>
    </row>
    <row r="62" spans="2:42" ht="77.5">
      <c r="B62" s="541" t="s">
        <v>828</v>
      </c>
      <c r="C62" s="534"/>
      <c r="D62" s="542" t="s">
        <v>914</v>
      </c>
      <c r="E62" s="542" t="s">
        <v>915</v>
      </c>
      <c r="F62" s="542" t="s">
        <v>916</v>
      </c>
      <c r="G62" s="542" t="s">
        <v>917</v>
      </c>
      <c r="H62" s="542" t="s">
        <v>918</v>
      </c>
      <c r="I62" s="542" t="s">
        <v>919</v>
      </c>
      <c r="J62" s="542" t="s">
        <v>920</v>
      </c>
      <c r="L62" s="542" t="s">
        <v>921</v>
      </c>
      <c r="M62" s="542" t="s">
        <v>922</v>
      </c>
      <c r="AP62" s="110"/>
    </row>
    <row r="63" spans="2:42" ht="31.5" customHeight="1">
      <c r="B63" s="705" t="s">
        <v>923</v>
      </c>
      <c r="C63" s="706"/>
      <c r="D63" s="517" t="s">
        <v>896</v>
      </c>
      <c r="E63" s="532">
        <f>SUMIF($D$9:$D$59,$D63,$AP$9:$AP$59)</f>
        <v>1574</v>
      </c>
      <c r="F63" s="517">
        <f>CEILING((E63*1.05),1)</f>
        <v>1653</v>
      </c>
      <c r="G63" s="543">
        <f>E63*0.05</f>
        <v>78.7</v>
      </c>
      <c r="H63" s="543">
        <f>E63*0.03</f>
        <v>47.22</v>
      </c>
      <c r="I63" s="543">
        <f>E63*0.03</f>
        <v>47.22</v>
      </c>
      <c r="J63" s="543">
        <f>E63*0.03</f>
        <v>47.22</v>
      </c>
      <c r="L63" s="532">
        <f>ROUNDUP(((SUMIF($D$63:$D$69,$D63,$F$63:$F$69))/2*0.8*1.2),0)</f>
        <v>794</v>
      </c>
      <c r="M63" s="532">
        <f>ROUNDUP(((SUMIF($D$63:$D$69,$D64,$F$63:$F$69)+SUMIF($D$63:$D$69,$D65,$F$63:$F$69))/2*0.8*1.2),0)</f>
        <v>218</v>
      </c>
      <c r="AP63" s="110"/>
    </row>
    <row r="64" spans="2:42" ht="31.5" customHeight="1">
      <c r="B64" s="705" t="s">
        <v>923</v>
      </c>
      <c r="C64" s="706"/>
      <c r="D64" s="517" t="s">
        <v>898</v>
      </c>
      <c r="E64" s="532">
        <f>SUMIF($D$9:$D$59,$D64,$AP$9:$AP$59)</f>
        <v>216</v>
      </c>
      <c r="F64" s="517">
        <f t="shared" ref="F64:F65" si="2">CEILING((E64*1.05),1)</f>
        <v>227</v>
      </c>
      <c r="G64" s="543">
        <f>E64*0.05</f>
        <v>10.8</v>
      </c>
      <c r="H64" s="543">
        <f>E64*0.03</f>
        <v>6.4799999999999995</v>
      </c>
      <c r="I64" s="543">
        <f t="shared" ref="I64:I65" si="3">E64*0.03</f>
        <v>6.4799999999999995</v>
      </c>
      <c r="J64" s="543">
        <f>E64*0.03</f>
        <v>6.4799999999999995</v>
      </c>
      <c r="AP64" s="110"/>
    </row>
    <row r="65" spans="2:42" ht="31.5" customHeight="1">
      <c r="B65" s="705" t="s">
        <v>923</v>
      </c>
      <c r="C65" s="706"/>
      <c r="D65" s="517" t="s">
        <v>899</v>
      </c>
      <c r="E65" s="532">
        <f>SUMIF($D$9:$D$59,$D65,$AP$9:$AP$59)</f>
        <v>216</v>
      </c>
      <c r="F65" s="517">
        <f t="shared" si="2"/>
        <v>227</v>
      </c>
      <c r="G65" s="543">
        <f>E65*0.05</f>
        <v>10.8</v>
      </c>
      <c r="H65" s="543">
        <f>E65*0.03</f>
        <v>6.4799999999999995</v>
      </c>
      <c r="I65" s="543">
        <f t="shared" si="3"/>
        <v>6.4799999999999995</v>
      </c>
      <c r="J65" s="543"/>
      <c r="AP65" s="110"/>
    </row>
    <row r="66" spans="2:42" ht="12" customHeight="1">
      <c r="B66" s="705"/>
      <c r="C66" s="706"/>
      <c r="D66" s="517"/>
      <c r="E66" s="532"/>
      <c r="F66" s="517"/>
      <c r="G66" s="543"/>
      <c r="H66" s="543"/>
      <c r="I66" s="543"/>
      <c r="J66" s="543"/>
      <c r="AP66" s="110"/>
    </row>
    <row r="67" spans="2:42" ht="31.5" customHeight="1">
      <c r="B67" s="705" t="s">
        <v>924</v>
      </c>
      <c r="C67" s="706"/>
      <c r="D67" s="517" t="s">
        <v>911</v>
      </c>
      <c r="E67" s="532">
        <f>SUMIF($D$9:$D$59,$D67,$AP$9:$AP$59)</f>
        <v>475</v>
      </c>
      <c r="F67" s="517">
        <f t="shared" ref="F67:F72" si="4">CEILING((E67*1.05),1)</f>
        <v>499</v>
      </c>
      <c r="G67" s="543">
        <f>E67*0.05</f>
        <v>23.75</v>
      </c>
      <c r="H67" s="543">
        <f>E67*0.03</f>
        <v>14.25</v>
      </c>
      <c r="I67" s="543">
        <f t="shared" ref="I67:I69" si="5">E67*0.03</f>
        <v>14.25</v>
      </c>
      <c r="J67" s="543">
        <f t="shared" ref="J67:J68" si="6">E67*0.03</f>
        <v>14.25</v>
      </c>
      <c r="AP67" s="110"/>
    </row>
    <row r="68" spans="2:42" ht="31.5" customHeight="1">
      <c r="B68" s="705" t="s">
        <v>924</v>
      </c>
      <c r="C68" s="706"/>
      <c r="D68" s="517" t="s">
        <v>912</v>
      </c>
      <c r="E68" s="532">
        <f>SUMIF($D$9:$D$59,$D68,$AP$9:$AP$59)</f>
        <v>522</v>
      </c>
      <c r="F68" s="517">
        <f t="shared" si="4"/>
        <v>549</v>
      </c>
      <c r="G68" s="543">
        <f>E68*0.05</f>
        <v>26.1</v>
      </c>
      <c r="H68" s="543">
        <f>E68*0.03</f>
        <v>15.66</v>
      </c>
      <c r="I68" s="543">
        <f t="shared" si="5"/>
        <v>15.66</v>
      </c>
      <c r="J68" s="543">
        <f t="shared" si="6"/>
        <v>15.66</v>
      </c>
      <c r="AP68" s="110"/>
    </row>
    <row r="69" spans="2:42" ht="31.5" customHeight="1">
      <c r="B69" s="705" t="s">
        <v>924</v>
      </c>
      <c r="C69" s="706"/>
      <c r="D69" s="517" t="s">
        <v>913</v>
      </c>
      <c r="E69" s="532">
        <f>SUMIF($D$9:$D$59,$D69,$AP$9:$AP$59)</f>
        <v>72</v>
      </c>
      <c r="F69" s="517">
        <f t="shared" si="4"/>
        <v>76</v>
      </c>
      <c r="G69" s="543">
        <f>E69*0.05</f>
        <v>3.6</v>
      </c>
      <c r="H69" s="543">
        <f>E69*0.03</f>
        <v>2.16</v>
      </c>
      <c r="I69" s="543">
        <f t="shared" si="5"/>
        <v>2.16</v>
      </c>
      <c r="J69" s="543"/>
      <c r="AP69" s="110"/>
    </row>
    <row r="70" spans="2:42" ht="13.5" customHeight="1">
      <c r="B70" s="705"/>
      <c r="C70" s="706"/>
      <c r="D70" s="517"/>
      <c r="E70" s="517"/>
      <c r="F70" s="543"/>
      <c r="G70" s="543"/>
      <c r="H70" s="543"/>
      <c r="I70" s="534"/>
      <c r="AP70" s="110"/>
    </row>
    <row r="71" spans="2:42" ht="31.5" customHeight="1">
      <c r="B71" s="705" t="s">
        <v>925</v>
      </c>
      <c r="C71" s="706"/>
      <c r="D71" s="517" t="s">
        <v>911</v>
      </c>
      <c r="E71" s="517">
        <f>E67</f>
        <v>475</v>
      </c>
      <c r="F71" s="517">
        <f t="shared" si="4"/>
        <v>499</v>
      </c>
      <c r="G71" s="543"/>
      <c r="H71" s="543"/>
      <c r="I71" s="534"/>
      <c r="J71" s="543">
        <f t="shared" ref="J71:J72" si="7">E71*0.03</f>
        <v>14.25</v>
      </c>
      <c r="AP71" s="110"/>
    </row>
    <row r="72" spans="2:42" ht="31.5" customHeight="1">
      <c r="B72" s="705" t="s">
        <v>925</v>
      </c>
      <c r="C72" s="706"/>
      <c r="D72" s="517" t="s">
        <v>912</v>
      </c>
      <c r="E72" s="517">
        <f>SUM(N51,X51,AA51,AB51,AD51,AF51:AI51,AK51:AL51)</f>
        <v>459</v>
      </c>
      <c r="F72" s="517">
        <f t="shared" si="4"/>
        <v>482</v>
      </c>
      <c r="G72" s="515"/>
      <c r="H72" s="544"/>
      <c r="I72" s="534"/>
      <c r="J72" s="543">
        <f t="shared" si="7"/>
        <v>13.77</v>
      </c>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2"/>
      <c r="AN72" s="111"/>
      <c r="AO72" s="112"/>
      <c r="AP72" s="113"/>
    </row>
  </sheetData>
  <autoFilter ref="B5:AP59" xr:uid="{2D92E427-02B6-43F2-9C9A-2B8E932D959D}"/>
  <mergeCells count="16">
    <mergeCell ref="B2:AP2"/>
    <mergeCell ref="AD3:AI3"/>
    <mergeCell ref="S3:Z3"/>
    <mergeCell ref="AK3:AL3"/>
    <mergeCell ref="O3:R3"/>
    <mergeCell ref="H3:N3"/>
    <mergeCell ref="B63:C63"/>
    <mergeCell ref="B64:C64"/>
    <mergeCell ref="B65:C65"/>
    <mergeCell ref="B67:C67"/>
    <mergeCell ref="B68:C68"/>
    <mergeCell ref="B69:C69"/>
    <mergeCell ref="B71:C71"/>
    <mergeCell ref="B72:C72"/>
    <mergeCell ref="B70:C70"/>
    <mergeCell ref="B66:C66"/>
  </mergeCells>
  <phoneticPr fontId="49" type="noConversion"/>
  <pageMargins left="0.7" right="0.7" top="0.75" bottom="0.75" header="0.3" footer="0.3"/>
  <pageSetup paperSize="8" scale="41"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92F1-4670-4604-AFA9-62040B45A366}">
  <sheetPr codeName="Sheet14"/>
  <dimension ref="C3:I15"/>
  <sheetViews>
    <sheetView workbookViewId="0">
      <selection activeCell="D9" sqref="D9"/>
    </sheetView>
  </sheetViews>
  <sheetFormatPr defaultColWidth="9.1796875" defaultRowHeight="12.5"/>
  <cols>
    <col min="1" max="2" width="9.1796875" style="63"/>
    <col min="3" max="3" width="16.7265625" style="63" customWidth="1"/>
    <col min="4" max="7" width="9.1796875" style="63"/>
    <col min="8" max="8" width="2.26953125" style="63" customWidth="1"/>
    <col min="9" max="16384" width="9.1796875" style="63"/>
  </cols>
  <sheetData>
    <row r="3" spans="3:9">
      <c r="I3" s="11" t="s">
        <v>926</v>
      </c>
    </row>
    <row r="4" spans="3:9">
      <c r="D4" s="11" t="s">
        <v>927</v>
      </c>
      <c r="E4" s="11" t="s">
        <v>928</v>
      </c>
      <c r="F4" s="11" t="s">
        <v>928</v>
      </c>
      <c r="G4" s="11" t="s">
        <v>928</v>
      </c>
      <c r="I4" s="11" t="s">
        <v>928</v>
      </c>
    </row>
    <row r="6" spans="3:9">
      <c r="C6" s="11" t="s">
        <v>929</v>
      </c>
      <c r="D6" s="11" t="s">
        <v>930</v>
      </c>
      <c r="E6" s="63">
        <v>1200</v>
      </c>
      <c r="F6" s="63">
        <v>600</v>
      </c>
      <c r="G6" s="63">
        <v>600</v>
      </c>
    </row>
    <row r="9" spans="3:9">
      <c r="C9" s="11" t="s">
        <v>931</v>
      </c>
      <c r="D9" s="11" t="s">
        <v>932</v>
      </c>
      <c r="E9" s="63">
        <v>1800</v>
      </c>
      <c r="F9" s="63">
        <v>900</v>
      </c>
      <c r="G9" s="63">
        <v>900</v>
      </c>
    </row>
    <row r="11" spans="3:9">
      <c r="C11" s="11" t="s">
        <v>933</v>
      </c>
      <c r="D11" s="63">
        <v>1200</v>
      </c>
      <c r="E11" s="63">
        <v>600</v>
      </c>
      <c r="F11" s="63">
        <v>300</v>
      </c>
      <c r="G11" s="63">
        <v>300</v>
      </c>
      <c r="I11" s="63">
        <v>600</v>
      </c>
    </row>
    <row r="13" spans="3:9">
      <c r="C13" s="11" t="s">
        <v>328</v>
      </c>
      <c r="D13" s="63">
        <v>1200</v>
      </c>
    </row>
    <row r="15" spans="3:9">
      <c r="C15" s="11" t="s">
        <v>934</v>
      </c>
      <c r="D15" s="63">
        <v>600</v>
      </c>
      <c r="E15" s="63">
        <v>600</v>
      </c>
      <c r="F15" s="63">
        <v>300</v>
      </c>
      <c r="G15" s="63">
        <v>300</v>
      </c>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6326-E2CC-4784-937B-398BA780BE3B}">
  <sheetPr codeName="Sheet18">
    <tabColor rgb="FFFFFF00"/>
  </sheetPr>
  <dimension ref="B2:BA63"/>
  <sheetViews>
    <sheetView workbookViewId="0">
      <selection activeCell="H8" sqref="H8"/>
    </sheetView>
  </sheetViews>
  <sheetFormatPr defaultColWidth="9.1796875" defaultRowHeight="12.5"/>
  <cols>
    <col min="1" max="1" width="9.1796875" style="63"/>
    <col min="2" max="2" width="27.81640625" style="63" customWidth="1"/>
    <col min="3" max="3" width="14.54296875" style="63" customWidth="1"/>
    <col min="4" max="4" width="9.26953125" style="63" customWidth="1"/>
    <col min="5" max="6" width="6.7265625" style="63" customWidth="1"/>
    <col min="7" max="7" width="6.7265625" style="82" customWidth="1"/>
    <col min="8" max="53" width="6.7265625" style="63" customWidth="1"/>
    <col min="54" max="16384" width="9.1796875" style="63"/>
  </cols>
  <sheetData>
    <row r="2" spans="2:53" ht="33" customHeight="1">
      <c r="B2" s="237" t="s">
        <v>26</v>
      </c>
      <c r="C2" s="237" t="s">
        <v>936</v>
      </c>
      <c r="D2" s="237" t="s">
        <v>937</v>
      </c>
      <c r="E2" s="238" t="s">
        <v>27</v>
      </c>
      <c r="F2" s="238" t="s">
        <v>28</v>
      </c>
      <c r="G2" s="238" t="s">
        <v>29</v>
      </c>
      <c r="H2" s="238" t="s">
        <v>30</v>
      </c>
      <c r="I2" s="238" t="s">
        <v>31</v>
      </c>
      <c r="J2" s="238" t="s">
        <v>32</v>
      </c>
      <c r="K2" s="238" t="s">
        <v>33</v>
      </c>
      <c r="L2" s="238" t="s">
        <v>34</v>
      </c>
      <c r="M2" s="238" t="s">
        <v>35</v>
      </c>
      <c r="N2" s="238" t="s">
        <v>36</v>
      </c>
      <c r="O2" s="238" t="s">
        <v>37</v>
      </c>
      <c r="P2" s="238" t="s">
        <v>38</v>
      </c>
      <c r="Q2" s="238" t="s">
        <v>39</v>
      </c>
      <c r="R2" s="238" t="s">
        <v>40</v>
      </c>
      <c r="S2" s="238" t="s">
        <v>41</v>
      </c>
      <c r="T2" s="238" t="s">
        <v>42</v>
      </c>
      <c r="U2" s="238" t="s">
        <v>43</v>
      </c>
      <c r="V2" s="238" t="s">
        <v>44</v>
      </c>
      <c r="W2" s="238" t="s">
        <v>45</v>
      </c>
      <c r="X2" s="238" t="s">
        <v>46</v>
      </c>
      <c r="Y2" s="238" t="s">
        <v>47</v>
      </c>
      <c r="Z2" s="238" t="s">
        <v>48</v>
      </c>
      <c r="AA2" s="238" t="s">
        <v>49</v>
      </c>
      <c r="AB2" s="238" t="s">
        <v>50</v>
      </c>
      <c r="AC2" s="238" t="s">
        <v>51</v>
      </c>
      <c r="AD2" s="238" t="s">
        <v>52</v>
      </c>
      <c r="AE2" s="238" t="s">
        <v>53</v>
      </c>
      <c r="AF2" s="238" t="s">
        <v>54</v>
      </c>
      <c r="AG2" s="238" t="s">
        <v>55</v>
      </c>
      <c r="AH2" s="238" t="s">
        <v>56</v>
      </c>
      <c r="AI2" s="238" t="s">
        <v>57</v>
      </c>
      <c r="AJ2" s="238" t="s">
        <v>58</v>
      </c>
      <c r="AK2" s="238" t="s">
        <v>59</v>
      </c>
      <c r="AL2" s="238" t="s">
        <v>60</v>
      </c>
      <c r="AM2" s="238" t="s">
        <v>61</v>
      </c>
      <c r="AN2" s="238" t="s">
        <v>62</v>
      </c>
      <c r="AO2" s="238" t="s">
        <v>63</v>
      </c>
      <c r="AP2" s="238" t="s">
        <v>64</v>
      </c>
      <c r="AQ2" s="238" t="s">
        <v>65</v>
      </c>
      <c r="AR2" s="238" t="s">
        <v>66</v>
      </c>
      <c r="AS2" s="324" t="s">
        <v>67</v>
      </c>
      <c r="AT2" s="238" t="s">
        <v>68</v>
      </c>
      <c r="AU2" s="238" t="s">
        <v>69</v>
      </c>
      <c r="AV2" s="238" t="s">
        <v>70</v>
      </c>
      <c r="AW2" s="238" t="s">
        <v>71</v>
      </c>
      <c r="AX2" s="238" t="s">
        <v>72</v>
      </c>
      <c r="AY2" s="238" t="s">
        <v>73</v>
      </c>
      <c r="AZ2" s="238" t="s">
        <v>74</v>
      </c>
      <c r="BA2" s="238" t="s">
        <v>75</v>
      </c>
    </row>
    <row r="3" spans="2:53" ht="21" customHeight="1">
      <c r="B3" s="237"/>
      <c r="C3" s="237"/>
      <c r="D3" s="237"/>
      <c r="E3" s="238"/>
      <c r="F3" s="238"/>
      <c r="G3" s="331"/>
      <c r="H3" s="238"/>
      <c r="I3" s="238"/>
      <c r="J3" s="238"/>
      <c r="K3" s="238"/>
      <c r="L3" s="238"/>
      <c r="M3" s="238"/>
      <c r="N3" s="238"/>
      <c r="O3" s="238"/>
      <c r="P3" s="238"/>
      <c r="Q3" s="238"/>
      <c r="R3" s="238"/>
      <c r="S3" s="238"/>
      <c r="T3" s="238"/>
      <c r="U3" s="238"/>
      <c r="V3" s="238"/>
      <c r="W3" s="238"/>
      <c r="X3" s="238"/>
      <c r="Y3" s="238"/>
      <c r="Z3" s="238"/>
      <c r="AA3" s="238"/>
      <c r="AB3" s="238"/>
      <c r="AC3" s="238"/>
      <c r="AD3" s="238"/>
      <c r="AE3" s="238"/>
      <c r="AF3" s="238"/>
      <c r="AG3" s="238"/>
      <c r="AH3" s="238"/>
      <c r="AI3" s="238"/>
      <c r="AJ3" s="238"/>
      <c r="AK3" s="238"/>
      <c r="AL3" s="238"/>
      <c r="AM3" s="238"/>
      <c r="AN3" s="238"/>
      <c r="AO3" s="238"/>
      <c r="AP3" s="238"/>
      <c r="AQ3" s="238"/>
      <c r="AR3" s="238"/>
      <c r="AS3" s="238"/>
      <c r="AT3" s="238"/>
      <c r="AU3" s="238"/>
      <c r="AV3" s="238"/>
      <c r="AW3" s="238"/>
      <c r="AX3" s="238"/>
      <c r="AY3" s="238"/>
      <c r="AZ3" s="238"/>
      <c r="BA3" s="238"/>
    </row>
    <row r="4" spans="2:53" ht="21" customHeight="1">
      <c r="B4" s="551" t="s">
        <v>94</v>
      </c>
      <c r="C4" s="552"/>
      <c r="D4" s="552"/>
      <c r="E4" s="552"/>
      <c r="F4" s="552"/>
      <c r="G4" s="553"/>
      <c r="H4" s="552"/>
      <c r="I4" s="552"/>
      <c r="J4" s="552"/>
      <c r="K4" s="552"/>
      <c r="L4" s="552"/>
      <c r="M4" s="552"/>
      <c r="N4" s="552"/>
      <c r="O4" s="552"/>
      <c r="P4" s="552"/>
      <c r="Q4" s="552"/>
      <c r="R4" s="552"/>
      <c r="S4" s="552"/>
      <c r="T4" s="552"/>
      <c r="U4" s="552"/>
      <c r="V4" s="552"/>
      <c r="W4" s="552"/>
      <c r="X4" s="552"/>
      <c r="Y4" s="552"/>
      <c r="Z4" s="552"/>
      <c r="AA4" s="552"/>
      <c r="AB4" s="552"/>
      <c r="AC4" s="552"/>
      <c r="AD4" s="552"/>
      <c r="AE4" s="552"/>
      <c r="AF4" s="552"/>
      <c r="AG4" s="552"/>
      <c r="AH4" s="552"/>
      <c r="AI4" s="552"/>
      <c r="AJ4" s="552"/>
      <c r="AK4" s="552"/>
      <c r="AL4" s="552"/>
      <c r="AM4" s="552"/>
      <c r="AN4" s="552"/>
      <c r="AO4" s="552"/>
      <c r="AP4" s="552"/>
      <c r="AQ4" s="552"/>
      <c r="AR4" s="552"/>
      <c r="AS4" s="552"/>
      <c r="AT4" s="552"/>
      <c r="AU4" s="552"/>
      <c r="AV4" s="552"/>
      <c r="AW4" s="552"/>
      <c r="AX4" s="552"/>
      <c r="AY4" s="552"/>
      <c r="AZ4" s="552"/>
      <c r="BA4" s="554"/>
    </row>
    <row r="5" spans="2:53" ht="23.25" customHeight="1">
      <c r="B5" s="719" t="s">
        <v>95</v>
      </c>
      <c r="C5" s="85" t="s">
        <v>78</v>
      </c>
      <c r="D5" s="86"/>
      <c r="E5" s="87"/>
      <c r="F5" s="87"/>
      <c r="G5" s="88"/>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row>
    <row r="6" spans="2:53" ht="33.75" customHeight="1">
      <c r="B6" s="720"/>
      <c r="C6" s="555">
        <v>600</v>
      </c>
      <c r="D6" s="550" t="s">
        <v>938</v>
      </c>
      <c r="E6" s="549"/>
      <c r="F6" s="549"/>
      <c r="G6" s="307"/>
      <c r="H6" s="549"/>
      <c r="I6" s="549"/>
      <c r="J6" s="549"/>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row>
    <row r="7" spans="2:53" ht="33.75" customHeight="1">
      <c r="B7" s="720"/>
      <c r="C7" s="555">
        <v>450</v>
      </c>
      <c r="D7" s="550" t="s">
        <v>938</v>
      </c>
      <c r="E7" s="550"/>
      <c r="F7" s="550"/>
      <c r="G7" s="349"/>
      <c r="H7" s="550"/>
      <c r="I7" s="550"/>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row>
    <row r="8" spans="2:53" ht="33.75" customHeight="1">
      <c r="B8" s="720"/>
      <c r="C8" s="555">
        <v>300</v>
      </c>
      <c r="D8" s="550" t="s">
        <v>938</v>
      </c>
      <c r="E8" s="550"/>
      <c r="F8" s="550"/>
      <c r="G8" s="349"/>
      <c r="H8" s="550"/>
      <c r="I8" s="550"/>
      <c r="J8" s="550"/>
      <c r="K8" s="550"/>
      <c r="L8" s="550"/>
      <c r="M8" s="550"/>
      <c r="N8" s="550"/>
      <c r="O8" s="550"/>
      <c r="P8" s="550"/>
      <c r="Q8" s="550"/>
      <c r="R8" s="550"/>
      <c r="S8" s="550"/>
      <c r="T8" s="550"/>
      <c r="U8" s="550"/>
      <c r="V8" s="550"/>
      <c r="W8" s="550"/>
      <c r="X8" s="550"/>
      <c r="Y8" s="550"/>
      <c r="Z8" s="550"/>
      <c r="AA8" s="550"/>
      <c r="AB8" s="550"/>
      <c r="AC8" s="550"/>
      <c r="AD8" s="550"/>
      <c r="AE8" s="550"/>
      <c r="AF8" s="550"/>
      <c r="AG8" s="550"/>
      <c r="AH8" s="550"/>
      <c r="AI8" s="550"/>
      <c r="AJ8" s="550"/>
      <c r="AK8" s="550"/>
      <c r="AL8" s="550"/>
      <c r="AM8" s="550"/>
      <c r="AN8" s="550"/>
      <c r="AO8" s="550"/>
      <c r="AP8" s="550"/>
      <c r="AQ8" s="550"/>
      <c r="AR8" s="550"/>
      <c r="AS8" s="550"/>
      <c r="AT8" s="550"/>
      <c r="AU8" s="550"/>
      <c r="AV8" s="550"/>
      <c r="AW8" s="550"/>
      <c r="AX8" s="550"/>
      <c r="AY8" s="550"/>
      <c r="AZ8" s="550"/>
      <c r="BA8" s="550"/>
    </row>
    <row r="9" spans="2:53">
      <c r="B9" s="550"/>
      <c r="C9" s="550"/>
      <c r="D9" s="550"/>
      <c r="E9" s="550"/>
      <c r="F9" s="550"/>
      <c r="G9" s="349"/>
      <c r="H9" s="550"/>
      <c r="I9" s="550"/>
      <c r="J9" s="550"/>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row>
    <row r="10" spans="2:53" ht="20.25" customHeight="1">
      <c r="B10" s="720" t="s">
        <v>96</v>
      </c>
      <c r="C10" s="556" t="s">
        <v>78</v>
      </c>
      <c r="D10" s="550"/>
      <c r="E10" s="549"/>
      <c r="F10" s="549"/>
      <c r="G10" s="307"/>
      <c r="H10" s="549"/>
      <c r="I10" s="549"/>
      <c r="J10" s="549"/>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row>
    <row r="11" spans="2:53" ht="27.75" customHeight="1">
      <c r="B11" s="720"/>
      <c r="C11" s="555">
        <v>600</v>
      </c>
      <c r="D11" s="550" t="s">
        <v>938</v>
      </c>
      <c r="E11" s="549"/>
      <c r="F11" s="549"/>
      <c r="G11" s="307"/>
      <c r="H11" s="549"/>
      <c r="I11" s="549"/>
      <c r="J11" s="549"/>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row>
    <row r="12" spans="2:53" ht="27.75" customHeight="1">
      <c r="B12" s="720"/>
      <c r="C12" s="555">
        <v>450</v>
      </c>
      <c r="D12" s="550" t="s">
        <v>938</v>
      </c>
      <c r="E12" s="550"/>
      <c r="F12" s="550"/>
      <c r="G12" s="349"/>
      <c r="H12" s="550"/>
      <c r="I12" s="550"/>
      <c r="J12" s="550"/>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row>
    <row r="13" spans="2:53" ht="27.75" customHeight="1">
      <c r="B13" s="720"/>
      <c r="C13" s="555">
        <v>300</v>
      </c>
      <c r="D13" s="550" t="s">
        <v>938</v>
      </c>
      <c r="E13" s="550"/>
      <c r="F13" s="550"/>
      <c r="G13" s="349"/>
      <c r="H13" s="550"/>
      <c r="I13" s="550"/>
      <c r="J13" s="550"/>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row>
    <row r="15" spans="2:53" ht="33.75" customHeight="1">
      <c r="B15" s="720" t="s">
        <v>97</v>
      </c>
      <c r="C15" s="556" t="s">
        <v>78</v>
      </c>
      <c r="D15" s="550"/>
      <c r="E15" s="549"/>
      <c r="F15" s="549"/>
      <c r="G15" s="307"/>
      <c r="H15" s="549"/>
      <c r="I15" s="549"/>
      <c r="J15" s="549"/>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row>
    <row r="16" spans="2:53" ht="29.25" customHeight="1">
      <c r="B16" s="720"/>
      <c r="C16" s="555">
        <v>600</v>
      </c>
      <c r="D16" s="550" t="s">
        <v>938</v>
      </c>
      <c r="E16" s="549"/>
      <c r="F16" s="549"/>
      <c r="G16" s="307"/>
      <c r="H16" s="549"/>
      <c r="I16" s="549"/>
      <c r="J16" s="549"/>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row>
    <row r="17" spans="2:53" ht="29.25" customHeight="1">
      <c r="B17" s="720"/>
      <c r="C17" s="555">
        <v>450</v>
      </c>
      <c r="D17" s="550" t="s">
        <v>938</v>
      </c>
      <c r="E17" s="550"/>
      <c r="F17" s="550"/>
      <c r="G17" s="349"/>
      <c r="H17" s="550"/>
      <c r="I17" s="550"/>
      <c r="J17" s="550"/>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row>
    <row r="18" spans="2:53" ht="29.25" customHeight="1">
      <c r="B18" s="720"/>
      <c r="C18" s="555">
        <v>300</v>
      </c>
      <c r="D18" s="550" t="s">
        <v>938</v>
      </c>
      <c r="E18" s="550"/>
      <c r="F18" s="550"/>
      <c r="G18" s="349"/>
      <c r="H18" s="550"/>
      <c r="I18" s="550"/>
      <c r="J18" s="550"/>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row>
    <row r="20" spans="2:53" ht="23.25" customHeight="1">
      <c r="B20" s="720" t="s">
        <v>98</v>
      </c>
      <c r="C20" s="556" t="s">
        <v>78</v>
      </c>
      <c r="D20" s="550"/>
      <c r="E20" s="549"/>
      <c r="F20" s="549"/>
      <c r="G20" s="307"/>
      <c r="H20" s="549"/>
      <c r="I20" s="549"/>
      <c r="J20" s="549"/>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row>
    <row r="21" spans="2:53" ht="29.25" customHeight="1">
      <c r="B21" s="720"/>
      <c r="C21" s="555">
        <v>600</v>
      </c>
      <c r="D21" s="550" t="s">
        <v>938</v>
      </c>
      <c r="E21" s="549"/>
      <c r="F21" s="549"/>
      <c r="G21" s="307"/>
      <c r="H21" s="549"/>
      <c r="I21" s="549"/>
      <c r="J21" s="549"/>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row>
    <row r="22" spans="2:53" ht="29.25" customHeight="1">
      <c r="B22" s="720"/>
      <c r="C22" s="555">
        <v>450</v>
      </c>
      <c r="D22" s="550" t="s">
        <v>938</v>
      </c>
      <c r="E22" s="550"/>
      <c r="F22" s="550"/>
      <c r="G22" s="349"/>
      <c r="H22" s="550"/>
      <c r="I22" s="550"/>
      <c r="J22" s="550"/>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row>
    <row r="23" spans="2:53" ht="29.25" customHeight="1">
      <c r="B23" s="720"/>
      <c r="C23" s="555">
        <v>300</v>
      </c>
      <c r="D23" s="550" t="s">
        <v>938</v>
      </c>
      <c r="E23" s="550"/>
      <c r="F23" s="550"/>
      <c r="G23" s="349"/>
      <c r="H23" s="550"/>
      <c r="I23" s="550"/>
      <c r="J23" s="550"/>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row>
    <row r="27" spans="2:53">
      <c r="D27" s="11"/>
    </row>
    <row r="28" spans="2:53">
      <c r="D28" s="11"/>
    </row>
    <row r="29" spans="2:53">
      <c r="D29" s="11"/>
    </row>
    <row r="30" spans="2:53">
      <c r="D30" s="11"/>
    </row>
    <row r="31" spans="2:53">
      <c r="D31" s="11"/>
    </row>
    <row r="32" spans="2:53">
      <c r="D32" s="11"/>
    </row>
    <row r="58" spans="2:3">
      <c r="B58" s="11"/>
      <c r="C58" s="11"/>
    </row>
    <row r="59" spans="2:3">
      <c r="B59" s="11"/>
      <c r="C59" s="11"/>
    </row>
    <row r="60" spans="2:3">
      <c r="B60" s="11"/>
      <c r="C60" s="11"/>
    </row>
    <row r="61" spans="2:3">
      <c r="B61" s="11"/>
      <c r="C61" s="11"/>
    </row>
    <row r="62" spans="2:3">
      <c r="B62" s="11"/>
      <c r="C62" s="11"/>
    </row>
    <row r="63" spans="2:3">
      <c r="B63" s="11"/>
      <c r="C63" s="11"/>
    </row>
  </sheetData>
  <mergeCells count="4">
    <mergeCell ref="B5:B8"/>
    <mergeCell ref="B10:B13"/>
    <mergeCell ref="B15:B18"/>
    <mergeCell ref="B20:B2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50E2-FE53-418D-940B-4E1CE35A3A9D}">
  <sheetPr codeName="Sheet22">
    <tabColor rgb="FFFFFF00"/>
  </sheetPr>
  <dimension ref="A4:N30"/>
  <sheetViews>
    <sheetView workbookViewId="0">
      <selection activeCell="G8" sqref="G8"/>
    </sheetView>
  </sheetViews>
  <sheetFormatPr defaultColWidth="9.1796875" defaultRowHeight="12.5"/>
  <cols>
    <col min="1" max="2" width="9.1796875" style="63"/>
    <col min="3" max="3" width="23.453125" style="76" customWidth="1"/>
    <col min="4" max="4" width="31" style="76" customWidth="1"/>
    <col min="5" max="5" width="10.26953125" style="63" bestFit="1" customWidth="1"/>
    <col min="6" max="6" width="17.1796875" style="63" customWidth="1"/>
    <col min="7" max="7" width="14.1796875" style="63" bestFit="1" customWidth="1"/>
    <col min="8" max="8" width="12.1796875" style="63" customWidth="1"/>
    <col min="9" max="9" width="11.7265625" style="63" customWidth="1"/>
    <col min="10" max="12" width="13.1796875" style="63" customWidth="1"/>
    <col min="13" max="14" width="14.7265625" style="76" customWidth="1"/>
    <col min="15" max="16384" width="9.1796875" style="76"/>
  </cols>
  <sheetData>
    <row r="4" spans="1:14">
      <c r="E4" s="550"/>
      <c r="F4" s="550"/>
      <c r="G4" s="550"/>
      <c r="H4" s="550"/>
      <c r="I4" s="550"/>
    </row>
    <row r="5" spans="1:14" ht="29">
      <c r="A5" s="557" t="s">
        <v>939</v>
      </c>
      <c r="B5" s="557" t="s">
        <v>940</v>
      </c>
      <c r="C5" s="558" t="s">
        <v>941</v>
      </c>
      <c r="D5" s="559" t="s">
        <v>942</v>
      </c>
      <c r="E5" s="560" t="s">
        <v>943</v>
      </c>
      <c r="F5" s="560" t="s">
        <v>944</v>
      </c>
      <c r="G5" s="560" t="s">
        <v>945</v>
      </c>
      <c r="H5" s="560" t="s">
        <v>946</v>
      </c>
      <c r="I5" s="560" t="s">
        <v>947</v>
      </c>
      <c r="J5" s="560" t="s">
        <v>948</v>
      </c>
      <c r="K5" s="560" t="s">
        <v>936</v>
      </c>
      <c r="L5" s="560" t="s">
        <v>949</v>
      </c>
      <c r="M5" s="560" t="s">
        <v>950</v>
      </c>
      <c r="N5" s="560"/>
    </row>
    <row r="6" spans="1:14">
      <c r="A6" s="550">
        <v>1</v>
      </c>
      <c r="B6" s="550" t="s">
        <v>951</v>
      </c>
      <c r="C6" s="561" t="s">
        <v>952</v>
      </c>
      <c r="D6" s="561" t="s">
        <v>953</v>
      </c>
      <c r="E6" s="550">
        <v>32</v>
      </c>
      <c r="F6" s="550">
        <v>1</v>
      </c>
      <c r="G6" s="550" t="s">
        <v>954</v>
      </c>
      <c r="H6" s="550">
        <v>86</v>
      </c>
      <c r="I6" s="550">
        <f>F6*E6</f>
        <v>32</v>
      </c>
      <c r="J6" s="550">
        <f>H6*I6</f>
        <v>2752</v>
      </c>
      <c r="K6" s="550">
        <v>600</v>
      </c>
      <c r="L6" s="562">
        <f>J6/K6</f>
        <v>4.5866666666666669</v>
      </c>
      <c r="M6" s="550">
        <f>ROUNDUP(J6/K6,0)</f>
        <v>5</v>
      </c>
      <c r="N6" s="561"/>
    </row>
    <row r="7" spans="1:14">
      <c r="A7" s="550"/>
      <c r="B7" s="550"/>
      <c r="C7" s="561"/>
      <c r="D7" s="561"/>
      <c r="E7" s="550"/>
      <c r="F7" s="550"/>
      <c r="G7" s="550"/>
      <c r="H7" s="550"/>
      <c r="I7" s="550"/>
      <c r="J7" s="550"/>
      <c r="K7" s="550"/>
      <c r="L7" s="550"/>
      <c r="M7" s="561"/>
      <c r="N7" s="561"/>
    </row>
    <row r="8" spans="1:14">
      <c r="A8" s="550">
        <v>1</v>
      </c>
      <c r="B8" s="550" t="s">
        <v>955</v>
      </c>
      <c r="C8" s="561" t="s">
        <v>956</v>
      </c>
      <c r="D8" s="561" t="s">
        <v>957</v>
      </c>
      <c r="E8" s="550">
        <f>6+19</f>
        <v>25</v>
      </c>
      <c r="F8" s="550">
        <v>1</v>
      </c>
      <c r="G8" s="550" t="s">
        <v>958</v>
      </c>
      <c r="H8" s="550">
        <v>55</v>
      </c>
      <c r="I8" s="550">
        <f>F8*E8</f>
        <v>25</v>
      </c>
      <c r="J8" s="550">
        <f>H8*I8</f>
        <v>1375</v>
      </c>
      <c r="K8" s="550">
        <v>600</v>
      </c>
      <c r="L8" s="562">
        <f>J8/K8</f>
        <v>2.2916666666666665</v>
      </c>
      <c r="M8" s="550">
        <f>ROUNDUP(J8/K8,0)</f>
        <v>3</v>
      </c>
      <c r="N8" s="561"/>
    </row>
    <row r="9" spans="1:14">
      <c r="A9" s="550"/>
      <c r="B9" s="550"/>
      <c r="C9" s="561"/>
      <c r="D9" s="561"/>
      <c r="E9" s="550"/>
      <c r="F9" s="550"/>
      <c r="G9" s="550"/>
      <c r="H9" s="550"/>
      <c r="I9" s="550"/>
      <c r="J9" s="550"/>
      <c r="K9" s="550"/>
      <c r="L9" s="550"/>
      <c r="M9" s="561"/>
      <c r="N9" s="561"/>
    </row>
    <row r="10" spans="1:14">
      <c r="A10" s="550">
        <v>1</v>
      </c>
      <c r="B10" s="550" t="s">
        <v>959</v>
      </c>
      <c r="C10" s="561" t="s">
        <v>960</v>
      </c>
      <c r="D10" s="561" t="s">
        <v>957</v>
      </c>
      <c r="E10" s="550">
        <f>4+13</f>
        <v>17</v>
      </c>
      <c r="F10" s="550">
        <v>1</v>
      </c>
      <c r="G10" s="550" t="s">
        <v>958</v>
      </c>
      <c r="H10" s="550">
        <v>55</v>
      </c>
      <c r="I10" s="550">
        <f>F10*E10</f>
        <v>17</v>
      </c>
      <c r="J10" s="550">
        <f>H10*I10</f>
        <v>935</v>
      </c>
      <c r="K10" s="550">
        <v>600</v>
      </c>
      <c r="L10" s="562">
        <f>J10/K10</f>
        <v>1.5583333333333333</v>
      </c>
      <c r="M10" s="550">
        <f>ROUNDUP(J10/K10,0)</f>
        <v>2</v>
      </c>
      <c r="N10" s="561"/>
    </row>
    <row r="11" spans="1:14">
      <c r="A11" s="550"/>
      <c r="B11" s="550"/>
      <c r="C11" s="561"/>
      <c r="D11" s="561"/>
      <c r="E11" s="550"/>
      <c r="F11" s="550"/>
      <c r="G11" s="550"/>
      <c r="H11" s="550"/>
      <c r="I11" s="550"/>
      <c r="J11" s="550"/>
      <c r="K11" s="550"/>
      <c r="L11" s="550"/>
      <c r="M11" s="561"/>
      <c r="N11" s="561"/>
    </row>
    <row r="12" spans="1:14">
      <c r="A12" s="550"/>
      <c r="B12" s="550"/>
      <c r="C12" s="561"/>
      <c r="D12" s="561"/>
      <c r="E12" s="550"/>
      <c r="F12" s="550"/>
      <c r="G12" s="550"/>
      <c r="H12" s="550"/>
      <c r="I12" s="550"/>
      <c r="J12" s="550"/>
      <c r="K12" s="550"/>
      <c r="L12" s="550"/>
      <c r="M12" s="561"/>
      <c r="N12" s="561"/>
    </row>
    <row r="13" spans="1:14">
      <c r="A13" s="550"/>
      <c r="B13" s="550"/>
      <c r="C13" s="561"/>
      <c r="D13" s="561"/>
      <c r="E13" s="550"/>
      <c r="F13" s="550"/>
      <c r="G13" s="550"/>
      <c r="H13" s="550"/>
      <c r="I13" s="550"/>
      <c r="J13" s="550"/>
      <c r="K13" s="550"/>
      <c r="L13" s="550"/>
      <c r="M13" s="561"/>
      <c r="N13" s="561"/>
    </row>
    <row r="14" spans="1:14">
      <c r="A14" s="550"/>
      <c r="B14" s="550"/>
      <c r="C14" s="561"/>
      <c r="D14" s="561"/>
      <c r="E14" s="550"/>
      <c r="F14" s="550"/>
      <c r="G14" s="550"/>
      <c r="H14" s="550"/>
      <c r="I14" s="550"/>
      <c r="J14" s="550"/>
      <c r="K14" s="550"/>
      <c r="L14" s="550"/>
      <c r="M14" s="561"/>
      <c r="N14" s="561"/>
    </row>
    <row r="15" spans="1:14">
      <c r="A15" s="550"/>
      <c r="B15" s="550"/>
      <c r="C15" s="561"/>
      <c r="D15" s="561"/>
      <c r="E15" s="550"/>
      <c r="F15" s="550"/>
      <c r="G15" s="550"/>
      <c r="H15" s="550"/>
      <c r="I15" s="550"/>
      <c r="J15" s="550"/>
      <c r="K15" s="550"/>
      <c r="L15" s="550"/>
      <c r="M15" s="561"/>
      <c r="N15" s="561"/>
    </row>
    <row r="16" spans="1:14">
      <c r="A16" s="550"/>
      <c r="B16" s="550"/>
      <c r="C16" s="561"/>
      <c r="D16" s="561"/>
      <c r="E16" s="550"/>
      <c r="F16" s="550"/>
      <c r="G16" s="550"/>
      <c r="H16" s="550"/>
      <c r="I16" s="550"/>
      <c r="J16" s="550"/>
      <c r="K16" s="550"/>
      <c r="L16" s="550"/>
      <c r="M16" s="561"/>
      <c r="N16" s="561"/>
    </row>
    <row r="17" spans="1:14">
      <c r="A17" s="550"/>
      <c r="B17" s="550"/>
      <c r="C17" s="561"/>
      <c r="D17" s="561"/>
      <c r="E17" s="550"/>
      <c r="F17" s="550"/>
      <c r="G17" s="550"/>
      <c r="H17" s="550"/>
      <c r="I17" s="550"/>
      <c r="J17" s="550"/>
      <c r="K17" s="550"/>
      <c r="L17" s="550"/>
      <c r="M17" s="561"/>
      <c r="N17" s="561"/>
    </row>
    <row r="18" spans="1:14">
      <c r="A18" s="550"/>
      <c r="B18" s="550"/>
      <c r="C18" s="561"/>
      <c r="D18" s="561"/>
      <c r="E18" s="550"/>
      <c r="F18" s="550"/>
      <c r="G18" s="550"/>
      <c r="H18" s="550"/>
      <c r="I18" s="550"/>
      <c r="J18" s="550"/>
      <c r="K18" s="550"/>
      <c r="L18" s="550"/>
      <c r="M18" s="561"/>
      <c r="N18" s="561"/>
    </row>
    <row r="19" spans="1:14">
      <c r="A19" s="550"/>
      <c r="B19" s="550"/>
      <c r="C19" s="561"/>
      <c r="D19" s="561"/>
      <c r="E19" s="550"/>
      <c r="F19" s="550"/>
      <c r="G19" s="550"/>
      <c r="H19" s="550"/>
      <c r="I19" s="550"/>
      <c r="J19" s="550"/>
      <c r="K19" s="550"/>
      <c r="L19" s="550"/>
      <c r="M19" s="561"/>
      <c r="N19" s="561"/>
    </row>
    <row r="21" spans="1:14">
      <c r="F21" s="63">
        <v>3</v>
      </c>
      <c r="G21" s="63">
        <v>2</v>
      </c>
    </row>
    <row r="22" spans="1:14">
      <c r="E22" s="63">
        <v>14</v>
      </c>
      <c r="H22" s="11" t="s">
        <v>961</v>
      </c>
    </row>
    <row r="23" spans="1:14">
      <c r="C23" s="63">
        <f>150+(50+600+50)+600+(50+600+50)+150+(50+600+50)+600+150</f>
        <v>3750</v>
      </c>
      <c r="G23" s="76"/>
    </row>
    <row r="24" spans="1:14">
      <c r="G24" s="76"/>
    </row>
    <row r="25" spans="1:14">
      <c r="C25" s="77">
        <f>150+(50+600+50)+600+(50+600+50)+150</f>
        <v>2300</v>
      </c>
      <c r="F25" s="63">
        <v>3</v>
      </c>
      <c r="G25" s="63">
        <f>4+9</f>
        <v>13</v>
      </c>
    </row>
    <row r="26" spans="1:14">
      <c r="C26" s="77">
        <f>(50+600+50)+600+150</f>
        <v>1450</v>
      </c>
    </row>
    <row r="27" spans="1:14">
      <c r="H27" s="11" t="s">
        <v>29</v>
      </c>
      <c r="I27" s="11" t="s">
        <v>31</v>
      </c>
    </row>
    <row r="28" spans="1:14">
      <c r="H28" s="11">
        <f>8+(8+3)</f>
        <v>19</v>
      </c>
      <c r="I28" s="11">
        <f>4+(8+3)</f>
        <v>15</v>
      </c>
    </row>
    <row r="30" spans="1:14">
      <c r="G30" s="63">
        <f>28/5</f>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13</vt:i4>
      </vt:variant>
    </vt:vector>
  </HeadingPairs>
  <TitlesOfParts>
    <vt:vector size="27" baseType="lpstr">
      <vt:lpstr>Basis &amp; Assumptions (2)</vt:lpstr>
      <vt:lpstr>Basis &amp; Assumptions</vt:lpstr>
      <vt:lpstr>Tray Sizing</vt:lpstr>
      <vt:lpstr>Catalogue Aluminium</vt:lpstr>
      <vt:lpstr>Sheet2</vt:lpstr>
      <vt:lpstr>LV Cable sizing_SS-1</vt:lpstr>
      <vt:lpstr>MV Cable sizing-6.6kV</vt:lpstr>
      <vt:lpstr>Catalogue A_old</vt:lpstr>
      <vt:lpstr>Catalogue_CU</vt:lpstr>
      <vt:lpstr>Catalogue Copper</vt:lpstr>
      <vt:lpstr>Tray-Void</vt:lpstr>
      <vt:lpstr>requred Dia</vt:lpstr>
      <vt:lpstr>Sheet1</vt:lpstr>
      <vt:lpstr>Tray-S_old</vt:lpstr>
      <vt:lpstr>a</vt:lpstr>
      <vt:lpstr>'Basis &amp; Assumptions'!Print_Area</vt:lpstr>
      <vt:lpstr>'Basis &amp; Assumptions (2)'!Print_Area</vt:lpstr>
      <vt:lpstr>'Catalogue A_old'!Print_Area</vt:lpstr>
      <vt:lpstr>'Catalogue Aluminium'!Print_Area</vt:lpstr>
      <vt:lpstr>'Catalogue Copper'!Print_Area</vt:lpstr>
      <vt:lpstr>Catalogue_CU!Print_Area</vt:lpstr>
      <vt:lpstr>'LV Cable sizing_SS-1'!Print_Area</vt:lpstr>
      <vt:lpstr>'MV Cable sizing-6.6kV'!Print_Area</vt:lpstr>
      <vt:lpstr>'Tray Sizing'!Print_Area</vt:lpstr>
      <vt:lpstr>'Tray-Void'!Print_Area</vt:lpstr>
      <vt:lpstr>'LV Cable sizing_SS-1'!Print_Titles</vt:lpstr>
      <vt:lpstr>'MV Cable sizing-6.6kV'!Print_Titles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Suresh Vandavasi</dc:creator>
  <cp:keywords/>
  <dc:description/>
  <cp:lastModifiedBy>UDAY KIRAN RATHOD B</cp:lastModifiedBy>
  <cp:revision/>
  <cp:lastPrinted>2025-11-06T05:55:35Z</cp:lastPrinted>
  <dcterms:created xsi:type="dcterms:W3CDTF">1996-10-14T23:33:28Z</dcterms:created>
  <dcterms:modified xsi:type="dcterms:W3CDTF">2026-02-26T18:05:04Z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51ac48-f2ec-47d6-b214-43b916e392ff_Enabled">
    <vt:lpwstr>true</vt:lpwstr>
  </property>
  <property fmtid="{D5CDD505-2E9C-101B-9397-08002B2CF9AE}" pid="3" name="MSIP_Label_3351ac48-f2ec-47d6-b214-43b916e392ff_SetDate">
    <vt:lpwstr>2024-07-25T10:39:33Z</vt:lpwstr>
  </property>
  <property fmtid="{D5CDD505-2E9C-101B-9397-08002B2CF9AE}" pid="4" name="MSIP_Label_3351ac48-f2ec-47d6-b214-43b916e392ff_Method">
    <vt:lpwstr>Standard</vt:lpwstr>
  </property>
  <property fmtid="{D5CDD505-2E9C-101B-9397-08002B2CF9AE}" pid="5" name="MSIP_Label_3351ac48-f2ec-47d6-b214-43b916e392ff_Name">
    <vt:lpwstr>3351ac48-f2ec-47d6-b214-43b916e392ff</vt:lpwstr>
  </property>
  <property fmtid="{D5CDD505-2E9C-101B-9397-08002B2CF9AE}" pid="6" name="MSIP_Label_3351ac48-f2ec-47d6-b214-43b916e392ff_SiteId">
    <vt:lpwstr>5af76741-f886-4d20-ad04-775dee0ce762</vt:lpwstr>
  </property>
  <property fmtid="{D5CDD505-2E9C-101B-9397-08002B2CF9AE}" pid="7" name="MSIP_Label_3351ac48-f2ec-47d6-b214-43b916e392ff_ActionId">
    <vt:lpwstr>918bdfb7-c1a2-46d8-8813-ab13e430c90a</vt:lpwstr>
  </property>
  <property fmtid="{D5CDD505-2E9C-101B-9397-08002B2CF9AE}" pid="8" name="MSIP_Label_3351ac48-f2ec-47d6-b214-43b916e392ff_ContentBits">
    <vt:lpwstr>0</vt:lpwstr>
  </property>
</Properties>
</file>